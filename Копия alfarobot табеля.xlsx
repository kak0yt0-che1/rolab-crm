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omments1.xml" ContentType="application/vnd.openxmlformats-officedocument.spreadsheetml.comments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cf95cd3e041e792/Рабочий_стол/rolab-system/"/>
    </mc:Choice>
  </mc:AlternateContent>
  <xr:revisionPtr revIDLastSave="5" documentId="11_86E6EAFD84553A5EE49367AFA23E99A20179D357" xr6:coauthVersionLast="47" xr6:coauthVersionMax="47" xr10:uidLastSave="{39269127-9DBB-4D2E-89C7-30B6224D1342}"/>
  <bookViews>
    <workbookView xWindow="-108" yWindow="-108" windowWidth="23256" windowHeight="12456" firstSheet="20" activeTab="24" xr2:uid="{00000000-000D-0000-FFFF-FFFF00000000}"/>
  </bookViews>
  <sheets>
    <sheet name="Расписание" sheetId="1" r:id="rId1"/>
    <sheet name="Happy Kais " sheetId="2" r:id="rId2"/>
    <sheet name="Конжыктар" sheetId="3" r:id="rId3"/>
    <sheet name="Indigo preschool 1" sheetId="4" r:id="rId4"/>
    <sheet name="Indigo preschool 2" sheetId="5" r:id="rId5"/>
    <sheet name="Bilimalmaty" sheetId="6" r:id="rId6"/>
    <sheet name="Tamos" sheetId="10" r:id="rId7"/>
    <sheet name="Город друзей" sheetId="11" r:id="rId8"/>
    <sheet name="71 лицей" sheetId="12" r:id="rId9"/>
    <sheet name="116 школа" sheetId="13" r:id="rId10"/>
    <sheet name="Almaty Towers(старый)" sheetId="15" r:id="rId11"/>
    <sheet name="Балбобек(старый)" sheetId="16" r:id="rId12"/>
    <sheet name="Падишах" sheetId="17" r:id="rId13"/>
    <sheet name="Капитошка" sheetId="18" r:id="rId14"/>
    <sheet name="Гармония" sheetId="19" r:id="rId15"/>
    <sheet name="Куншуак" sheetId="20" r:id="rId16"/>
    <sheet name="kids discovery" sheetId="22" r:id="rId17"/>
    <sheet name="Academ kids" sheetId="21" r:id="rId18"/>
    <sheet name="kids discovery Таугуль" sheetId="23" r:id="rId19"/>
    <sheet name="Кунай" sheetId="24" r:id="rId20"/>
    <sheet name="Асека education" sheetId="25" r:id="rId21"/>
    <sheet name="Асека +" sheetId="26" r:id="rId22"/>
    <sheet name="Лукоморья" sheetId="27" r:id="rId23"/>
    <sheet name="Зияткер" sheetId="28" r:id="rId24"/>
    <sheet name="Радость Майлина" sheetId="29" r:id="rId25"/>
    <sheet name="Радость Розыбакиева" sheetId="30" r:id="rId26"/>
    <sheet name="28 февраля Happy Time - Еркебул" sheetId="31" r:id="rId27"/>
    <sheet name="Космо" sheetId="32" r:id="rId28"/>
    <sheet name="Interschool" sheetId="33" r:id="rId29"/>
    <sheet name="Батыр" sheetId="34" r:id="rId30"/>
    <sheet name="Klass" sheetId="35" r:id="rId31"/>
    <sheet name="Жажда познания" sheetId="36" r:id="rId32"/>
    <sheet name="ProЗнания" sheetId="37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" i="35" l="1"/>
  <c r="W29" i="35"/>
  <c r="I18" i="34"/>
  <c r="AA16" i="33"/>
  <c r="W16" i="33"/>
  <c r="D20" i="32"/>
  <c r="AE17" i="32"/>
  <c r="AB57" i="29"/>
  <c r="AB56" i="29"/>
  <c r="Y56" i="29"/>
  <c r="Y57" i="29" s="1"/>
  <c r="AA16" i="27"/>
  <c r="W16" i="27"/>
  <c r="AF57" i="24"/>
  <c r="AA57" i="24"/>
  <c r="T34" i="23"/>
  <c r="P34" i="23"/>
  <c r="P63" i="22"/>
  <c r="AC41" i="22"/>
  <c r="Y41" i="22"/>
  <c r="V30" i="20"/>
  <c r="Q26" i="19"/>
  <c r="Y25" i="17"/>
  <c r="AD23" i="17"/>
  <c r="AC23" i="17"/>
  <c r="AB23" i="17"/>
  <c r="AA23" i="17"/>
  <c r="Z23" i="17"/>
  <c r="AC24" i="17" s="1"/>
  <c r="AC25" i="17" s="1"/>
  <c r="U47" i="13"/>
  <c r="T47" i="13"/>
  <c r="S47" i="13"/>
  <c r="R47" i="13"/>
  <c r="O17" i="13"/>
  <c r="L17" i="13"/>
  <c r="H17" i="13"/>
  <c r="P47" i="12"/>
  <c r="M47" i="12"/>
  <c r="H47" i="12"/>
  <c r="U46" i="12"/>
  <c r="T46" i="12"/>
  <c r="S46" i="12"/>
  <c r="R46" i="12"/>
  <c r="O28" i="12"/>
  <c r="L28" i="12"/>
  <c r="H28" i="12"/>
  <c r="W27" i="12"/>
  <c r="V27" i="12"/>
  <c r="U27" i="12"/>
  <c r="T27" i="12"/>
  <c r="S27" i="12"/>
  <c r="R27" i="12"/>
  <c r="Q27" i="12"/>
  <c r="AH51" i="11"/>
  <c r="AC50" i="11"/>
  <c r="AC51" i="11" s="1"/>
  <c r="AF43" i="10"/>
  <c r="AB42" i="10"/>
  <c r="AB43" i="10" s="1"/>
  <c r="X34" i="5"/>
  <c r="X35" i="5" s="1"/>
  <c r="U34" i="5"/>
  <c r="U35" i="5" s="1"/>
  <c r="X32" i="5"/>
  <c r="W32" i="5"/>
  <c r="V32" i="5"/>
  <c r="X18" i="5"/>
  <c r="W18" i="5"/>
  <c r="V18" i="5"/>
  <c r="X19" i="5" s="1"/>
  <c r="AE30" i="4"/>
  <c r="Z30" i="4"/>
  <c r="AA22" i="3"/>
  <c r="I33" i="2"/>
  <c r="F33" i="2"/>
  <c r="F34" i="2" s="1"/>
  <c r="AF59" i="24" l="1"/>
  <c r="AF58" i="24"/>
  <c r="AA59" i="24"/>
  <c r="AA58" i="24"/>
  <c r="AH53" i="11"/>
  <c r="AH5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2" authorId="0" shapeId="0" xr:uid="{00000000-0006-0000-1700-000001000000}">
      <text>
        <r>
          <rPr>
            <sz val="10"/>
            <color rgb="FF000000"/>
            <rFont val="Arial"/>
            <scheme val="minor"/>
          </rPr>
          <t>опл 12000 на Р/С 10.11.25</t>
        </r>
      </text>
    </comment>
    <comment ref="H43" authorId="0" shapeId="0" xr:uid="{00000000-0006-0000-1700-000002000000}">
      <text>
        <r>
          <rPr>
            <sz val="10"/>
            <color rgb="FF000000"/>
            <rFont val="Arial"/>
            <scheme val="minor"/>
          </rPr>
          <t>опл 12000 на Р/С 10.11.25</t>
        </r>
      </text>
    </comment>
  </commentList>
</comments>
</file>

<file path=xl/sharedStrings.xml><?xml version="1.0" encoding="utf-8"?>
<sst xmlns="http://schemas.openxmlformats.org/spreadsheetml/2006/main" count="1908" uniqueCount="843">
  <si>
    <t xml:space="preserve">  </t>
  </si>
  <si>
    <t>Айгуль</t>
  </si>
  <si>
    <t>Понедельник</t>
  </si>
  <si>
    <t>Вторник</t>
  </si>
  <si>
    <t>Среда</t>
  </si>
  <si>
    <t>Четверг</t>
  </si>
  <si>
    <t>Пятница</t>
  </si>
  <si>
    <t>09.00.</t>
  </si>
  <si>
    <t>Радость детства 3+</t>
  </si>
  <si>
    <t>09.30.</t>
  </si>
  <si>
    <t>Падишах</t>
  </si>
  <si>
    <t>10.00.</t>
  </si>
  <si>
    <t>10.00</t>
  </si>
  <si>
    <t>Гармония</t>
  </si>
  <si>
    <t>11.00.</t>
  </si>
  <si>
    <t>11.30</t>
  </si>
  <si>
    <t>Радость Роз</t>
  </si>
  <si>
    <t>11.00-12:30</t>
  </si>
  <si>
    <t>Happy Kais</t>
  </si>
  <si>
    <t>11.00</t>
  </si>
  <si>
    <t>Interschool</t>
  </si>
  <si>
    <t>12.00.</t>
  </si>
  <si>
    <t>71 лицей</t>
  </si>
  <si>
    <t>12.30</t>
  </si>
  <si>
    <t>12.00</t>
  </si>
  <si>
    <t>12.15</t>
  </si>
  <si>
    <t>12.30.</t>
  </si>
  <si>
    <t xml:space="preserve">   </t>
  </si>
  <si>
    <t>13.00.</t>
  </si>
  <si>
    <t>13.30-15:00</t>
  </si>
  <si>
    <t>14.00.</t>
  </si>
  <si>
    <t>14.30</t>
  </si>
  <si>
    <t>14.00</t>
  </si>
  <si>
    <t>14.45.</t>
  </si>
  <si>
    <t>15.00</t>
  </si>
  <si>
    <t>Батыр</t>
  </si>
  <si>
    <t>15.30</t>
  </si>
  <si>
    <t xml:space="preserve">Куншуак </t>
  </si>
  <si>
    <t>Город друзей 3+</t>
  </si>
  <si>
    <t>16.30.</t>
  </si>
  <si>
    <t>16.00.</t>
  </si>
  <si>
    <t>Капитошка</t>
  </si>
  <si>
    <t>15.40</t>
  </si>
  <si>
    <t>done</t>
  </si>
  <si>
    <t xml:space="preserve">Еркебулан </t>
  </si>
  <si>
    <t>Happy Time school</t>
  </si>
  <si>
    <t>Indigo preschool</t>
  </si>
  <si>
    <t>17/00</t>
  </si>
  <si>
    <t>Bilimalmaty</t>
  </si>
  <si>
    <t xml:space="preserve">Айжан </t>
  </si>
  <si>
    <t>11/00</t>
  </si>
  <si>
    <t>12.45</t>
  </si>
  <si>
    <t>13.00</t>
  </si>
  <si>
    <t>16.00</t>
  </si>
  <si>
    <t>Дамир</t>
  </si>
  <si>
    <t>Cуббота</t>
  </si>
  <si>
    <t>Воскресенье</t>
  </si>
  <si>
    <t>9.00</t>
  </si>
  <si>
    <t>9.30</t>
  </si>
  <si>
    <t>Кунай</t>
  </si>
  <si>
    <t>116 школа</t>
  </si>
  <si>
    <t>Конжыктар</t>
  </si>
  <si>
    <t>Klass</t>
  </si>
  <si>
    <t>центр</t>
  </si>
  <si>
    <r>
      <rPr>
        <b/>
        <u/>
        <sz val="11"/>
        <color rgb="FF38761D"/>
        <rFont val="Times New Roman"/>
      </rPr>
      <t>Indigo preschool</t>
    </r>
    <r>
      <rPr>
        <b/>
        <sz val="11"/>
        <color rgb="FF000000"/>
        <rFont val="Times New Roman"/>
      </rPr>
      <t xml:space="preserve"> 1 </t>
    </r>
  </si>
  <si>
    <t>13.45</t>
  </si>
  <si>
    <t>14.30.</t>
  </si>
  <si>
    <t xml:space="preserve"> </t>
  </si>
  <si>
    <t>17.00</t>
  </si>
  <si>
    <t xml:space="preserve">Prometheus </t>
  </si>
  <si>
    <t>18.00</t>
  </si>
  <si>
    <t>Салтанат</t>
  </si>
  <si>
    <t>пятница</t>
  </si>
  <si>
    <t>8.30</t>
  </si>
  <si>
    <t>ikigai school</t>
  </si>
  <si>
    <t>9.20</t>
  </si>
  <si>
    <t>Tamos (старшая Гр)</t>
  </si>
  <si>
    <t>10.15</t>
  </si>
  <si>
    <t>11.30.</t>
  </si>
  <si>
    <t>12.50</t>
  </si>
  <si>
    <t>Tamos (младшая гр)</t>
  </si>
  <si>
    <t>13.50</t>
  </si>
  <si>
    <t>Дархан</t>
  </si>
  <si>
    <t>Суббота</t>
  </si>
  <si>
    <t>11.15</t>
  </si>
  <si>
    <t>Лукоморья</t>
  </si>
  <si>
    <t>Таугуль Kids Discovery</t>
  </si>
  <si>
    <t>16.55</t>
  </si>
  <si>
    <t>Космо</t>
  </si>
  <si>
    <t>Сержан</t>
  </si>
  <si>
    <t>Talim</t>
  </si>
  <si>
    <t>Нурлан</t>
  </si>
  <si>
    <t>8.00</t>
  </si>
  <si>
    <t>11.50</t>
  </si>
  <si>
    <t>8.45</t>
  </si>
  <si>
    <t>12.40</t>
  </si>
  <si>
    <t>14.15</t>
  </si>
  <si>
    <t>13.30</t>
  </si>
  <si>
    <t>Ардуино</t>
  </si>
  <si>
    <t>15.45</t>
  </si>
  <si>
    <t>Балгын</t>
  </si>
  <si>
    <t>16.30</t>
  </si>
  <si>
    <t>Татьяна 87472623755</t>
  </si>
  <si>
    <t>8 747 262 37 55</t>
  </si>
  <si>
    <t>Адрес Ураза Исаева 117</t>
  </si>
  <si>
    <r>
      <rPr>
        <u/>
        <sz val="10"/>
        <color rgb="FF1155CC"/>
        <rFont val="Arial"/>
      </rPr>
      <t>Улица Ураза Исаева, 117</t>
    </r>
  </si>
  <si>
    <t>11:00-12:30</t>
  </si>
  <si>
    <t>ФИО</t>
  </si>
  <si>
    <t>Марк</t>
  </si>
  <si>
    <t>Кирилл</t>
  </si>
  <si>
    <t>Гоша</t>
  </si>
  <si>
    <t>Полат</t>
  </si>
  <si>
    <t>Арон</t>
  </si>
  <si>
    <t>Азат</t>
  </si>
  <si>
    <t>2 -  пробный урок</t>
  </si>
  <si>
    <t>13:30-15:00</t>
  </si>
  <si>
    <t>Алимхан</t>
  </si>
  <si>
    <t>Богдан</t>
  </si>
  <si>
    <t>Динэль</t>
  </si>
  <si>
    <t>Дармен</t>
  </si>
  <si>
    <t>Лёня</t>
  </si>
  <si>
    <t>Тимур</t>
  </si>
  <si>
    <t>Вася</t>
  </si>
  <si>
    <t>Эмир</t>
  </si>
  <si>
    <t>Эмир 2</t>
  </si>
  <si>
    <t xml:space="preserve">Милита </t>
  </si>
  <si>
    <t>7 - пробный урок</t>
  </si>
  <si>
    <t>Общее количество посещаемостей</t>
  </si>
  <si>
    <t>Итого</t>
  </si>
  <si>
    <t>116.000</t>
  </si>
  <si>
    <t>КОНЖЫКТАР</t>
  </si>
  <si>
    <t>ТЕЛ. 87788490717 Зульфия Тогаевна</t>
  </si>
  <si>
    <t>Римова 11</t>
  </si>
  <si>
    <t>11.00-12.00</t>
  </si>
  <si>
    <t>дамр</t>
  </si>
  <si>
    <t>Фио</t>
  </si>
  <si>
    <t>Шахан</t>
  </si>
  <si>
    <t>Коркем</t>
  </si>
  <si>
    <t>Ханторе</t>
  </si>
  <si>
    <t>Ария</t>
  </si>
  <si>
    <t>Амре</t>
  </si>
  <si>
    <t>Амаль</t>
  </si>
  <si>
    <t>Гайяс</t>
  </si>
  <si>
    <t>Касымхан</t>
  </si>
  <si>
    <t>Малика</t>
  </si>
  <si>
    <t>Инабат</t>
  </si>
  <si>
    <t>Зере</t>
  </si>
  <si>
    <t>Всего:</t>
  </si>
  <si>
    <t>75 000</t>
  </si>
  <si>
    <t>45 000 тг</t>
  </si>
  <si>
    <t>60 000 тг</t>
  </si>
  <si>
    <t>60.000 тг</t>
  </si>
  <si>
    <t>INDIGO PRESCHOOL</t>
  </si>
  <si>
    <r>
      <rPr>
        <sz val="10"/>
        <color theme="1"/>
        <rFont val="Arial"/>
      </rPr>
      <t>ТЕЛ. 87071515141</t>
    </r>
    <r>
      <rPr>
        <sz val="11"/>
        <color theme="1"/>
        <rFont val="Arial"/>
      </rPr>
      <t xml:space="preserve"> САЛТАНАТ</t>
    </r>
  </si>
  <si>
    <t>РОЗЫБАКИЕВА 289/2</t>
  </si>
  <si>
    <t>12.30-13.30</t>
  </si>
  <si>
    <t>1 ФИЛИАЛ</t>
  </si>
  <si>
    <t xml:space="preserve">ПРОБНЫЙ </t>
  </si>
  <si>
    <t>Алайя</t>
  </si>
  <si>
    <t>не оплачен</t>
  </si>
  <si>
    <t>выходной</t>
  </si>
  <si>
    <t>Жан</t>
  </si>
  <si>
    <t>Ельжан</t>
  </si>
  <si>
    <t>Санжар</t>
  </si>
  <si>
    <t>Даниал</t>
  </si>
  <si>
    <t>Самина</t>
  </si>
  <si>
    <t>Алижан</t>
  </si>
  <si>
    <t>Рахэм</t>
  </si>
  <si>
    <t>Батухан</t>
  </si>
  <si>
    <t>Алихан</t>
  </si>
  <si>
    <t>Димаш</t>
  </si>
  <si>
    <t>пробный</t>
  </si>
  <si>
    <t>Платон</t>
  </si>
  <si>
    <t xml:space="preserve">Амаль </t>
  </si>
  <si>
    <t xml:space="preserve">Пробный </t>
  </si>
  <si>
    <t xml:space="preserve">Ильяс </t>
  </si>
  <si>
    <t>Санжар 2</t>
  </si>
  <si>
    <t>Азалия</t>
  </si>
  <si>
    <t>Альжан</t>
  </si>
  <si>
    <t>Алихан 2</t>
  </si>
  <si>
    <t>Алсу</t>
  </si>
  <si>
    <t>Алима</t>
  </si>
  <si>
    <t>81 000</t>
  </si>
  <si>
    <t xml:space="preserve">Итого </t>
  </si>
  <si>
    <t>96 000 тг</t>
  </si>
  <si>
    <t>120 000 тг</t>
  </si>
  <si>
    <r>
      <rPr>
        <sz val="10"/>
        <color theme="1"/>
        <rFont val="Arial"/>
      </rPr>
      <t>ТЕЛ. 87071515141</t>
    </r>
    <r>
      <rPr>
        <sz val="11"/>
        <color theme="1"/>
        <rFont val="Arial"/>
      </rPr>
      <t xml:space="preserve"> САЛТАНАТ</t>
    </r>
  </si>
  <si>
    <t>АБАЯ МАСНЧИ</t>
  </si>
  <si>
    <t>Асанали</t>
  </si>
  <si>
    <t>Темирхан</t>
  </si>
  <si>
    <t>оплачен</t>
  </si>
  <si>
    <t>Камал</t>
  </si>
  <si>
    <t>Алан</t>
  </si>
  <si>
    <t>Бейсултан</t>
  </si>
  <si>
    <t>Салим</t>
  </si>
  <si>
    <t>1пр</t>
  </si>
  <si>
    <t>ИТОГО</t>
  </si>
  <si>
    <t>Даниял Бейбит</t>
  </si>
  <si>
    <t>Маркус</t>
  </si>
  <si>
    <t>Даниял Аширалиев</t>
  </si>
  <si>
    <t>Ануар Алибеков</t>
  </si>
  <si>
    <t>1 проб</t>
  </si>
  <si>
    <t>Нурислам</t>
  </si>
  <si>
    <t>Расул</t>
  </si>
  <si>
    <t>Дамиел</t>
  </si>
  <si>
    <t>156 000</t>
  </si>
  <si>
    <t>1 пр</t>
  </si>
  <si>
    <t>111 000 тг</t>
  </si>
  <si>
    <t>99.000 тг</t>
  </si>
  <si>
    <t>Общая кол. посщ.</t>
  </si>
  <si>
    <t>Арайлым 87073834121</t>
  </si>
  <si>
    <t xml:space="preserve">ЖК Терракота </t>
  </si>
  <si>
    <t>№</t>
  </si>
  <si>
    <t>Ф.И.О ребенкк</t>
  </si>
  <si>
    <t>Мухтарова Асиям</t>
  </si>
  <si>
    <t>Бекхан</t>
  </si>
  <si>
    <t>Айсултан</t>
  </si>
  <si>
    <t>Еркежан</t>
  </si>
  <si>
    <t>София</t>
  </si>
  <si>
    <t>Медина</t>
  </si>
  <si>
    <t>Хангелди</t>
  </si>
  <si>
    <t>Меиржан</t>
  </si>
  <si>
    <t>Камила</t>
  </si>
  <si>
    <t>Балауса</t>
  </si>
  <si>
    <t>Милана</t>
  </si>
  <si>
    <t>Алимжан</t>
  </si>
  <si>
    <t>92 000тг</t>
  </si>
  <si>
    <t>84 000тг</t>
  </si>
  <si>
    <t xml:space="preserve">TAMOS education </t>
  </si>
  <si>
    <t>8 707 968 7985 Назгуль</t>
  </si>
  <si>
    <t>ул. Сартай батыра 12 а</t>
  </si>
  <si>
    <t>10:00-11:30</t>
  </si>
  <si>
    <t>Ф.И.О. ребенка</t>
  </si>
  <si>
    <t>Мұсағали Арнур</t>
  </si>
  <si>
    <t>Нұрсапа Нурасыл</t>
  </si>
  <si>
    <t>Кожекеев Данияр</t>
  </si>
  <si>
    <t>Морозов Тимур</t>
  </si>
  <si>
    <t>Базархан Санжар</t>
  </si>
  <si>
    <t>Жігерұлы Әділ</t>
  </si>
  <si>
    <t>Еремеева Дарина</t>
  </si>
  <si>
    <t>Мирас</t>
  </si>
  <si>
    <t>Всего :</t>
  </si>
  <si>
    <t>11:30-13:00</t>
  </si>
  <si>
    <t>Алмабеков Рамазан</t>
  </si>
  <si>
    <t>Абдулда Сұңқар</t>
  </si>
  <si>
    <t>Бақытұлы Сұлтан</t>
  </si>
  <si>
    <t>Асан Азамат</t>
  </si>
  <si>
    <t>Долгих Даниил</t>
  </si>
  <si>
    <t>Ғалымжан Дінмухаммед</t>
  </si>
  <si>
    <t>Ковалев Клим</t>
  </si>
  <si>
    <t>Атамкулов Мансур</t>
  </si>
  <si>
    <t>Атамкулов Алихан</t>
  </si>
  <si>
    <t>Минеев Халил</t>
  </si>
  <si>
    <t>Нурғали Ахметхан</t>
  </si>
  <si>
    <t>Дайырбек Жантөре</t>
  </si>
  <si>
    <t>Общее кол. пос.</t>
  </si>
  <si>
    <t xml:space="preserve">"Город Друзей" </t>
  </si>
  <si>
    <t>Моб: +7 708 716 08 78 Бахыт Бейбитбаевна</t>
  </si>
  <si>
    <t>Ремизовка</t>
  </si>
  <si>
    <t>3500/500</t>
  </si>
  <si>
    <t>Наследники</t>
  </si>
  <si>
    <t>Нургиса</t>
  </si>
  <si>
    <t xml:space="preserve">Шакарим </t>
  </si>
  <si>
    <t>7 701 768 1930</t>
  </si>
  <si>
    <t>14 000</t>
  </si>
  <si>
    <t xml:space="preserve">Аделина </t>
  </si>
  <si>
    <t xml:space="preserve">Симона </t>
  </si>
  <si>
    <t xml:space="preserve">Ева </t>
  </si>
  <si>
    <t>8 777 915 11 88</t>
  </si>
  <si>
    <t xml:space="preserve">Алдияр </t>
  </si>
  <si>
    <t xml:space="preserve">Диас </t>
  </si>
  <si>
    <t>8 707 575 7513</t>
  </si>
  <si>
    <t>10 500</t>
  </si>
  <si>
    <t>Жасмин</t>
  </si>
  <si>
    <t>Жібек</t>
  </si>
  <si>
    <t>Мая</t>
  </si>
  <si>
    <t>Таир</t>
  </si>
  <si>
    <t>8 747 564 1727</t>
  </si>
  <si>
    <t>Ясна</t>
  </si>
  <si>
    <t>Самир</t>
  </si>
  <si>
    <t>Демир</t>
  </si>
  <si>
    <t>8 701 558 4040</t>
  </si>
  <si>
    <t>счет отправили</t>
  </si>
  <si>
    <t>Абрар</t>
  </si>
  <si>
    <t xml:space="preserve">Роберт </t>
  </si>
  <si>
    <t>8 701 057 0191</t>
  </si>
  <si>
    <t>8 701 749 0550</t>
  </si>
  <si>
    <t>Анна</t>
  </si>
  <si>
    <t>Симона</t>
  </si>
  <si>
    <t>8 777 204 5141</t>
  </si>
  <si>
    <t>Айлин</t>
  </si>
  <si>
    <t>Морковки</t>
  </si>
  <si>
    <t>Ахмад</t>
  </si>
  <si>
    <t>8 707 555 55 40</t>
  </si>
  <si>
    <t>14 детей пробный</t>
  </si>
  <si>
    <t>Марьям</t>
  </si>
  <si>
    <t>Роберт</t>
  </si>
  <si>
    <t>Василина</t>
  </si>
  <si>
    <t>Данай</t>
  </si>
  <si>
    <t>8 702 888 8906</t>
  </si>
  <si>
    <t>Амирали</t>
  </si>
  <si>
    <t>8 708 400 0176</t>
  </si>
  <si>
    <t>Давид</t>
  </si>
  <si>
    <t>8 707 044 1908</t>
  </si>
  <si>
    <t>8 707 807 7083</t>
  </si>
  <si>
    <t>Эмран</t>
  </si>
  <si>
    <t>Шарафат</t>
  </si>
  <si>
    <t>итого</t>
  </si>
  <si>
    <t>32 000</t>
  </si>
  <si>
    <t>199 500 тг</t>
  </si>
  <si>
    <t>22.000 тг</t>
  </si>
  <si>
    <t>136.500 тг</t>
  </si>
  <si>
    <t>Общее кол.</t>
  </si>
  <si>
    <t>Разница</t>
  </si>
  <si>
    <t>71 Лицей</t>
  </si>
  <si>
    <t>Зангар</t>
  </si>
  <si>
    <t>Контакты -8 771 857 83 61</t>
  </si>
  <si>
    <t xml:space="preserve">Алия Аркеновна Директор </t>
  </si>
  <si>
    <t xml:space="preserve">Контакты -8 747 137 41 10 </t>
  </si>
  <si>
    <t>разница 750/5000</t>
  </si>
  <si>
    <t>Понедельник 12:15-13:15</t>
  </si>
  <si>
    <t>номер родителя</t>
  </si>
  <si>
    <t>Еркин Алдияр</t>
  </si>
  <si>
    <t>Лукьянова Есения</t>
  </si>
  <si>
    <t>Коровкина Злата</t>
  </si>
  <si>
    <t>не будут ходить</t>
  </si>
  <si>
    <t>Ван Лиана</t>
  </si>
  <si>
    <t>Байдан Аслан</t>
  </si>
  <si>
    <t xml:space="preserve">Мусаева Эсра </t>
  </si>
  <si>
    <t>Исламов Наиль</t>
  </si>
  <si>
    <t>Воронин Александр</t>
  </si>
  <si>
    <t>Туриева Рания</t>
  </si>
  <si>
    <t>Давид Яковчик</t>
  </si>
  <si>
    <t>Лукинов Дмитрий</t>
  </si>
  <si>
    <t>Фирсова Вероника</t>
  </si>
  <si>
    <t>со второй четверти</t>
  </si>
  <si>
    <t>Фирсова Виктория</t>
  </si>
  <si>
    <t>Астанин Данил</t>
  </si>
  <si>
    <t>Ерёмин Денис</t>
  </si>
  <si>
    <t xml:space="preserve"> 8 702 684 4675</t>
  </si>
  <si>
    <t>Итого;</t>
  </si>
  <si>
    <t xml:space="preserve"> итого: 22</t>
  </si>
  <si>
    <t>Четверг 12:15-13:15</t>
  </si>
  <si>
    <t>Яковчик Давид</t>
  </si>
  <si>
    <t>Максуткан Ален</t>
  </si>
  <si>
    <t>Бородихин Артем</t>
  </si>
  <si>
    <t>Сигитов Демид</t>
  </si>
  <si>
    <t>Асимджанов Алан</t>
  </si>
  <si>
    <t>Султангалиев Салман</t>
  </si>
  <si>
    <t>Дягилева Елизавета</t>
  </si>
  <si>
    <t xml:space="preserve">Концевич Таисия </t>
  </si>
  <si>
    <t>Воронцов Степан</t>
  </si>
  <si>
    <t>Тельманулы Данияр</t>
  </si>
  <si>
    <t>Гузев Давид</t>
  </si>
  <si>
    <t>Лукинов Илья</t>
  </si>
  <si>
    <t>8 747 788 7927</t>
  </si>
  <si>
    <t>Артем</t>
  </si>
  <si>
    <t>итого: 9</t>
  </si>
  <si>
    <t>оплаченные дни</t>
  </si>
  <si>
    <t xml:space="preserve">ждем ответа </t>
  </si>
  <si>
    <t xml:space="preserve">отработка </t>
  </si>
  <si>
    <t>Не забыть запросить счет</t>
  </si>
  <si>
    <t>Оплатят завтра</t>
  </si>
  <si>
    <t>Контакты</t>
  </si>
  <si>
    <t xml:space="preserve"> Директор </t>
  </si>
  <si>
    <t xml:space="preserve">Контакты </t>
  </si>
  <si>
    <t>Среда 11:30-12:30</t>
  </si>
  <si>
    <t>Боговиева Риналия 1В</t>
  </si>
  <si>
    <t>8 707 101 6504</t>
  </si>
  <si>
    <t>Имнякова Кира</t>
  </si>
  <si>
    <t>8 708 162 9202</t>
  </si>
  <si>
    <t xml:space="preserve">Пивкин Богдан 4 Б </t>
  </si>
  <si>
    <t>8 747 683 1280</t>
  </si>
  <si>
    <t>Малышева Николь</t>
  </si>
  <si>
    <t xml:space="preserve"> 8 705 965 2834</t>
  </si>
  <si>
    <t xml:space="preserve">Абдурахманов Юсуф </t>
  </si>
  <si>
    <t>Вторник 12:50-13:50 Салтанат</t>
  </si>
  <si>
    <t xml:space="preserve">Дамир-----&gt;Салтанат </t>
  </si>
  <si>
    <t>Юсупов Насыр</t>
  </si>
  <si>
    <t xml:space="preserve"> 8 705 910 9262</t>
  </si>
  <si>
    <t>Хайтул Дамир</t>
  </si>
  <si>
    <t>8  747 542 4650</t>
  </si>
  <si>
    <t>Огиенко Дэлана</t>
  </si>
  <si>
    <t xml:space="preserve"> 8 747 271 7210</t>
  </si>
  <si>
    <t>Сергиенко Дмитрий - 4 В</t>
  </si>
  <si>
    <t>8 701 318 2422</t>
  </si>
  <si>
    <t>Хомяков Андрей</t>
  </si>
  <si>
    <t xml:space="preserve"> 8 777 369 9994</t>
  </si>
  <si>
    <t>Присакарь Давид</t>
  </si>
  <si>
    <t>8 705 972 1840</t>
  </si>
  <si>
    <t>Алексеев Артур</t>
  </si>
  <si>
    <t>8 7 707 261 0551</t>
  </si>
  <si>
    <t>Пак Денис 2а</t>
  </si>
  <si>
    <t xml:space="preserve"> 8 705 710 9507</t>
  </si>
  <si>
    <t>Отрубянникова Виталина 3Б</t>
  </si>
  <si>
    <t>8 7 777 274 5958</t>
  </si>
  <si>
    <t>Дементьев Данил 4В</t>
  </si>
  <si>
    <t>8 777 353 3905</t>
  </si>
  <si>
    <t>Шиянов Максим 4В</t>
  </si>
  <si>
    <t xml:space="preserve"> 747 505 7780</t>
  </si>
  <si>
    <t xml:space="preserve">Копырина Софья </t>
  </si>
  <si>
    <t>8  777 367 4426</t>
  </si>
  <si>
    <t>Уголева Мила</t>
  </si>
  <si>
    <t xml:space="preserve"> 8 747 193 2271</t>
  </si>
  <si>
    <t xml:space="preserve">Курпелдесов Алинур </t>
  </si>
  <si>
    <t>8 705 522 0067</t>
  </si>
  <si>
    <t>Аскаров Али</t>
  </si>
  <si>
    <t>8 778 676 8317</t>
  </si>
  <si>
    <t xml:space="preserve">Уварова Розалина </t>
  </si>
  <si>
    <t>8 707 113 3053</t>
  </si>
  <si>
    <t>Уголева Амели</t>
  </si>
  <si>
    <t>Василий Казазаев 4 г</t>
  </si>
  <si>
    <t xml:space="preserve"> 8 705 794 4296</t>
  </si>
  <si>
    <t>Масимова Самира</t>
  </si>
  <si>
    <t xml:space="preserve"> 8 747 666 5486</t>
  </si>
  <si>
    <t>Не будут ходить</t>
  </si>
  <si>
    <t>Almaty Towers</t>
  </si>
  <si>
    <t>Нигара +7 701 449 1881</t>
  </si>
  <si>
    <t>12:00-13:00</t>
  </si>
  <si>
    <t>Мансур</t>
  </si>
  <si>
    <t>Арнур</t>
  </si>
  <si>
    <t>Ален</t>
  </si>
  <si>
    <t>Отмена</t>
  </si>
  <si>
    <t>Фатима</t>
  </si>
  <si>
    <t>Динара</t>
  </si>
  <si>
    <t>Севара</t>
  </si>
  <si>
    <t xml:space="preserve">Жанель </t>
  </si>
  <si>
    <t>Ая</t>
  </si>
  <si>
    <t>80 000</t>
  </si>
  <si>
    <t>40 000</t>
  </si>
  <si>
    <t>88 000 тг</t>
  </si>
  <si>
    <t>Балбобек</t>
  </si>
  <si>
    <t>Назира Байсултановна 8701 816 72 72</t>
  </si>
  <si>
    <t>Ул. Брусиловского 17</t>
  </si>
  <si>
    <t>Группа 15:30-16:30</t>
  </si>
  <si>
    <t>27.012026</t>
  </si>
  <si>
    <t>Моданов Тимур</t>
  </si>
  <si>
    <t>Костя Пак</t>
  </si>
  <si>
    <t>Елеусизова Айзара</t>
  </si>
  <si>
    <t>Алихан Елеусизов</t>
  </si>
  <si>
    <t>Исмайл</t>
  </si>
  <si>
    <t>Муслим</t>
  </si>
  <si>
    <t>Ислам</t>
  </si>
  <si>
    <t>Султан</t>
  </si>
  <si>
    <t>Ерсултан</t>
  </si>
  <si>
    <t>Савелий</t>
  </si>
  <si>
    <t>Акжол</t>
  </si>
  <si>
    <t>Киселеева Мария на сорев</t>
  </si>
  <si>
    <t>Всего</t>
  </si>
  <si>
    <t>119 000 тг</t>
  </si>
  <si>
    <t>84.000 тг</t>
  </si>
  <si>
    <t>Padishah</t>
  </si>
  <si>
    <t>Лейла 8 777 232 34 03</t>
  </si>
  <si>
    <t>15.30-16.30</t>
  </si>
  <si>
    <t>Салтанат дали зп</t>
  </si>
  <si>
    <t>Ерасыл</t>
  </si>
  <si>
    <t>Айжан</t>
  </si>
  <si>
    <t>Катя</t>
  </si>
  <si>
    <t>02.02.26-соревнование</t>
  </si>
  <si>
    <t>Айрин</t>
  </si>
  <si>
    <t>Амир</t>
  </si>
  <si>
    <t>Миша</t>
  </si>
  <si>
    <t>Бекарыс</t>
  </si>
  <si>
    <t>Максим</t>
  </si>
  <si>
    <t>Наиль</t>
  </si>
  <si>
    <t xml:space="preserve">Шамиль </t>
  </si>
  <si>
    <t xml:space="preserve">Медина </t>
  </si>
  <si>
    <t>Айза</t>
  </si>
  <si>
    <t xml:space="preserve">Мирослав </t>
  </si>
  <si>
    <t>Александра</t>
  </si>
  <si>
    <t>Глеб</t>
  </si>
  <si>
    <t>Оксана Сергеевна 8 777 033 0039</t>
  </si>
  <si>
    <t>Катя воспитатель</t>
  </si>
  <si>
    <t>8 707 268 1349</t>
  </si>
  <si>
    <t>Артем П</t>
  </si>
  <si>
    <t>Ваня</t>
  </si>
  <si>
    <t>Оскар</t>
  </si>
  <si>
    <t>Ян</t>
  </si>
  <si>
    <t>Мирон Х</t>
  </si>
  <si>
    <t>Макар</t>
  </si>
  <si>
    <t xml:space="preserve"> Амелия</t>
  </si>
  <si>
    <t>Данияр</t>
  </si>
  <si>
    <t>Мурат</t>
  </si>
  <si>
    <t>Райымбек</t>
  </si>
  <si>
    <t>Мирон</t>
  </si>
  <si>
    <t>Кайрат</t>
  </si>
  <si>
    <t>Василий</t>
  </si>
  <si>
    <t>Радмир</t>
  </si>
  <si>
    <t>126 000</t>
  </si>
  <si>
    <t>111.000 тг</t>
  </si>
  <si>
    <t xml:space="preserve">итого: </t>
  </si>
  <si>
    <t>93.000</t>
  </si>
  <si>
    <t>7 777 015 3142 Валентина</t>
  </si>
  <si>
    <t>кок тобе</t>
  </si>
  <si>
    <t>10:00-11:00</t>
  </si>
  <si>
    <t>Ф.И.О.</t>
  </si>
  <si>
    <t>Герман</t>
  </si>
  <si>
    <t>Сулейман</t>
  </si>
  <si>
    <t>Назар</t>
  </si>
  <si>
    <t>Димит</t>
  </si>
  <si>
    <t>Алдияр</t>
  </si>
  <si>
    <t>Тео</t>
  </si>
  <si>
    <t>Шерхан</t>
  </si>
  <si>
    <t>Айдан</t>
  </si>
  <si>
    <t>Дема</t>
  </si>
  <si>
    <t>Далим</t>
  </si>
  <si>
    <t>Алим</t>
  </si>
  <si>
    <t>Батырхан</t>
  </si>
  <si>
    <t>Адильхан</t>
  </si>
  <si>
    <t>Амели</t>
  </si>
  <si>
    <t>Соревнование 8</t>
  </si>
  <si>
    <t>24 000</t>
  </si>
  <si>
    <t>54 000 тг</t>
  </si>
  <si>
    <r>
      <rPr>
        <b/>
        <sz val="14"/>
        <color theme="1"/>
        <rFont val="Calibri"/>
      </rPr>
      <t xml:space="preserve"> </t>
    </r>
    <r>
      <rPr>
        <b/>
        <sz val="23"/>
        <color theme="1"/>
        <rFont val="Calibri"/>
      </rPr>
      <t>Куншуак</t>
    </r>
  </si>
  <si>
    <t>Галина Владимировна +7 701 218 92 32</t>
  </si>
  <si>
    <t>ул. Ульяновская 32</t>
  </si>
  <si>
    <t>Аскарали</t>
  </si>
  <si>
    <t>Орион</t>
  </si>
  <si>
    <t>Юра</t>
  </si>
  <si>
    <t>Яна</t>
  </si>
  <si>
    <t>Даниял</t>
  </si>
  <si>
    <t>Рамаль</t>
  </si>
  <si>
    <t>Арина</t>
  </si>
  <si>
    <t>Адал</t>
  </si>
  <si>
    <t>Эльман</t>
  </si>
  <si>
    <t xml:space="preserve">Димаш </t>
  </si>
  <si>
    <t>Варвара</t>
  </si>
  <si>
    <t>48 000</t>
  </si>
  <si>
    <t>102.000 тг</t>
  </si>
  <si>
    <t>Academ kids</t>
  </si>
  <si>
    <t>8777 019 0668 Улдана</t>
  </si>
  <si>
    <t>Сайран</t>
  </si>
  <si>
    <t>5000 за проб оплатили</t>
  </si>
  <si>
    <t>Kids discovery</t>
  </si>
  <si>
    <t>Аида  8 776 287 8800</t>
  </si>
  <si>
    <t>пчеловодная 4</t>
  </si>
  <si>
    <t>дамир</t>
  </si>
  <si>
    <t>дархан</t>
  </si>
  <si>
    <t xml:space="preserve">Дамир </t>
  </si>
  <si>
    <t>14.11.2025 отменили</t>
  </si>
  <si>
    <t>,30.1</t>
  </si>
  <si>
    <t>Юсуф</t>
  </si>
  <si>
    <t>Искандер</t>
  </si>
  <si>
    <t>Даниил</t>
  </si>
  <si>
    <t>Илай</t>
  </si>
  <si>
    <t xml:space="preserve">пробный </t>
  </si>
  <si>
    <t>Егор</t>
  </si>
  <si>
    <t xml:space="preserve">Дима </t>
  </si>
  <si>
    <t xml:space="preserve">Мариям </t>
  </si>
  <si>
    <t>Алишер</t>
  </si>
  <si>
    <t>Талант</t>
  </si>
  <si>
    <t>Сумай</t>
  </si>
  <si>
    <t>Коля</t>
  </si>
  <si>
    <t>АМир</t>
  </si>
  <si>
    <t>Дима</t>
  </si>
  <si>
    <t>Исмаэль</t>
  </si>
  <si>
    <t>Мила</t>
  </si>
  <si>
    <t xml:space="preserve">Юнус </t>
  </si>
  <si>
    <t>Латифа</t>
  </si>
  <si>
    <t>Биназир</t>
  </si>
  <si>
    <t>90.000 тг</t>
  </si>
  <si>
    <t>ф.И.О. ребенка</t>
  </si>
  <si>
    <t>Камиль</t>
  </si>
  <si>
    <t>Николай</t>
  </si>
  <si>
    <t>Кабу</t>
  </si>
  <si>
    <t>АмирАли</t>
  </si>
  <si>
    <t>Мустафа</t>
  </si>
  <si>
    <t xml:space="preserve">       итого</t>
  </si>
  <si>
    <t>99 000 тг</t>
  </si>
  <si>
    <t>126 000 тг</t>
  </si>
  <si>
    <t>171 000</t>
  </si>
  <si>
    <t>Таугуль</t>
  </si>
  <si>
    <t>16:00 - 17:30 пятница</t>
  </si>
  <si>
    <t>21.11.2025 пробный урок</t>
  </si>
  <si>
    <t>Айсана</t>
  </si>
  <si>
    <t>Амина Жумахан</t>
  </si>
  <si>
    <t>Анжелика</t>
  </si>
  <si>
    <t>Айару</t>
  </si>
  <si>
    <t>Илья</t>
  </si>
  <si>
    <t>Варя</t>
  </si>
  <si>
    <t xml:space="preserve">Есения </t>
  </si>
  <si>
    <t>Тамирис</t>
  </si>
  <si>
    <t>Амина Бекишева</t>
  </si>
  <si>
    <t>Айым</t>
  </si>
  <si>
    <t>Рома</t>
  </si>
  <si>
    <t>Матвей</t>
  </si>
  <si>
    <t>Кайсар</t>
  </si>
  <si>
    <t>Эмин</t>
  </si>
  <si>
    <t>Адияр</t>
  </si>
  <si>
    <t>Ратмир</t>
  </si>
  <si>
    <t>63 000 тг</t>
  </si>
  <si>
    <t>57.000 тг</t>
  </si>
  <si>
    <t>КУН-АЙ</t>
  </si>
  <si>
    <r>
      <rPr>
        <sz val="10"/>
        <color theme="1"/>
        <rFont val="Arial"/>
      </rPr>
      <t>тел.</t>
    </r>
    <r>
      <rPr>
        <sz val="13"/>
        <color theme="1"/>
        <rFont val="Arial"/>
      </rPr>
      <t>87078087531 Анара</t>
    </r>
  </si>
  <si>
    <t>3000/500</t>
  </si>
  <si>
    <t>Байтерек тобы</t>
  </si>
  <si>
    <t>Воспитатель Кун-Ай Дана -      8 776 639 86 10</t>
  </si>
  <si>
    <t>9:30 мл гр четверг</t>
  </si>
  <si>
    <t>родители или воспитатели</t>
  </si>
  <si>
    <t>Жангирхан</t>
  </si>
  <si>
    <t>8 707 810 9289</t>
  </si>
  <si>
    <t>12 000</t>
  </si>
  <si>
    <t>9000-нал</t>
  </si>
  <si>
    <t>Нурасыл</t>
  </si>
  <si>
    <t>7 777 226 9683 Акбота</t>
  </si>
  <si>
    <t>12000-нал</t>
  </si>
  <si>
    <t>Абылайхан</t>
  </si>
  <si>
    <t xml:space="preserve">8 707 714 1804 </t>
  </si>
  <si>
    <t>8 775 258 3393</t>
  </si>
  <si>
    <t>Айерке</t>
  </si>
  <si>
    <t>8 702 735 1122</t>
  </si>
  <si>
    <t>Айла</t>
  </si>
  <si>
    <t>8 778 303 7212</t>
  </si>
  <si>
    <t>Абдулла</t>
  </si>
  <si>
    <t>8 701 828 6818 - Тамамила</t>
  </si>
  <si>
    <t>Абай</t>
  </si>
  <si>
    <t>8 707 261 1399</t>
  </si>
  <si>
    <t>Нур</t>
  </si>
  <si>
    <t>8 707 808 7531</t>
  </si>
  <si>
    <t>9000 из разницы</t>
  </si>
  <si>
    <t>Батырали</t>
  </si>
  <si>
    <t>Нурали</t>
  </si>
  <si>
    <t>8 747 843 0448 - воспитатель</t>
  </si>
  <si>
    <t>Айбарыс</t>
  </si>
  <si>
    <t>Адинур</t>
  </si>
  <si>
    <t>счет на оплту на отуа</t>
  </si>
  <si>
    <t>Батырлан</t>
  </si>
  <si>
    <t>8 776 639 8610 - воспитатель</t>
  </si>
  <si>
    <t>6000-нал</t>
  </si>
  <si>
    <t>Абзал</t>
  </si>
  <si>
    <t>Айбарыс пробный</t>
  </si>
  <si>
    <t>нурмаш</t>
  </si>
  <si>
    <t>Абдурахим</t>
  </si>
  <si>
    <t>Нуримаш</t>
  </si>
  <si>
    <t>Еркен-ай тобы</t>
  </si>
  <si>
    <t xml:space="preserve">воспитатель 8 705 259 44 46 </t>
  </si>
  <si>
    <t>12:30 ст гр четверг</t>
  </si>
  <si>
    <t>Ерназар</t>
  </si>
  <si>
    <t>Улугбек</t>
  </si>
  <si>
    <t>7 707 240 2909</t>
  </si>
  <si>
    <t>Аминат</t>
  </si>
  <si>
    <t>8 705 259 4446 - воспитатель</t>
  </si>
  <si>
    <t>Имангали</t>
  </si>
  <si>
    <t>Ахмет</t>
  </si>
  <si>
    <t>7 701 555 5095</t>
  </si>
  <si>
    <t>и за прошлый</t>
  </si>
  <si>
    <t>Динмухаммед</t>
  </si>
  <si>
    <t>7 701 877 6103</t>
  </si>
  <si>
    <t>Сафийа</t>
  </si>
  <si>
    <t>7 701 317 2012</t>
  </si>
  <si>
    <t>Инара</t>
  </si>
  <si>
    <t>только пробный</t>
  </si>
  <si>
    <t>Ханшайым</t>
  </si>
  <si>
    <t>Алибек</t>
  </si>
  <si>
    <t>8 778 815 5757</t>
  </si>
  <si>
    <t>просит видео</t>
  </si>
  <si>
    <t>Молдыр</t>
  </si>
  <si>
    <t>Алимырза</t>
  </si>
  <si>
    <t>Аяп Арсен</t>
  </si>
  <si>
    <t>Аяп Али</t>
  </si>
  <si>
    <t>Азамат Айша</t>
  </si>
  <si>
    <t>Общая сумма</t>
  </si>
  <si>
    <t>165 000 тг</t>
  </si>
  <si>
    <t>192.000</t>
  </si>
  <si>
    <t>183.000 тг</t>
  </si>
  <si>
    <t>Общее количество посещаемости</t>
  </si>
  <si>
    <t xml:space="preserve">Aseka Education </t>
  </si>
  <si>
    <t xml:space="preserve"> 8 747 770  00  76 Директор Асель </t>
  </si>
  <si>
    <t>15.00-16.00</t>
  </si>
  <si>
    <t xml:space="preserve">Ф.И.О ребенка </t>
  </si>
  <si>
    <t>Магаммед</t>
  </si>
  <si>
    <t>Адилет</t>
  </si>
  <si>
    <t>30 000</t>
  </si>
  <si>
    <t>9000 тг</t>
  </si>
  <si>
    <t>"Aseka+" Кызыл Ту</t>
  </si>
  <si>
    <t>Директор: Айнур</t>
  </si>
  <si>
    <t>Моб: +7 777 029 94 98</t>
  </si>
  <si>
    <t xml:space="preserve">Салтанат </t>
  </si>
  <si>
    <t>Эмиль</t>
  </si>
  <si>
    <t>Руслан</t>
  </si>
  <si>
    <t>Салих</t>
  </si>
  <si>
    <t>Всего;</t>
  </si>
  <si>
    <t>33 000</t>
  </si>
  <si>
    <t>ЛУКОМОРЬЯ</t>
  </si>
  <si>
    <t>ТЕЛ .87017128784 ИРИНА</t>
  </si>
  <si>
    <t>https://go.2gis.com/1n3De</t>
  </si>
  <si>
    <t>13.-14.00</t>
  </si>
  <si>
    <t>Леонид</t>
  </si>
  <si>
    <t>Бернар</t>
  </si>
  <si>
    <t>42 000</t>
  </si>
  <si>
    <t>"Ziyatker Plus"</t>
  </si>
  <si>
    <t>Директор: Алина +7 776 755 44 11</t>
  </si>
  <si>
    <t>https://go.2gis.com/yZPu4</t>
  </si>
  <si>
    <t>Среда 18.00.</t>
  </si>
  <si>
    <t>Мерлин Марк</t>
  </si>
  <si>
    <t>Сардар</t>
  </si>
  <si>
    <t>Адлет</t>
  </si>
  <si>
    <t>Ерулан</t>
  </si>
  <si>
    <t>Радамир</t>
  </si>
  <si>
    <t>Аминь</t>
  </si>
  <si>
    <t>120 000</t>
  </si>
  <si>
    <t>84 000</t>
  </si>
  <si>
    <t>Радость на Майлина</t>
  </si>
  <si>
    <t>Алия Бауыржановна Моб: +7 777 238 00 44  +7 705 416 01 19</t>
  </si>
  <si>
    <t>Моб: +7 777 238 00 44</t>
  </si>
  <si>
    <t>https://go.2gis.com/m3IDC</t>
  </si>
  <si>
    <t>Заведующая: Алия Бауыржановна</t>
  </si>
  <si>
    <t>понедельник 9:00</t>
  </si>
  <si>
    <t>Ника</t>
  </si>
  <si>
    <t>Тая</t>
  </si>
  <si>
    <t>Лера</t>
  </si>
  <si>
    <t>Милена</t>
  </si>
  <si>
    <t>Гена</t>
  </si>
  <si>
    <t>Оливья</t>
  </si>
  <si>
    <t>77 000 тг</t>
  </si>
  <si>
    <t>Алиаскар</t>
  </si>
  <si>
    <t>Мелек</t>
  </si>
  <si>
    <t>Арлен</t>
  </si>
  <si>
    <t xml:space="preserve">Радион </t>
  </si>
  <si>
    <t>Демид</t>
  </si>
  <si>
    <t>Аделина</t>
  </si>
  <si>
    <t>Рамина</t>
  </si>
  <si>
    <t>Ксения</t>
  </si>
  <si>
    <t>Маша</t>
  </si>
  <si>
    <t>СумаЯ</t>
  </si>
  <si>
    <t>Венера</t>
  </si>
  <si>
    <t>108 500</t>
  </si>
  <si>
    <t xml:space="preserve">Адриан </t>
  </si>
  <si>
    <t>Алиса</t>
  </si>
  <si>
    <t>Анеля</t>
  </si>
  <si>
    <t>Рамазан</t>
  </si>
  <si>
    <t>Аслан</t>
  </si>
  <si>
    <t>Адрианна</t>
  </si>
  <si>
    <t>Тея</t>
  </si>
  <si>
    <t>101 500</t>
  </si>
  <si>
    <t>346 500 тг</t>
  </si>
  <si>
    <t>304 500</t>
  </si>
  <si>
    <t>Общее количество</t>
  </si>
  <si>
    <t>287 000 тг</t>
  </si>
  <si>
    <t>Радость на Розыбакиева</t>
  </si>
  <si>
    <t>Динара Сардаровна +7 747 294 95 88</t>
  </si>
  <si>
    <t>https://go.2gis.com/suOX7</t>
  </si>
  <si>
    <t>Вторник 11.30-12.30</t>
  </si>
  <si>
    <t>Саша П</t>
  </si>
  <si>
    <t>Валерия Пак</t>
  </si>
  <si>
    <t>Данил</t>
  </si>
  <si>
    <t xml:space="preserve">Назар </t>
  </si>
  <si>
    <t>Лия</t>
  </si>
  <si>
    <t>Виталина</t>
  </si>
  <si>
    <t>Ная</t>
  </si>
  <si>
    <t>Элиф</t>
  </si>
  <si>
    <t>Кан Лев</t>
  </si>
  <si>
    <t>Давид Когай</t>
  </si>
  <si>
    <t>Эзель</t>
  </si>
  <si>
    <t>60 000</t>
  </si>
  <si>
    <t>64 000</t>
  </si>
  <si>
    <t>92.000 тг</t>
  </si>
  <si>
    <t>132.000тг</t>
  </si>
  <si>
    <t>88.000тг</t>
  </si>
  <si>
    <t>Happy Time</t>
  </si>
  <si>
    <t>Имя</t>
  </si>
  <si>
    <t>Сумма</t>
  </si>
  <si>
    <t>Алинур</t>
  </si>
  <si>
    <t>Ыкылас</t>
  </si>
  <si>
    <t>Асылым О</t>
  </si>
  <si>
    <t>Альхам</t>
  </si>
  <si>
    <t>Адемай</t>
  </si>
  <si>
    <t>Сергей</t>
  </si>
  <si>
    <t>Хасият</t>
  </si>
  <si>
    <t>Асылым</t>
  </si>
  <si>
    <t>Арайлым</t>
  </si>
  <si>
    <t>Аянат</t>
  </si>
  <si>
    <t>Мерей</t>
  </si>
  <si>
    <t>Арсен</t>
  </si>
  <si>
    <t>Осман</t>
  </si>
  <si>
    <t>Куралай Б</t>
  </si>
  <si>
    <t>Cosmo</t>
  </si>
  <si>
    <t xml:space="preserve">Контакты 8 702 881 77 99 Жанель </t>
  </si>
  <si>
    <t>всего</t>
  </si>
  <si>
    <t>Иван</t>
  </si>
  <si>
    <t>Сафина</t>
  </si>
  <si>
    <t>Бостон</t>
  </si>
  <si>
    <t>Али</t>
  </si>
  <si>
    <t>Карим</t>
  </si>
  <si>
    <t>Вадим</t>
  </si>
  <si>
    <t>INTERSCHOOL</t>
  </si>
  <si>
    <t>Ольга Евгеньевна  87012107701</t>
  </si>
  <si>
    <t>https://go.2gis.com/8GnHf</t>
  </si>
  <si>
    <t>пробное занятие</t>
  </si>
  <si>
    <t>10.30-11.30</t>
  </si>
  <si>
    <t>Aigul</t>
  </si>
  <si>
    <t xml:space="preserve">Ф.И.О. </t>
  </si>
  <si>
    <t>Ансар</t>
  </si>
  <si>
    <t>48 000  тг</t>
  </si>
  <si>
    <t>44 000 тг</t>
  </si>
  <si>
    <t>52.000 тг</t>
  </si>
  <si>
    <t>БАТЫР</t>
  </si>
  <si>
    <t>МОБ:87755167492   АЙГУЛЬ</t>
  </si>
  <si>
    <t>https://go.2gis.com/rDp3P</t>
  </si>
  <si>
    <t>10.00-11.00</t>
  </si>
  <si>
    <t>07.11..2025</t>
  </si>
  <si>
    <t>06.012026</t>
  </si>
  <si>
    <t>Константин</t>
  </si>
  <si>
    <t>Альтаир</t>
  </si>
  <si>
    <t>Соревнование</t>
  </si>
  <si>
    <t>62 500</t>
  </si>
  <si>
    <t>50 000 тг</t>
  </si>
  <si>
    <t>57 500 тг</t>
  </si>
  <si>
    <t>45.000 тг</t>
  </si>
  <si>
    <t>37.500 тг</t>
  </si>
  <si>
    <t>"Klass"</t>
  </si>
  <si>
    <t>https://go.2gis.com/QZwHV</t>
  </si>
  <si>
    <t>Моб: +7 747 461 97 26 Директор: Яна</t>
  </si>
  <si>
    <t>11:30-12:30</t>
  </si>
  <si>
    <t>Паша</t>
  </si>
  <si>
    <t>Леша</t>
  </si>
  <si>
    <t>Альнур</t>
  </si>
  <si>
    <t xml:space="preserve">гоша </t>
  </si>
  <si>
    <t>амир</t>
  </si>
  <si>
    <t>14:00-15:00</t>
  </si>
  <si>
    <t>Аружан</t>
  </si>
  <si>
    <t>Алес</t>
  </si>
  <si>
    <t>Ильдар</t>
  </si>
  <si>
    <t>108 000 тг</t>
  </si>
  <si>
    <t>120.000 тг</t>
  </si>
  <si>
    <t>136 000</t>
  </si>
  <si>
    <t>ЖАЖДА ПОЗНАНИЯ</t>
  </si>
  <si>
    <t>Наталья 87071113698</t>
  </si>
  <si>
    <t>ул.Шаврова 34</t>
  </si>
  <si>
    <t>15.12.2025 - бесплатный урок</t>
  </si>
  <si>
    <t>Саша</t>
  </si>
  <si>
    <t>Итого:</t>
  </si>
  <si>
    <t>28 000</t>
  </si>
  <si>
    <t>40 000 тг</t>
  </si>
  <si>
    <t>52 000 тг</t>
  </si>
  <si>
    <t>ProЗнания</t>
  </si>
  <si>
    <t>ТЕЛ .877079464460  Мадина</t>
  </si>
  <si>
    <t>Район Думан Грин Сити</t>
  </si>
  <si>
    <t>14.00-15.00</t>
  </si>
  <si>
    <t>Амирхан</t>
  </si>
  <si>
    <t xml:space="preserve">Ерсаин </t>
  </si>
  <si>
    <t>Аликей</t>
  </si>
  <si>
    <t>18 750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</si>
</sst>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\.m"/>
    <numFmt numFmtId="165" formatCode="dd\.mm\.yyyy"/>
    <numFmt numFmtId="166" formatCode="dd\.mm"/>
    <numFmt numFmtId="167" formatCode="dd\.mm\.yy"/>
    <numFmt numFmtId="168" formatCode="d\.m\.yyyy"/>
    <numFmt numFmtId="169" formatCode="dd\.mm\."/>
    <numFmt numFmtId="170" formatCode="d\.m\.yy"/>
    <numFmt numFmtId="171" formatCode="dddd\ d\.m"/>
    <numFmt numFmtId="172" formatCode="dd/mm"/>
  </numFmts>
  <fonts count="84">
    <font>
      <sz val="10"/>
      <color rgb="FF000000"/>
      <name val="Arial"/>
      <scheme val="minor"/>
    </font>
    <font>
      <sz val="10"/>
      <color theme="1"/>
      <name val="Times New Roman"/>
    </font>
    <font>
      <sz val="11"/>
      <color theme="1"/>
      <name val="Times New Roman"/>
    </font>
    <font>
      <sz val="10"/>
      <color theme="1"/>
      <name val="Times New Roman"/>
    </font>
    <font>
      <b/>
      <sz val="11"/>
      <color theme="1"/>
      <name val="Times New Roman"/>
    </font>
    <font>
      <sz val="10"/>
      <name val="Arial"/>
    </font>
    <font>
      <b/>
      <u/>
      <sz val="11"/>
      <color rgb="FF38761D"/>
      <name val="Times New Roman"/>
    </font>
    <font>
      <b/>
      <sz val="11"/>
      <color rgb="FF38761D"/>
      <name val="Times New Roman"/>
    </font>
    <font>
      <b/>
      <u/>
      <sz val="11"/>
      <color rgb="FF38761D"/>
      <name val="Times New Roman"/>
    </font>
    <font>
      <b/>
      <u/>
      <sz val="11"/>
      <color rgb="FF38761D"/>
      <name val="Times New Roman"/>
    </font>
    <font>
      <b/>
      <u/>
      <sz val="11"/>
      <color rgb="FF38761D"/>
      <name val="Times New Roman"/>
    </font>
    <font>
      <b/>
      <u/>
      <sz val="11"/>
      <color theme="1"/>
      <name val="Times New Roman"/>
    </font>
    <font>
      <b/>
      <u/>
      <sz val="11"/>
      <color rgb="FF0000FF"/>
      <name val="Times New Roman"/>
    </font>
    <font>
      <b/>
      <sz val="10"/>
      <color theme="1"/>
      <name val="Times New Roman"/>
    </font>
    <font>
      <b/>
      <u/>
      <sz val="11"/>
      <color theme="1"/>
      <name val="Times New Roman"/>
    </font>
    <font>
      <b/>
      <u/>
      <sz val="11"/>
      <color rgb="FF38761D"/>
      <name val="Times New Roman"/>
    </font>
    <font>
      <b/>
      <sz val="11"/>
      <color rgb="FF0000FF"/>
      <name val="Times New Roman"/>
    </font>
    <font>
      <b/>
      <u/>
      <sz val="11"/>
      <color rgb="FF38761D"/>
      <name val="Times New Roman"/>
    </font>
    <font>
      <b/>
      <sz val="11"/>
      <color rgb="FF000000"/>
      <name val="Times New Roman"/>
    </font>
    <font>
      <sz val="11"/>
      <color rgb="FF38761D"/>
      <name val="Times New Roman"/>
    </font>
    <font>
      <b/>
      <u/>
      <sz val="11"/>
      <color rgb="FF38761D"/>
      <name val="Times New Roman"/>
    </font>
    <font>
      <b/>
      <u/>
      <sz val="11"/>
      <color rgb="FF38761D"/>
      <name val="Times New Roman"/>
    </font>
    <font>
      <b/>
      <sz val="11"/>
      <color rgb="FF4A86E8"/>
      <name val="Times New Roman"/>
    </font>
    <font>
      <b/>
      <sz val="11"/>
      <color rgb="FFFF0000"/>
      <name val="Times New Roman"/>
    </font>
    <font>
      <b/>
      <u/>
      <sz val="11"/>
      <color rgb="FF38761D"/>
      <name val="Times New Roman"/>
    </font>
    <font>
      <sz val="11"/>
      <color rgb="FF000000"/>
      <name val="Times New Roman"/>
    </font>
    <font>
      <b/>
      <u/>
      <sz val="11"/>
      <color rgb="FF0000FF"/>
      <name val="Times New Roman"/>
    </font>
    <font>
      <b/>
      <u/>
      <sz val="11"/>
      <color rgb="FF0000FF"/>
      <name val="Times New Roman"/>
    </font>
    <font>
      <b/>
      <sz val="23"/>
      <color theme="1"/>
      <name val="Arial"/>
      <scheme val="minor"/>
    </font>
    <font>
      <b/>
      <sz val="27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b/>
      <sz val="18"/>
      <color theme="1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sz val="16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8"/>
      <color theme="1"/>
      <name val="Times New Roman"/>
    </font>
    <font>
      <b/>
      <sz val="10"/>
      <color rgb="FF0000FF"/>
      <name val="Arial"/>
      <scheme val="minor"/>
    </font>
    <font>
      <sz val="12"/>
      <color theme="1"/>
      <name val="Arial"/>
      <scheme val="minor"/>
    </font>
    <font>
      <b/>
      <u/>
      <sz val="19"/>
      <color theme="1"/>
      <name val="Calibri"/>
    </font>
    <font>
      <b/>
      <u/>
      <sz val="19"/>
      <color theme="1"/>
      <name val="Calibri"/>
    </font>
    <font>
      <b/>
      <sz val="17"/>
      <color theme="1"/>
      <name val="Calibri"/>
    </font>
    <font>
      <b/>
      <sz val="13"/>
      <color theme="1"/>
      <name val="Calibri"/>
    </font>
    <font>
      <b/>
      <i/>
      <sz val="12"/>
      <color theme="1"/>
      <name val="Calibri"/>
    </font>
    <font>
      <b/>
      <sz val="12"/>
      <color theme="1"/>
      <name val="Calibri"/>
    </font>
    <font>
      <sz val="21"/>
      <color theme="1"/>
      <name val="Arial"/>
      <scheme val="minor"/>
    </font>
    <font>
      <b/>
      <sz val="23"/>
      <color theme="1"/>
      <name val="Calibri"/>
    </font>
    <font>
      <sz val="12"/>
      <color theme="1"/>
      <name val="Calibri"/>
    </font>
    <font>
      <b/>
      <sz val="20"/>
      <color theme="1"/>
      <name val="Calibri"/>
    </font>
    <font>
      <sz val="13"/>
      <color theme="1"/>
      <name val="Calibri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sz val="19"/>
      <color theme="1"/>
      <name val="Calibri"/>
    </font>
    <font>
      <b/>
      <sz val="24"/>
      <color theme="1"/>
      <name val="Arial"/>
      <scheme val="minor"/>
    </font>
    <font>
      <b/>
      <sz val="14"/>
      <color theme="1"/>
      <name val="Calibri"/>
    </font>
    <font>
      <b/>
      <sz val="19"/>
      <color theme="1"/>
      <name val="Arial"/>
      <scheme val="minor"/>
    </font>
    <font>
      <b/>
      <sz val="21"/>
      <color theme="1"/>
      <name val="Arial"/>
      <scheme val="minor"/>
    </font>
    <font>
      <b/>
      <u/>
      <sz val="18"/>
      <color theme="1"/>
      <name val="Calibri"/>
    </font>
    <font>
      <b/>
      <sz val="17"/>
      <color theme="1"/>
      <name val="Arial"/>
      <scheme val="minor"/>
    </font>
    <font>
      <u/>
      <sz val="10"/>
      <color rgb="FF0000FF"/>
      <name val="Arial"/>
    </font>
    <font>
      <b/>
      <u/>
      <sz val="21"/>
      <color theme="1"/>
      <name val="Calibri"/>
    </font>
    <font>
      <u/>
      <sz val="11"/>
      <color rgb="FF0000FF"/>
      <name val="Calibri"/>
    </font>
    <font>
      <sz val="11"/>
      <color theme="1"/>
      <name val="Arial"/>
      <scheme val="minor"/>
    </font>
    <font>
      <sz val="11"/>
      <color theme="1"/>
      <name val="Arial"/>
    </font>
    <font>
      <sz val="11"/>
      <color rgb="FF000000"/>
      <name val="Calibri"/>
    </font>
    <font>
      <sz val="11"/>
      <color rgb="FF000000"/>
      <name val="Arial"/>
      <scheme val="minor"/>
    </font>
    <font>
      <b/>
      <sz val="13"/>
      <color theme="1"/>
      <name val="Arial"/>
      <scheme val="minor"/>
    </font>
    <font>
      <u/>
      <sz val="11"/>
      <color rgb="FF0000FF"/>
      <name val="Arial"/>
    </font>
    <font>
      <b/>
      <sz val="16"/>
      <color theme="1"/>
      <name val="Arial"/>
      <scheme val="minor"/>
    </font>
    <font>
      <sz val="12"/>
      <color rgb="FF1F1F1F"/>
      <name val="&quot;Google Sans Flex&quot;"/>
    </font>
    <font>
      <b/>
      <sz val="27"/>
      <color theme="1"/>
      <name val="Calibri"/>
    </font>
    <font>
      <sz val="15"/>
      <color theme="1"/>
      <name val="Arial"/>
      <scheme val="minor"/>
    </font>
    <font>
      <b/>
      <sz val="15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1155CC"/>
      <name val="Arial"/>
    </font>
    <font>
      <sz val="13"/>
      <color theme="1"/>
      <name val="Arial"/>
    </font>
  </fonts>
  <fills count="2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D0CECE"/>
        <bgColor rgb="FFD0CECE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0000FF"/>
        <bgColor rgb="FF0000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" fillId="3" borderId="0" xfId="0" applyFont="1" applyFill="1"/>
    <xf numFmtId="0" fontId="1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7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20" fontId="1" fillId="0" borderId="3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9" fillId="3" borderId="3" xfId="0" applyFont="1" applyFill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1" fillId="3" borderId="4" xfId="0" applyFont="1" applyFill="1" applyBorder="1" applyAlignment="1">
      <alignment horizontal="left"/>
    </xf>
    <xf numFmtId="0" fontId="12" fillId="3" borderId="3" xfId="0" applyFont="1" applyFill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13" fillId="3" borderId="0" xfId="0" applyFont="1" applyFill="1" applyAlignment="1">
      <alignment horizontal="left"/>
    </xf>
    <xf numFmtId="0" fontId="14" fillId="3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15" fillId="0" borderId="3" xfId="0" applyFont="1" applyBorder="1" applyAlignment="1">
      <alignment horizontal="center"/>
    </xf>
    <xf numFmtId="0" fontId="16" fillId="0" borderId="3" xfId="0" applyFont="1" applyBorder="1" applyAlignment="1">
      <alignment horizontal="left"/>
    </xf>
    <xf numFmtId="0" fontId="17" fillId="3" borderId="3" xfId="0" applyFont="1" applyFill="1" applyBorder="1" applyAlignment="1">
      <alignment horizontal="center"/>
    </xf>
    <xf numFmtId="165" fontId="2" fillId="0" borderId="0" xfId="0" applyNumberFormat="1" applyFont="1"/>
    <xf numFmtId="0" fontId="1" fillId="2" borderId="3" xfId="0" applyFont="1" applyFill="1" applyBorder="1"/>
    <xf numFmtId="0" fontId="2" fillId="2" borderId="3" xfId="0" applyFont="1" applyFill="1" applyBorder="1"/>
    <xf numFmtId="0" fontId="2" fillId="2" borderId="1" xfId="0" applyFont="1" applyFill="1" applyBorder="1"/>
    <xf numFmtId="0" fontId="1" fillId="3" borderId="5" xfId="0" applyFont="1" applyFill="1" applyBorder="1"/>
    <xf numFmtId="0" fontId="1" fillId="0" borderId="3" xfId="0" applyFont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4" fillId="3" borderId="3" xfId="0" applyFont="1" applyFill="1" applyBorder="1"/>
    <xf numFmtId="0" fontId="1" fillId="3" borderId="3" xfId="0" applyFont="1" applyFill="1" applyBorder="1" applyAlignment="1">
      <alignment horizontal="center"/>
    </xf>
    <xf numFmtId="0" fontId="4" fillId="5" borderId="3" xfId="0" applyFont="1" applyFill="1" applyBorder="1"/>
    <xf numFmtId="0" fontId="1" fillId="3" borderId="5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9" fillId="0" borderId="0" xfId="0" applyFont="1"/>
    <xf numFmtId="0" fontId="20" fillId="3" borderId="3" xfId="0" applyFont="1" applyFill="1" applyBorder="1"/>
    <xf numFmtId="20" fontId="1" fillId="0" borderId="3" xfId="0" applyNumberFormat="1" applyFont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0" fontId="7" fillId="0" borderId="3" xfId="0" applyFont="1" applyBorder="1"/>
    <xf numFmtId="0" fontId="4" fillId="3" borderId="3" xfId="0" applyFont="1" applyFill="1" applyBorder="1" applyAlignment="1">
      <alignment horizontal="center"/>
    </xf>
    <xf numFmtId="0" fontId="4" fillId="3" borderId="0" xfId="0" applyFont="1" applyFill="1"/>
    <xf numFmtId="0" fontId="21" fillId="3" borderId="3" xfId="0" applyFont="1" applyFill="1" applyBorder="1" applyAlignment="1">
      <alignment horizontal="center"/>
    </xf>
    <xf numFmtId="0" fontId="1" fillId="0" borderId="3" xfId="0" applyFont="1" applyBorder="1"/>
    <xf numFmtId="0" fontId="2" fillId="6" borderId="3" xfId="0" applyFont="1" applyFill="1" applyBorder="1"/>
    <xf numFmtId="0" fontId="2" fillId="3" borderId="3" xfId="0" applyFont="1" applyFill="1" applyBorder="1"/>
    <xf numFmtId="0" fontId="2" fillId="0" borderId="3" xfId="0" applyFont="1" applyBorder="1"/>
    <xf numFmtId="0" fontId="7" fillId="3" borderId="3" xfId="0" applyFont="1" applyFill="1" applyBorder="1"/>
    <xf numFmtId="0" fontId="22" fillId="3" borderId="3" xfId="0" applyFont="1" applyFill="1" applyBorder="1"/>
    <xf numFmtId="0" fontId="7" fillId="3" borderId="3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23" fillId="3" borderId="3" xfId="0" applyFont="1" applyFill="1" applyBorder="1"/>
    <xf numFmtId="0" fontId="7" fillId="0" borderId="3" xfId="0" applyFont="1" applyBorder="1" applyAlignment="1">
      <alignment horizontal="center"/>
    </xf>
    <xf numFmtId="0" fontId="24" fillId="3" borderId="3" xfId="0" applyFont="1" applyFill="1" applyBorder="1"/>
    <xf numFmtId="0" fontId="13" fillId="0" borderId="0" xfId="0" applyFont="1"/>
    <xf numFmtId="0" fontId="1" fillId="2" borderId="0" xfId="0" applyFont="1" applyFill="1"/>
    <xf numFmtId="0" fontId="25" fillId="3" borderId="3" xfId="0" applyFont="1" applyFill="1" applyBorder="1"/>
    <xf numFmtId="0" fontId="18" fillId="0" borderId="3" xfId="0" applyFont="1" applyBorder="1" applyAlignment="1">
      <alignment horizontal="center"/>
    </xf>
    <xf numFmtId="0" fontId="18" fillId="3" borderId="3" xfId="0" applyFont="1" applyFill="1" applyBorder="1"/>
    <xf numFmtId="0" fontId="16" fillId="3" borderId="3" xfId="0" applyFont="1" applyFill="1" applyBorder="1" applyAlignment="1">
      <alignment horizontal="center"/>
    </xf>
    <xf numFmtId="0" fontId="26" fillId="0" borderId="3" xfId="0" applyFont="1" applyBorder="1" applyAlignment="1">
      <alignment horizontal="left"/>
    </xf>
    <xf numFmtId="0" fontId="18" fillId="3" borderId="3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" fillId="5" borderId="3" xfId="0" applyFont="1" applyFill="1" applyBorder="1"/>
    <xf numFmtId="0" fontId="16" fillId="3" borderId="3" xfId="0" applyFont="1" applyFill="1" applyBorder="1"/>
    <xf numFmtId="20" fontId="1" fillId="3" borderId="3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5" borderId="3" xfId="0" applyFont="1" applyFill="1" applyBorder="1"/>
    <xf numFmtId="164" fontId="1" fillId="3" borderId="3" xfId="0" applyNumberFormat="1" applyFont="1" applyFill="1" applyBorder="1" applyAlignment="1">
      <alignment horizontal="center"/>
    </xf>
    <xf numFmtId="0" fontId="27" fillId="3" borderId="3" xfId="0" applyFont="1" applyFill="1" applyBorder="1" applyAlignment="1">
      <alignment horizontal="left"/>
    </xf>
    <xf numFmtId="0" fontId="16" fillId="0" borderId="3" xfId="0" applyFont="1" applyBorder="1" applyAlignment="1">
      <alignment horizontal="center"/>
    </xf>
    <xf numFmtId="0" fontId="28" fillId="0" borderId="0" xfId="0" applyFont="1"/>
    <xf numFmtId="0" fontId="29" fillId="0" borderId="0" xfId="0" applyFont="1" applyAlignment="1">
      <alignment horizontal="left"/>
    </xf>
    <xf numFmtId="0" fontId="30" fillId="0" borderId="0" xfId="0" applyFont="1"/>
    <xf numFmtId="0" fontId="31" fillId="0" borderId="0" xfId="0" applyFont="1"/>
    <xf numFmtId="0" fontId="30" fillId="5" borderId="0" xfId="0" applyFont="1" applyFill="1"/>
    <xf numFmtId="0" fontId="30" fillId="7" borderId="3" xfId="0" applyFont="1" applyFill="1" applyBorder="1"/>
    <xf numFmtId="165" fontId="30" fillId="7" borderId="3" xfId="0" applyNumberFormat="1" applyFont="1" applyFill="1" applyBorder="1"/>
    <xf numFmtId="167" fontId="30" fillId="7" borderId="3" xfId="0" applyNumberFormat="1" applyFont="1" applyFill="1" applyBorder="1"/>
    <xf numFmtId="0" fontId="30" fillId="0" borderId="3" xfId="0" applyFont="1" applyBorder="1"/>
    <xf numFmtId="0" fontId="30" fillId="7" borderId="0" xfId="0" applyFont="1" applyFill="1"/>
    <xf numFmtId="0" fontId="32" fillId="8" borderId="0" xfId="0" applyFont="1" applyFill="1" applyAlignment="1">
      <alignment wrapText="1"/>
    </xf>
    <xf numFmtId="0" fontId="32" fillId="8" borderId="0" xfId="0" applyFont="1" applyFill="1"/>
    <xf numFmtId="0" fontId="32" fillId="9" borderId="0" xfId="0" applyFont="1" applyFill="1"/>
    <xf numFmtId="0" fontId="33" fillId="0" borderId="0" xfId="0" applyFont="1"/>
    <xf numFmtId="0" fontId="33" fillId="2" borderId="0" xfId="0" applyFont="1" applyFill="1"/>
    <xf numFmtId="0" fontId="30" fillId="2" borderId="0" xfId="0" applyFont="1" applyFill="1"/>
    <xf numFmtId="0" fontId="32" fillId="2" borderId="0" xfId="0" applyFont="1" applyFill="1"/>
    <xf numFmtId="0" fontId="30" fillId="3" borderId="0" xfId="0" applyFont="1" applyFill="1"/>
    <xf numFmtId="0" fontId="34" fillId="6" borderId="3" xfId="0" applyFont="1" applyFill="1" applyBorder="1"/>
    <xf numFmtId="0" fontId="35" fillId="6" borderId="3" xfId="0" applyFont="1" applyFill="1" applyBorder="1"/>
    <xf numFmtId="164" fontId="34" fillId="6" borderId="3" xfId="0" applyNumberFormat="1" applyFont="1" applyFill="1" applyBorder="1" applyAlignment="1">
      <alignment horizontal="right"/>
    </xf>
    <xf numFmtId="164" fontId="30" fillId="6" borderId="3" xfId="0" applyNumberFormat="1" applyFont="1" applyFill="1" applyBorder="1"/>
    <xf numFmtId="166" fontId="30" fillId="2" borderId="3" xfId="0" applyNumberFormat="1" applyFont="1" applyFill="1" applyBorder="1"/>
    <xf numFmtId="0" fontId="30" fillId="2" borderId="3" xfId="0" applyFont="1" applyFill="1" applyBorder="1"/>
    <xf numFmtId="166" fontId="30" fillId="6" borderId="3" xfId="0" applyNumberFormat="1" applyFont="1" applyFill="1" applyBorder="1"/>
    <xf numFmtId="0" fontId="34" fillId="6" borderId="3" xfId="0" applyFont="1" applyFill="1" applyBorder="1" applyAlignment="1">
      <alignment horizontal="right"/>
    </xf>
    <xf numFmtId="0" fontId="34" fillId="0" borderId="3" xfId="0" applyFont="1" applyBorder="1"/>
    <xf numFmtId="0" fontId="34" fillId="0" borderId="3" xfId="0" applyFont="1" applyBorder="1" applyAlignment="1">
      <alignment horizontal="right"/>
    </xf>
    <xf numFmtId="0" fontId="34" fillId="4" borderId="3" xfId="0" applyFont="1" applyFill="1" applyBorder="1"/>
    <xf numFmtId="0" fontId="34" fillId="3" borderId="3" xfId="0" applyFont="1" applyFill="1" applyBorder="1"/>
    <xf numFmtId="0" fontId="30" fillId="6" borderId="3" xfId="0" applyFont="1" applyFill="1" applyBorder="1"/>
    <xf numFmtId="0" fontId="32" fillId="9" borderId="0" xfId="0" applyFont="1" applyFill="1" applyAlignment="1">
      <alignment horizontal="right"/>
    </xf>
    <xf numFmtId="0" fontId="30" fillId="9" borderId="0" xfId="0" applyFont="1" applyFill="1"/>
    <xf numFmtId="0" fontId="30" fillId="9" borderId="0" xfId="0" applyFont="1" applyFill="1" applyAlignment="1">
      <alignment horizontal="right"/>
    </xf>
    <xf numFmtId="0" fontId="32" fillId="3" borderId="0" xfId="0" applyFont="1" applyFill="1"/>
    <xf numFmtId="0" fontId="36" fillId="2" borderId="0" xfId="0" applyFont="1" applyFill="1"/>
    <xf numFmtId="0" fontId="32" fillId="0" borderId="0" xfId="0" applyFont="1"/>
    <xf numFmtId="166" fontId="35" fillId="6" borderId="3" xfId="0" applyNumberFormat="1" applyFont="1" applyFill="1" applyBorder="1"/>
    <xf numFmtId="0" fontId="30" fillId="6" borderId="1" xfId="0" applyFont="1" applyFill="1" applyBorder="1"/>
    <xf numFmtId="168" fontId="35" fillId="6" borderId="3" xfId="0" applyNumberFormat="1" applyFont="1" applyFill="1" applyBorder="1" applyAlignment="1">
      <alignment horizontal="right"/>
    </xf>
    <xf numFmtId="164" fontId="35" fillId="6" borderId="3" xfId="0" applyNumberFormat="1" applyFont="1" applyFill="1" applyBorder="1" applyAlignment="1">
      <alignment horizontal="right"/>
    </xf>
    <xf numFmtId="164" fontId="30" fillId="2" borderId="3" xfId="0" applyNumberFormat="1" applyFont="1" applyFill="1" applyBorder="1"/>
    <xf numFmtId="166" fontId="30" fillId="7" borderId="3" xfId="0" applyNumberFormat="1" applyFont="1" applyFill="1" applyBorder="1"/>
    <xf numFmtId="0" fontId="30" fillId="10" borderId="3" xfId="0" applyFont="1" applyFill="1" applyBorder="1"/>
    <xf numFmtId="0" fontId="30" fillId="0" borderId="1" xfId="0" applyFont="1" applyBorder="1"/>
    <xf numFmtId="0" fontId="34" fillId="3" borderId="3" xfId="0" applyFont="1" applyFill="1" applyBorder="1" applyAlignment="1">
      <alignment horizontal="right"/>
    </xf>
    <xf numFmtId="0" fontId="37" fillId="6" borderId="3" xfId="0" applyFont="1" applyFill="1" applyBorder="1"/>
    <xf numFmtId="0" fontId="38" fillId="6" borderId="3" xfId="0" applyFont="1" applyFill="1" applyBorder="1"/>
    <xf numFmtId="0" fontId="38" fillId="6" borderId="1" xfId="0" applyFont="1" applyFill="1" applyBorder="1"/>
    <xf numFmtId="0" fontId="37" fillId="6" borderId="0" xfId="0" applyFont="1" applyFill="1"/>
    <xf numFmtId="0" fontId="38" fillId="6" borderId="0" xfId="0" applyFont="1" applyFill="1"/>
    <xf numFmtId="0" fontId="30" fillId="6" borderId="0" xfId="0" applyFont="1" applyFill="1"/>
    <xf numFmtId="0" fontId="30" fillId="11" borderId="3" xfId="0" applyFont="1" applyFill="1" applyBorder="1"/>
    <xf numFmtId="0" fontId="39" fillId="0" borderId="0" xfId="0" applyFont="1"/>
    <xf numFmtId="0" fontId="39" fillId="6" borderId="3" xfId="0" applyFont="1" applyFill="1" applyBorder="1"/>
    <xf numFmtId="0" fontId="30" fillId="3" borderId="3" xfId="0" applyFont="1" applyFill="1" applyBorder="1"/>
    <xf numFmtId="0" fontId="30" fillId="0" borderId="3" xfId="0" applyFont="1" applyBorder="1" applyAlignment="1">
      <alignment horizontal="right"/>
    </xf>
    <xf numFmtId="0" fontId="30" fillId="9" borderId="3" xfId="0" applyFont="1" applyFill="1" applyBorder="1"/>
    <xf numFmtId="0" fontId="32" fillId="9" borderId="3" xfId="0" applyFont="1" applyFill="1" applyBorder="1"/>
    <xf numFmtId="0" fontId="32" fillId="6" borderId="3" xfId="0" applyFont="1" applyFill="1" applyBorder="1"/>
    <xf numFmtId="0" fontId="30" fillId="10" borderId="0" xfId="0" applyFont="1" applyFill="1"/>
    <xf numFmtId="0" fontId="30" fillId="0" borderId="0" xfId="0" applyFont="1" applyAlignment="1">
      <alignment horizontal="right"/>
    </xf>
    <xf numFmtId="0" fontId="32" fillId="3" borderId="3" xfId="0" applyFont="1" applyFill="1" applyBorder="1"/>
    <xf numFmtId="0" fontId="40" fillId="0" borderId="3" xfId="0" applyFont="1" applyBorder="1"/>
    <xf numFmtId="0" fontId="41" fillId="9" borderId="3" xfId="0" applyFont="1" applyFill="1" applyBorder="1" applyAlignment="1">
      <alignment horizontal="right"/>
    </xf>
    <xf numFmtId="0" fontId="40" fillId="0" borderId="3" xfId="0" applyFont="1" applyBorder="1" applyAlignment="1">
      <alignment horizontal="right"/>
    </xf>
    <xf numFmtId="0" fontId="32" fillId="2" borderId="3" xfId="0" applyFont="1" applyFill="1" applyBorder="1"/>
    <xf numFmtId="0" fontId="38" fillId="0" borderId="0" xfId="0" applyFont="1"/>
    <xf numFmtId="0" fontId="42" fillId="2" borderId="0" xfId="0" applyFont="1" applyFill="1" applyAlignment="1">
      <alignment horizontal="center"/>
    </xf>
    <xf numFmtId="0" fontId="30" fillId="2" borderId="0" xfId="0" applyFont="1" applyFill="1" applyAlignment="1">
      <alignment horizontal="left"/>
    </xf>
    <xf numFmtId="0" fontId="35" fillId="6" borderId="3" xfId="0" applyFont="1" applyFill="1" applyBorder="1" applyAlignment="1">
      <alignment horizontal="center"/>
    </xf>
    <xf numFmtId="166" fontId="34" fillId="6" borderId="3" xfId="0" applyNumberFormat="1" applyFont="1" applyFill="1" applyBorder="1"/>
    <xf numFmtId="0" fontId="43" fillId="9" borderId="0" xfId="0" applyFont="1" applyFill="1" applyAlignment="1">
      <alignment horizontal="right"/>
    </xf>
    <xf numFmtId="0" fontId="32" fillId="12" borderId="0" xfId="0" applyFont="1" applyFill="1" applyAlignment="1">
      <alignment horizontal="right"/>
    </xf>
    <xf numFmtId="0" fontId="36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0" fontId="35" fillId="13" borderId="3" xfId="0" applyFont="1" applyFill="1" applyBorder="1" applyAlignment="1">
      <alignment horizontal="center"/>
    </xf>
    <xf numFmtId="0" fontId="35" fillId="13" borderId="3" xfId="0" applyFont="1" applyFill="1" applyBorder="1"/>
    <xf numFmtId="165" fontId="35" fillId="10" borderId="3" xfId="0" applyNumberFormat="1" applyFont="1" applyFill="1" applyBorder="1" applyAlignment="1">
      <alignment horizontal="right"/>
    </xf>
    <xf numFmtId="166" fontId="32" fillId="10" borderId="3" xfId="0" applyNumberFormat="1" applyFont="1" applyFill="1" applyBorder="1"/>
    <xf numFmtId="164" fontId="32" fillId="10" borderId="3" xfId="0" applyNumberFormat="1" applyFont="1" applyFill="1" applyBorder="1"/>
    <xf numFmtId="0" fontId="32" fillId="13" borderId="3" xfId="0" applyFont="1" applyFill="1" applyBorder="1"/>
    <xf numFmtId="164" fontId="32" fillId="13" borderId="3" xfId="0" applyNumberFormat="1" applyFont="1" applyFill="1" applyBorder="1"/>
    <xf numFmtId="0" fontId="35" fillId="13" borderId="3" xfId="0" applyFont="1" applyFill="1" applyBorder="1" applyAlignment="1">
      <alignment horizontal="right"/>
    </xf>
    <xf numFmtId="0" fontId="34" fillId="13" borderId="3" xfId="0" applyFont="1" applyFill="1" applyBorder="1" applyAlignment="1">
      <alignment horizontal="right"/>
    </xf>
    <xf numFmtId="0" fontId="32" fillId="10" borderId="3" xfId="0" applyFont="1" applyFill="1" applyBorder="1"/>
    <xf numFmtId="0" fontId="32" fillId="14" borderId="3" xfId="0" applyFont="1" applyFill="1" applyBorder="1"/>
    <xf numFmtId="0" fontId="30" fillId="14" borderId="3" xfId="0" applyFont="1" applyFill="1" applyBorder="1"/>
    <xf numFmtId="0" fontId="35" fillId="0" borderId="0" xfId="0" applyFont="1" applyAlignment="1">
      <alignment horizontal="right"/>
    </xf>
    <xf numFmtId="0" fontId="35" fillId="0" borderId="0" xfId="0" applyFont="1"/>
    <xf numFmtId="0" fontId="35" fillId="15" borderId="3" xfId="0" applyFont="1" applyFill="1" applyBorder="1" applyAlignment="1">
      <alignment horizontal="center"/>
    </xf>
    <xf numFmtId="0" fontId="35" fillId="15" borderId="3" xfId="0" applyFont="1" applyFill="1" applyBorder="1"/>
    <xf numFmtId="165" fontId="35" fillId="6" borderId="3" xfId="0" applyNumberFormat="1" applyFont="1" applyFill="1" applyBorder="1" applyAlignment="1">
      <alignment horizontal="right"/>
    </xf>
    <xf numFmtId="166" fontId="32" fillId="2" borderId="3" xfId="0" applyNumberFormat="1" applyFont="1" applyFill="1" applyBorder="1"/>
    <xf numFmtId="164" fontId="32" fillId="2" borderId="3" xfId="0" applyNumberFormat="1" applyFont="1" applyFill="1" applyBorder="1"/>
    <xf numFmtId="0" fontId="32" fillId="15" borderId="3" xfId="0" applyFont="1" applyFill="1" applyBorder="1"/>
    <xf numFmtId="164" fontId="32" fillId="15" borderId="3" xfId="0" applyNumberFormat="1" applyFont="1" applyFill="1" applyBorder="1"/>
    <xf numFmtId="0" fontId="35" fillId="15" borderId="3" xfId="0" applyFont="1" applyFill="1" applyBorder="1" applyAlignment="1">
      <alignment horizontal="right"/>
    </xf>
    <xf numFmtId="0" fontId="34" fillId="15" borderId="3" xfId="0" applyFont="1" applyFill="1" applyBorder="1" applyAlignment="1">
      <alignment horizontal="right"/>
    </xf>
    <xf numFmtId="0" fontId="30" fillId="15" borderId="3" xfId="0" applyFont="1" applyFill="1" applyBorder="1"/>
    <xf numFmtId="0" fontId="35" fillId="15" borderId="0" xfId="0" applyFont="1" applyFill="1" applyAlignment="1">
      <alignment horizontal="right"/>
    </xf>
    <xf numFmtId="0" fontId="35" fillId="15" borderId="0" xfId="0" applyFont="1" applyFill="1"/>
    <xf numFmtId="0" fontId="32" fillId="15" borderId="0" xfId="0" applyFont="1" applyFill="1"/>
    <xf numFmtId="0" fontId="30" fillId="15" borderId="0" xfId="0" applyFont="1" applyFill="1"/>
    <xf numFmtId="0" fontId="45" fillId="14" borderId="4" xfId="0" applyFont="1" applyFill="1" applyBorder="1"/>
    <xf numFmtId="0" fontId="46" fillId="14" borderId="0" xfId="0" applyFont="1" applyFill="1"/>
    <xf numFmtId="0" fontId="30" fillId="14" borderId="0" xfId="0" applyFont="1" applyFill="1"/>
    <xf numFmtId="0" fontId="34" fillId="14" borderId="4" xfId="0" applyFont="1" applyFill="1" applyBorder="1"/>
    <xf numFmtId="0" fontId="34" fillId="14" borderId="0" xfId="0" applyFont="1" applyFill="1"/>
    <xf numFmtId="0" fontId="34" fillId="0" borderId="0" xfId="0" applyFont="1"/>
    <xf numFmtId="0" fontId="35" fillId="16" borderId="6" xfId="0" applyFont="1" applyFill="1" applyBorder="1"/>
    <xf numFmtId="0" fontId="35" fillId="16" borderId="0" xfId="0" applyFont="1" applyFill="1"/>
    <xf numFmtId="0" fontId="35" fillId="14" borderId="3" xfId="0" applyFont="1" applyFill="1" applyBorder="1"/>
    <xf numFmtId="167" fontId="30" fillId="14" borderId="3" xfId="0" applyNumberFormat="1" applyFont="1" applyFill="1" applyBorder="1"/>
    <xf numFmtId="167" fontId="30" fillId="14" borderId="1" xfId="0" applyNumberFormat="1" applyFont="1" applyFill="1" applyBorder="1"/>
    <xf numFmtId="169" fontId="30" fillId="14" borderId="3" xfId="0" applyNumberFormat="1" applyFont="1" applyFill="1" applyBorder="1"/>
    <xf numFmtId="166" fontId="30" fillId="14" borderId="0" xfId="0" applyNumberFormat="1" applyFont="1" applyFill="1"/>
    <xf numFmtId="0" fontId="34" fillId="14" borderId="3" xfId="0" applyFont="1" applyFill="1" applyBorder="1" applyAlignment="1">
      <alignment horizontal="right"/>
    </xf>
    <xf numFmtId="0" fontId="30" fillId="9" borderId="3" xfId="0" applyFont="1" applyFill="1" applyBorder="1" applyAlignment="1">
      <alignment horizontal="center"/>
    </xf>
    <xf numFmtId="0" fontId="34" fillId="14" borderId="3" xfId="0" applyFont="1" applyFill="1" applyBorder="1"/>
    <xf numFmtId="0" fontId="34" fillId="3" borderId="0" xfId="0" applyFont="1" applyFill="1"/>
    <xf numFmtId="0" fontId="35" fillId="3" borderId="0" xfId="0" applyFont="1" applyFill="1"/>
    <xf numFmtId="0" fontId="35" fillId="16" borderId="3" xfId="0" applyFont="1" applyFill="1" applyBorder="1"/>
    <xf numFmtId="166" fontId="30" fillId="14" borderId="3" xfId="0" applyNumberFormat="1" applyFont="1" applyFill="1" applyBorder="1"/>
    <xf numFmtId="166" fontId="30" fillId="10" borderId="0" xfId="0" applyNumberFormat="1" applyFont="1" applyFill="1"/>
    <xf numFmtId="166" fontId="30" fillId="3" borderId="0" xfId="0" applyNumberFormat="1" applyFont="1" applyFill="1"/>
    <xf numFmtId="0" fontId="30" fillId="13" borderId="3" xfId="0" applyFont="1" applyFill="1" applyBorder="1"/>
    <xf numFmtId="0" fontId="30" fillId="13" borderId="0" xfId="0" applyFont="1" applyFill="1"/>
    <xf numFmtId="0" fontId="30" fillId="3" borderId="0" xfId="0" applyFont="1" applyFill="1" applyAlignment="1">
      <alignment horizontal="right"/>
    </xf>
    <xf numFmtId="0" fontId="32" fillId="3" borderId="0" xfId="0" applyFont="1" applyFill="1" applyAlignment="1">
      <alignment horizontal="right"/>
    </xf>
    <xf numFmtId="0" fontId="32" fillId="2" borderId="0" xfId="0" applyFont="1" applyFill="1" applyAlignment="1">
      <alignment horizontal="right"/>
    </xf>
    <xf numFmtId="0" fontId="30" fillId="0" borderId="0" xfId="0" applyFont="1" applyAlignment="1">
      <alignment horizontal="center"/>
    </xf>
    <xf numFmtId="0" fontId="47" fillId="8" borderId="4" xfId="0" applyFont="1" applyFill="1" applyBorder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30" fillId="3" borderId="0" xfId="0" applyFont="1" applyFill="1" applyAlignment="1">
      <alignment horizontal="center"/>
    </xf>
    <xf numFmtId="166" fontId="30" fillId="3" borderId="0" xfId="0" applyNumberFormat="1" applyFont="1" applyFill="1" applyAlignment="1">
      <alignment horizontal="center"/>
    </xf>
    <xf numFmtId="0" fontId="30" fillId="14" borderId="3" xfId="0" applyFont="1" applyFill="1" applyBorder="1" applyAlignment="1">
      <alignment horizontal="center"/>
    </xf>
    <xf numFmtId="0" fontId="35" fillId="14" borderId="3" xfId="0" applyFont="1" applyFill="1" applyBorder="1" applyAlignment="1">
      <alignment horizontal="center"/>
    </xf>
    <xf numFmtId="166" fontId="30" fillId="14" borderId="3" xfId="0" applyNumberFormat="1" applyFont="1" applyFill="1" applyBorder="1" applyAlignment="1">
      <alignment horizontal="center"/>
    </xf>
    <xf numFmtId="170" fontId="30" fillId="14" borderId="3" xfId="0" applyNumberFormat="1" applyFont="1" applyFill="1" applyBorder="1"/>
    <xf numFmtId="170" fontId="30" fillId="0" borderId="3" xfId="0" applyNumberFormat="1" applyFont="1" applyBorder="1"/>
    <xf numFmtId="164" fontId="30" fillId="0" borderId="3" xfId="0" applyNumberFormat="1" applyFont="1" applyBorder="1"/>
    <xf numFmtId="167" fontId="30" fillId="0" borderId="3" xfId="0" applyNumberFormat="1" applyFont="1" applyBorder="1"/>
    <xf numFmtId="167" fontId="30" fillId="0" borderId="3" xfId="0" applyNumberFormat="1" applyFont="1" applyBorder="1" applyAlignment="1">
      <alignment horizontal="center"/>
    </xf>
    <xf numFmtId="166" fontId="30" fillId="0" borderId="3" xfId="0" applyNumberFormat="1" applyFont="1" applyBorder="1"/>
    <xf numFmtId="167" fontId="38" fillId="2" borderId="3" xfId="0" applyNumberFormat="1" applyFont="1" applyFill="1" applyBorder="1"/>
    <xf numFmtId="0" fontId="38" fillId="2" borderId="3" xfId="0" applyFont="1" applyFill="1" applyBorder="1"/>
    <xf numFmtId="0" fontId="35" fillId="3" borderId="3" xfId="0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17" borderId="3" xfId="0" applyFont="1" applyFill="1" applyBorder="1"/>
    <xf numFmtId="0" fontId="32" fillId="14" borderId="3" xfId="0" applyFont="1" applyFill="1" applyBorder="1" applyAlignment="1">
      <alignment horizontal="center"/>
    </xf>
    <xf numFmtId="0" fontId="30" fillId="5" borderId="3" xfId="0" applyFont="1" applyFill="1" applyBorder="1" applyAlignment="1">
      <alignment horizontal="center"/>
    </xf>
    <xf numFmtId="0" fontId="30" fillId="18" borderId="3" xfId="0" applyFont="1" applyFill="1" applyBorder="1"/>
    <xf numFmtId="0" fontId="30" fillId="4" borderId="3" xfId="0" applyFont="1" applyFill="1" applyBorder="1"/>
    <xf numFmtId="0" fontId="35" fillId="3" borderId="0" xfId="0" applyFont="1" applyFill="1" applyAlignment="1">
      <alignment horizontal="center"/>
    </xf>
    <xf numFmtId="0" fontId="30" fillId="16" borderId="3" xfId="0" applyFont="1" applyFill="1" applyBorder="1"/>
    <xf numFmtId="0" fontId="30" fillId="19" borderId="3" xfId="0" applyFont="1" applyFill="1" applyBorder="1" applyAlignment="1">
      <alignment horizontal="center"/>
    </xf>
    <xf numFmtId="0" fontId="30" fillId="3" borderId="3" xfId="0" applyFont="1" applyFill="1" applyBorder="1" applyAlignment="1">
      <alignment horizontal="center"/>
    </xf>
    <xf numFmtId="0" fontId="30" fillId="10" borderId="3" xfId="0" applyFont="1" applyFill="1" applyBorder="1" applyAlignment="1">
      <alignment horizontal="center"/>
    </xf>
    <xf numFmtId="0" fontId="30" fillId="17" borderId="3" xfId="0" applyFont="1" applyFill="1" applyBorder="1" applyAlignment="1">
      <alignment horizontal="center"/>
    </xf>
    <xf numFmtId="0" fontId="30" fillId="16" borderId="3" xfId="0" applyFont="1" applyFill="1" applyBorder="1" applyAlignment="1">
      <alignment horizontal="center"/>
    </xf>
    <xf numFmtId="0" fontId="30" fillId="0" borderId="3" xfId="0" applyFont="1" applyBorder="1" applyAlignment="1">
      <alignment horizontal="center" wrapText="1"/>
    </xf>
    <xf numFmtId="0" fontId="30" fillId="20" borderId="0" xfId="0" applyFont="1" applyFill="1" applyAlignment="1">
      <alignment horizontal="center"/>
    </xf>
    <xf numFmtId="166" fontId="30" fillId="0" borderId="0" xfId="0" applyNumberFormat="1" applyFont="1"/>
    <xf numFmtId="0" fontId="30" fillId="4" borderId="3" xfId="0" applyFont="1" applyFill="1" applyBorder="1" applyAlignment="1">
      <alignment horizontal="center"/>
    </xf>
    <xf numFmtId="0" fontId="30" fillId="4" borderId="0" xfId="0" applyFont="1" applyFill="1"/>
    <xf numFmtId="0" fontId="30" fillId="14" borderId="0" xfId="0" applyFont="1" applyFill="1" applyAlignment="1">
      <alignment horizontal="center"/>
    </xf>
    <xf numFmtId="0" fontId="30" fillId="13" borderId="0" xfId="0" applyFont="1" applyFill="1" applyAlignment="1">
      <alignment horizontal="center"/>
    </xf>
    <xf numFmtId="0" fontId="30" fillId="4" borderId="0" xfId="0" applyFont="1" applyFill="1" applyAlignment="1">
      <alignment horizontal="center"/>
    </xf>
    <xf numFmtId="0" fontId="30" fillId="4" borderId="0" xfId="0" applyFont="1" applyFill="1" applyAlignment="1">
      <alignment horizontal="center" wrapText="1"/>
    </xf>
    <xf numFmtId="0" fontId="30" fillId="4" borderId="3" xfId="0" applyFont="1" applyFill="1" applyBorder="1" applyAlignment="1">
      <alignment horizontal="center" wrapText="1"/>
    </xf>
    <xf numFmtId="0" fontId="30" fillId="20" borderId="3" xfId="0" applyFont="1" applyFill="1" applyBorder="1" applyAlignment="1">
      <alignment horizontal="center"/>
    </xf>
    <xf numFmtId="0" fontId="51" fillId="6" borderId="0" xfId="0" applyFont="1" applyFill="1"/>
    <xf numFmtId="0" fontId="34" fillId="3" borderId="4" xfId="0" applyFont="1" applyFill="1" applyBorder="1" applyAlignment="1">
      <alignment horizontal="center"/>
    </xf>
    <xf numFmtId="0" fontId="34" fillId="3" borderId="4" xfId="0" applyFont="1" applyFill="1" applyBorder="1"/>
    <xf numFmtId="0" fontId="44" fillId="3" borderId="0" xfId="0" applyFont="1" applyFill="1"/>
    <xf numFmtId="167" fontId="30" fillId="6" borderId="3" xfId="0" applyNumberFormat="1" applyFont="1" applyFill="1" applyBorder="1"/>
    <xf numFmtId="170" fontId="30" fillId="6" borderId="3" xfId="0" applyNumberFormat="1" applyFont="1" applyFill="1" applyBorder="1"/>
    <xf numFmtId="167" fontId="30" fillId="2" borderId="3" xfId="0" applyNumberFormat="1" applyFont="1" applyFill="1" applyBorder="1"/>
    <xf numFmtId="0" fontId="35" fillId="6" borderId="3" xfId="0" applyFont="1" applyFill="1" applyBorder="1" applyAlignment="1">
      <alignment horizontal="left"/>
    </xf>
    <xf numFmtId="0" fontId="30" fillId="6" borderId="3" xfId="0" applyFont="1" applyFill="1" applyBorder="1" applyAlignment="1">
      <alignment horizontal="right"/>
    </xf>
    <xf numFmtId="0" fontId="30" fillId="2" borderId="3" xfId="0" applyFont="1" applyFill="1" applyBorder="1" applyAlignment="1">
      <alignment horizontal="right"/>
    </xf>
    <xf numFmtId="0" fontId="52" fillId="17" borderId="4" xfId="0" applyFont="1" applyFill="1" applyBorder="1"/>
    <xf numFmtId="0" fontId="34" fillId="17" borderId="4" xfId="0" applyFont="1" applyFill="1" applyBorder="1"/>
    <xf numFmtId="0" fontId="53" fillId="9" borderId="7" xfId="0" applyFont="1" applyFill="1" applyBorder="1"/>
    <xf numFmtId="0" fontId="35" fillId="6" borderId="6" xfId="0" applyFont="1" applyFill="1" applyBorder="1"/>
    <xf numFmtId="165" fontId="32" fillId="6" borderId="3" xfId="0" applyNumberFormat="1" applyFont="1" applyFill="1" applyBorder="1"/>
    <xf numFmtId="167" fontId="32" fillId="6" borderId="3" xfId="0" applyNumberFormat="1" applyFont="1" applyFill="1" applyBorder="1"/>
    <xf numFmtId="0" fontId="35" fillId="7" borderId="3" xfId="0" applyFont="1" applyFill="1" applyBorder="1"/>
    <xf numFmtId="0" fontId="32" fillId="9" borderId="0" xfId="0" applyFont="1" applyFill="1" applyAlignment="1">
      <alignment horizontal="left"/>
    </xf>
    <xf numFmtId="0" fontId="54" fillId="8" borderId="4" xfId="0" applyFont="1" applyFill="1" applyBorder="1"/>
    <xf numFmtId="0" fontId="55" fillId="8" borderId="4" xfId="0" applyFont="1" applyFill="1" applyBorder="1"/>
    <xf numFmtId="0" fontId="35" fillId="2" borderId="3" xfId="0" applyFont="1" applyFill="1" applyBorder="1"/>
    <xf numFmtId="0" fontId="30" fillId="21" borderId="3" xfId="0" applyFont="1" applyFill="1" applyBorder="1" applyAlignment="1">
      <alignment horizontal="center"/>
    </xf>
    <xf numFmtId="0" fontId="34" fillId="2" borderId="3" xfId="0" applyFont="1" applyFill="1" applyBorder="1" applyAlignment="1">
      <alignment horizontal="right"/>
    </xf>
    <xf numFmtId="0" fontId="34" fillId="2" borderId="3" xfId="0" applyFont="1" applyFill="1" applyBorder="1"/>
    <xf numFmtId="0" fontId="56" fillId="0" borderId="3" xfId="0" applyFont="1" applyBorder="1"/>
    <xf numFmtId="0" fontId="50" fillId="2" borderId="3" xfId="0" applyFont="1" applyFill="1" applyBorder="1"/>
    <xf numFmtId="0" fontId="30" fillId="6" borderId="3" xfId="0" applyFont="1" applyFill="1" applyBorder="1" applyAlignment="1">
      <alignment horizontal="center"/>
    </xf>
    <xf numFmtId="0" fontId="57" fillId="3" borderId="0" xfId="0" applyFont="1" applyFill="1"/>
    <xf numFmtId="0" fontId="32" fillId="3" borderId="0" xfId="0" applyFont="1" applyFill="1" applyAlignment="1">
      <alignment horizontal="left"/>
    </xf>
    <xf numFmtId="0" fontId="58" fillId="8" borderId="4" xfId="0" applyFont="1" applyFill="1" applyBorder="1"/>
    <xf numFmtId="0" fontId="34" fillId="8" borderId="4" xfId="0" applyFont="1" applyFill="1" applyBorder="1"/>
    <xf numFmtId="0" fontId="50" fillId="3" borderId="0" xfId="0" applyFont="1" applyFill="1"/>
    <xf numFmtId="0" fontId="53" fillId="3" borderId="3" xfId="0" applyFont="1" applyFill="1" applyBorder="1"/>
    <xf numFmtId="0" fontId="30" fillId="0" borderId="0" xfId="0" applyFont="1" applyAlignment="1">
      <alignment horizontal="left"/>
    </xf>
    <xf numFmtId="0" fontId="59" fillId="0" borderId="0" xfId="0" applyFont="1"/>
    <xf numFmtId="164" fontId="35" fillId="7" borderId="3" xfId="0" applyNumberFormat="1" applyFont="1" applyFill="1" applyBorder="1"/>
    <xf numFmtId="0" fontId="34" fillId="7" borderId="6" xfId="0" applyFont="1" applyFill="1" applyBorder="1" applyAlignment="1">
      <alignment horizontal="right"/>
    </xf>
    <xf numFmtId="0" fontId="34" fillId="0" borderId="8" xfId="0" applyFont="1" applyBorder="1"/>
    <xf numFmtId="0" fontId="34" fillId="7" borderId="9" xfId="0" applyFont="1" applyFill="1" applyBorder="1" applyAlignment="1">
      <alignment horizontal="right"/>
    </xf>
    <xf numFmtId="0" fontId="34" fillId="3" borderId="10" xfId="0" applyFont="1" applyFill="1" applyBorder="1"/>
    <xf numFmtId="0" fontId="34" fillId="3" borderId="8" xfId="0" applyFont="1" applyFill="1" applyBorder="1"/>
    <xf numFmtId="0" fontId="34" fillId="7" borderId="9" xfId="0" applyFont="1" applyFill="1" applyBorder="1"/>
    <xf numFmtId="0" fontId="34" fillId="0" borderId="10" xfId="0" applyFont="1" applyBorder="1"/>
    <xf numFmtId="0" fontId="35" fillId="0" borderId="8" xfId="0" applyFont="1" applyBorder="1"/>
    <xf numFmtId="0" fontId="35" fillId="3" borderId="3" xfId="0" applyFont="1" applyFill="1" applyBorder="1"/>
    <xf numFmtId="0" fontId="35" fillId="7" borderId="10" xfId="0" applyFont="1" applyFill="1" applyBorder="1"/>
    <xf numFmtId="0" fontId="35" fillId="7" borderId="8" xfId="0" applyFont="1" applyFill="1" applyBorder="1"/>
    <xf numFmtId="0" fontId="60" fillId="2" borderId="4" xfId="0" applyFont="1" applyFill="1" applyBorder="1"/>
    <xf numFmtId="0" fontId="60" fillId="3" borderId="4" xfId="0" applyFont="1" applyFill="1" applyBorder="1"/>
    <xf numFmtId="0" fontId="60" fillId="3" borderId="0" xfId="0" applyFont="1" applyFill="1"/>
    <xf numFmtId="0" fontId="34" fillId="2" borderId="4" xfId="0" applyFont="1" applyFill="1" applyBorder="1"/>
    <xf numFmtId="171" fontId="34" fillId="2" borderId="4" xfId="0" applyNumberFormat="1" applyFont="1" applyFill="1" applyBorder="1"/>
    <xf numFmtId="0" fontId="34" fillId="3" borderId="11" xfId="0" applyFont="1" applyFill="1" applyBorder="1"/>
    <xf numFmtId="0" fontId="35" fillId="22" borderId="3" xfId="0" applyFont="1" applyFill="1" applyBorder="1"/>
    <xf numFmtId="166" fontId="35" fillId="22" borderId="1" xfId="0" applyNumberFormat="1" applyFont="1" applyFill="1" applyBorder="1"/>
    <xf numFmtId="164" fontId="35" fillId="22" borderId="1" xfId="0" applyNumberFormat="1" applyFont="1" applyFill="1" applyBorder="1"/>
    <xf numFmtId="164" fontId="35" fillId="22" borderId="3" xfId="0" applyNumberFormat="1" applyFont="1" applyFill="1" applyBorder="1"/>
    <xf numFmtId="164" fontId="35" fillId="2" borderId="3" xfId="0" applyNumberFormat="1" applyFont="1" applyFill="1" applyBorder="1"/>
    <xf numFmtId="164" fontId="35" fillId="6" borderId="3" xfId="0" applyNumberFormat="1" applyFont="1" applyFill="1" applyBorder="1"/>
    <xf numFmtId="0" fontId="34" fillId="22" borderId="6" xfId="0" applyFont="1" applyFill="1" applyBorder="1" applyAlignment="1">
      <alignment horizontal="right"/>
    </xf>
    <xf numFmtId="0" fontId="34" fillId="3" borderId="8" xfId="0" applyFont="1" applyFill="1" applyBorder="1" applyAlignment="1">
      <alignment horizontal="right"/>
    </xf>
    <xf numFmtId="0" fontId="34" fillId="22" borderId="9" xfId="0" applyFont="1" applyFill="1" applyBorder="1" applyAlignment="1">
      <alignment horizontal="right"/>
    </xf>
    <xf numFmtId="0" fontId="34" fillId="22" borderId="9" xfId="0" applyFont="1" applyFill="1" applyBorder="1"/>
    <xf numFmtId="0" fontId="34" fillId="10" borderId="8" xfId="0" applyFont="1" applyFill="1" applyBorder="1"/>
    <xf numFmtId="0" fontId="34" fillId="10" borderId="8" xfId="0" applyFont="1" applyFill="1" applyBorder="1" applyAlignment="1">
      <alignment horizontal="right"/>
    </xf>
    <xf numFmtId="0" fontId="35" fillId="6" borderId="10" xfId="0" applyFont="1" applyFill="1" applyBorder="1"/>
    <xf numFmtId="0" fontId="35" fillId="6" borderId="8" xfId="0" applyFont="1" applyFill="1" applyBorder="1"/>
    <xf numFmtId="171" fontId="34" fillId="3" borderId="0" xfId="0" applyNumberFormat="1" applyFont="1" applyFill="1"/>
    <xf numFmtId="0" fontId="34" fillId="3" borderId="0" xfId="0" applyFont="1" applyFill="1" applyAlignment="1">
      <alignment horizontal="right"/>
    </xf>
    <xf numFmtId="164" fontId="34" fillId="9" borderId="3" xfId="0" applyNumberFormat="1" applyFont="1" applyFill="1" applyBorder="1" applyAlignment="1">
      <alignment horizontal="right"/>
    </xf>
    <xf numFmtId="0" fontId="34" fillId="9" borderId="3" xfId="0" applyFont="1" applyFill="1" applyBorder="1" applyAlignment="1">
      <alignment horizontal="right"/>
    </xf>
    <xf numFmtId="0" fontId="34" fillId="9" borderId="3" xfId="0" applyFont="1" applyFill="1" applyBorder="1"/>
    <xf numFmtId="0" fontId="61" fillId="2" borderId="0" xfId="0" applyFont="1" applyFill="1" applyAlignment="1">
      <alignment horizontal="center"/>
    </xf>
    <xf numFmtId="0" fontId="34" fillId="2" borderId="4" xfId="0" applyFont="1" applyFill="1" applyBorder="1" applyAlignment="1">
      <alignment horizontal="center"/>
    </xf>
    <xf numFmtId="0" fontId="32" fillId="2" borderId="0" xfId="0" applyFont="1" applyFill="1" applyAlignment="1">
      <alignment horizontal="center"/>
    </xf>
    <xf numFmtId="0" fontId="30" fillId="5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164" fontId="30" fillId="0" borderId="0" xfId="0" applyNumberFormat="1" applyFont="1" applyAlignment="1">
      <alignment horizontal="center"/>
    </xf>
    <xf numFmtId="0" fontId="35" fillId="2" borderId="3" xfId="0" applyFont="1" applyFill="1" applyBorder="1" applyAlignment="1">
      <alignment horizontal="center"/>
    </xf>
    <xf numFmtId="165" fontId="34" fillId="2" borderId="3" xfId="0" applyNumberFormat="1" applyFont="1" applyFill="1" applyBorder="1" applyAlignment="1">
      <alignment horizontal="center"/>
    </xf>
    <xf numFmtId="165" fontId="30" fillId="2" borderId="3" xfId="0" applyNumberFormat="1" applyFont="1" applyFill="1" applyBorder="1" applyAlignment="1">
      <alignment horizontal="center"/>
    </xf>
    <xf numFmtId="164" fontId="30" fillId="2" borderId="3" xfId="0" applyNumberFormat="1" applyFont="1" applyFill="1" applyBorder="1" applyAlignment="1">
      <alignment horizontal="center"/>
    </xf>
    <xf numFmtId="0" fontId="30" fillId="2" borderId="3" xfId="0" applyFont="1" applyFill="1" applyBorder="1" applyAlignment="1">
      <alignment horizontal="center"/>
    </xf>
    <xf numFmtId="166" fontId="30" fillId="2" borderId="3" xfId="0" applyNumberFormat="1" applyFont="1" applyFill="1" applyBorder="1" applyAlignment="1">
      <alignment horizontal="center"/>
    </xf>
    <xf numFmtId="0" fontId="34" fillId="2" borderId="3" xfId="0" applyFont="1" applyFill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32" fillId="3" borderId="0" xfId="0" applyFont="1" applyFill="1" applyAlignment="1">
      <alignment horizontal="center"/>
    </xf>
    <xf numFmtId="0" fontId="32" fillId="9" borderId="0" xfId="0" applyFont="1" applyFill="1" applyAlignment="1">
      <alignment horizontal="center"/>
    </xf>
    <xf numFmtId="0" fontId="32" fillId="2" borderId="3" xfId="0" applyFont="1" applyFill="1" applyBorder="1" applyAlignment="1">
      <alignment horizontal="center"/>
    </xf>
    <xf numFmtId="164" fontId="30" fillId="3" borderId="0" xfId="0" applyNumberFormat="1" applyFont="1" applyFill="1" applyAlignment="1">
      <alignment horizontal="center"/>
    </xf>
    <xf numFmtId="0" fontId="30" fillId="2" borderId="0" xfId="0" applyFont="1" applyFill="1" applyAlignment="1">
      <alignment horizontal="center"/>
    </xf>
    <xf numFmtId="0" fontId="32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0" fontId="61" fillId="2" borderId="0" xfId="0" applyFont="1" applyFill="1"/>
    <xf numFmtId="164" fontId="30" fillId="0" borderId="0" xfId="0" applyNumberFormat="1" applyFont="1"/>
    <xf numFmtId="168" fontId="30" fillId="2" borderId="3" xfId="0" applyNumberFormat="1" applyFont="1" applyFill="1" applyBorder="1"/>
    <xf numFmtId="172" fontId="30" fillId="2" borderId="3" xfId="0" applyNumberFormat="1" applyFont="1" applyFill="1" applyBorder="1"/>
    <xf numFmtId="172" fontId="30" fillId="6" borderId="3" xfId="0" applyNumberFormat="1" applyFont="1" applyFill="1" applyBorder="1"/>
    <xf numFmtId="0" fontId="62" fillId="0" borderId="0" xfId="0" applyFont="1"/>
    <xf numFmtId="0" fontId="30" fillId="12" borderId="0" xfId="0" applyFont="1" applyFill="1"/>
    <xf numFmtId="0" fontId="30" fillId="0" borderId="0" xfId="0" applyFont="1" applyAlignment="1">
      <alignment wrapText="1"/>
    </xf>
    <xf numFmtId="0" fontId="35" fillId="4" borderId="0" xfId="0" applyFont="1" applyFill="1"/>
    <xf numFmtId="0" fontId="34" fillId="0" borderId="7" xfId="0" applyFont="1" applyBorder="1"/>
    <xf numFmtId="166" fontId="35" fillId="4" borderId="0" xfId="0" applyNumberFormat="1" applyFont="1" applyFill="1"/>
    <xf numFmtId="164" fontId="34" fillId="6" borderId="3" xfId="0" applyNumberFormat="1" applyFont="1" applyFill="1" applyBorder="1"/>
    <xf numFmtId="166" fontId="34" fillId="6" borderId="3" xfId="0" applyNumberFormat="1" applyFont="1" applyFill="1" applyBorder="1" applyAlignment="1">
      <alignment horizontal="right"/>
    </xf>
    <xf numFmtId="0" fontId="32" fillId="6" borderId="3" xfId="0" applyFont="1" applyFill="1" applyBorder="1" applyAlignment="1">
      <alignment horizontal="center"/>
    </xf>
    <xf numFmtId="164" fontId="30" fillId="6" borderId="3" xfId="0" applyNumberFormat="1" applyFont="1" applyFill="1" applyBorder="1" applyAlignment="1">
      <alignment horizontal="left"/>
    </xf>
    <xf numFmtId="164" fontId="30" fillId="3" borderId="0" xfId="0" applyNumberFormat="1" applyFont="1" applyFill="1"/>
    <xf numFmtId="0" fontId="32" fillId="9" borderId="3" xfId="0" applyFont="1" applyFill="1" applyBorder="1" applyAlignment="1">
      <alignment horizontal="center"/>
    </xf>
    <xf numFmtId="0" fontId="30" fillId="9" borderId="3" xfId="0" applyFont="1" applyFill="1" applyBorder="1" applyAlignment="1">
      <alignment horizontal="left"/>
    </xf>
    <xf numFmtId="0" fontId="30" fillId="3" borderId="3" xfId="0" applyFont="1" applyFill="1" applyBorder="1" applyAlignment="1">
      <alignment horizontal="left"/>
    </xf>
    <xf numFmtId="0" fontId="32" fillId="0" borderId="3" xfId="0" applyFont="1" applyBorder="1" applyAlignment="1">
      <alignment horizontal="center"/>
    </xf>
    <xf numFmtId="0" fontId="32" fillId="3" borderId="3" xfId="0" applyFont="1" applyFill="1" applyBorder="1" applyAlignment="1">
      <alignment horizontal="center"/>
    </xf>
    <xf numFmtId="0" fontId="30" fillId="23" borderId="3" xfId="0" applyFont="1" applyFill="1" applyBorder="1"/>
    <xf numFmtId="0" fontId="30" fillId="24" borderId="3" xfId="0" applyFont="1" applyFill="1" applyBorder="1"/>
    <xf numFmtId="0" fontId="30" fillId="6" borderId="3" xfId="0" applyFont="1" applyFill="1" applyBorder="1" applyAlignment="1">
      <alignment horizontal="left"/>
    </xf>
    <xf numFmtId="166" fontId="30" fillId="22" borderId="3" xfId="0" applyNumberFormat="1" applyFont="1" applyFill="1" applyBorder="1"/>
    <xf numFmtId="164" fontId="30" fillId="22" borderId="3" xfId="0" applyNumberFormat="1" applyFont="1" applyFill="1" applyBorder="1"/>
    <xf numFmtId="0" fontId="30" fillId="22" borderId="3" xfId="0" applyFont="1" applyFill="1" applyBorder="1"/>
    <xf numFmtId="164" fontId="30" fillId="3" borderId="3" xfId="0" applyNumberFormat="1" applyFont="1" applyFill="1" applyBorder="1"/>
    <xf numFmtId="0" fontId="34" fillId="23" borderId="3" xfId="0" applyFont="1" applyFill="1" applyBorder="1" applyAlignment="1">
      <alignment horizontal="right"/>
    </xf>
    <xf numFmtId="0" fontId="34" fillId="23" borderId="3" xfId="0" applyFont="1" applyFill="1" applyBorder="1"/>
    <xf numFmtId="0" fontId="37" fillId="9" borderId="0" xfId="0" applyFont="1" applyFill="1"/>
    <xf numFmtId="0" fontId="32" fillId="8" borderId="0" xfId="0" applyFont="1" applyFill="1" applyAlignment="1">
      <alignment horizontal="right" wrapText="1"/>
    </xf>
    <xf numFmtId="0" fontId="32" fillId="8" borderId="0" xfId="0" applyFont="1" applyFill="1" applyAlignment="1">
      <alignment horizontal="right"/>
    </xf>
    <xf numFmtId="0" fontId="54" fillId="6" borderId="4" xfId="0" applyFont="1" applyFill="1" applyBorder="1"/>
    <xf numFmtId="0" fontId="34" fillId="6" borderId="4" xfId="0" applyFont="1" applyFill="1" applyBorder="1"/>
    <xf numFmtId="167" fontId="32" fillId="2" borderId="3" xfId="0" applyNumberFormat="1" applyFont="1" applyFill="1" applyBorder="1"/>
    <xf numFmtId="170" fontId="32" fillId="2" borderId="3" xfId="0" applyNumberFormat="1" applyFont="1" applyFill="1" applyBorder="1"/>
    <xf numFmtId="170" fontId="32" fillId="3" borderId="0" xfId="0" applyNumberFormat="1" applyFont="1" applyFill="1"/>
    <xf numFmtId="0" fontId="63" fillId="25" borderId="4" xfId="0" applyFont="1" applyFill="1" applyBorder="1"/>
    <xf numFmtId="0" fontId="34" fillId="25" borderId="4" xfId="0" applyFont="1" applyFill="1" applyBorder="1"/>
    <xf numFmtId="164" fontId="32" fillId="0" borderId="0" xfId="0" applyNumberFormat="1" applyFont="1"/>
    <xf numFmtId="0" fontId="35" fillId="9" borderId="0" xfId="0" applyFont="1" applyFill="1"/>
    <xf numFmtId="0" fontId="64" fillId="8" borderId="0" xfId="0" applyFont="1" applyFill="1"/>
    <xf numFmtId="0" fontId="30" fillId="8" borderId="0" xfId="0" applyFont="1" applyFill="1"/>
    <xf numFmtId="0" fontId="65" fillId="0" borderId="0" xfId="0" applyFont="1"/>
    <xf numFmtId="20" fontId="30" fillId="0" borderId="0" xfId="0" applyNumberFormat="1" applyFont="1" applyAlignment="1">
      <alignment horizontal="left"/>
    </xf>
    <xf numFmtId="0" fontId="66" fillId="25" borderId="4" xfId="0" applyFont="1" applyFill="1" applyBorder="1"/>
    <xf numFmtId="0" fontId="67" fillId="3" borderId="4" xfId="0" applyFont="1" applyFill="1" applyBorder="1"/>
    <xf numFmtId="0" fontId="35" fillId="26" borderId="11" xfId="0" applyFont="1" applyFill="1" applyBorder="1"/>
    <xf numFmtId="167" fontId="30" fillId="3" borderId="0" xfId="0" applyNumberFormat="1" applyFont="1" applyFill="1"/>
    <xf numFmtId="0" fontId="34" fillId="2" borderId="6" xfId="0" applyFont="1" applyFill="1" applyBorder="1" applyAlignment="1">
      <alignment horizontal="right"/>
    </xf>
    <xf numFmtId="0" fontId="34" fillId="2" borderId="6" xfId="0" applyFont="1" applyFill="1" applyBorder="1"/>
    <xf numFmtId="0" fontId="34" fillId="2" borderId="9" xfId="0" applyFont="1" applyFill="1" applyBorder="1"/>
    <xf numFmtId="0" fontId="54" fillId="3" borderId="4" xfId="0" applyFont="1" applyFill="1" applyBorder="1"/>
    <xf numFmtId="0" fontId="34" fillId="10" borderId="4" xfId="0" applyFont="1" applyFill="1" applyBorder="1"/>
    <xf numFmtId="0" fontId="68" fillId="0" borderId="0" xfId="0" applyFont="1"/>
    <xf numFmtId="0" fontId="35" fillId="6" borderId="12" xfId="0" applyFont="1" applyFill="1" applyBorder="1"/>
    <xf numFmtId="167" fontId="69" fillId="6" borderId="3" xfId="0" applyNumberFormat="1" applyFont="1" applyFill="1" applyBorder="1" applyAlignment="1">
      <alignment horizontal="right"/>
    </xf>
    <xf numFmtId="167" fontId="69" fillId="2" borderId="3" xfId="0" applyNumberFormat="1" applyFont="1" applyFill="1" applyBorder="1" applyAlignment="1">
      <alignment horizontal="right"/>
    </xf>
    <xf numFmtId="165" fontId="69" fillId="2" borderId="3" xfId="0" applyNumberFormat="1" applyFont="1" applyFill="1" applyBorder="1" applyAlignment="1">
      <alignment horizontal="right"/>
    </xf>
    <xf numFmtId="0" fontId="34" fillId="3" borderId="6" xfId="0" applyFont="1" applyFill="1" applyBorder="1" applyAlignment="1">
      <alignment horizontal="right"/>
    </xf>
    <xf numFmtId="0" fontId="70" fillId="5" borderId="8" xfId="0" applyFont="1" applyFill="1" applyBorder="1"/>
    <xf numFmtId="0" fontId="71" fillId="3" borderId="3" xfId="0" applyFont="1" applyFill="1" applyBorder="1"/>
    <xf numFmtId="0" fontId="68" fillId="3" borderId="3" xfId="0" applyFont="1" applyFill="1" applyBorder="1"/>
    <xf numFmtId="0" fontId="34" fillId="0" borderId="6" xfId="0" applyFont="1" applyBorder="1" applyAlignment="1">
      <alignment horizontal="right"/>
    </xf>
    <xf numFmtId="0" fontId="68" fillId="0" borderId="3" xfId="0" applyFont="1" applyBorder="1"/>
    <xf numFmtId="0" fontId="34" fillId="6" borderId="9" xfId="0" applyFont="1" applyFill="1" applyBorder="1"/>
    <xf numFmtId="0" fontId="68" fillId="6" borderId="3" xfId="0" applyFont="1" applyFill="1" applyBorder="1"/>
    <xf numFmtId="0" fontId="68" fillId="2" borderId="3" xfId="0" applyFont="1" applyFill="1" applyBorder="1"/>
    <xf numFmtId="0" fontId="39" fillId="9" borderId="0" xfId="0" applyFont="1" applyFill="1"/>
    <xf numFmtId="0" fontId="39" fillId="3" borderId="0" xfId="0" applyFont="1" applyFill="1"/>
    <xf numFmtId="0" fontId="68" fillId="3" borderId="0" xfId="0" applyFont="1" applyFill="1"/>
    <xf numFmtId="0" fontId="39" fillId="9" borderId="0" xfId="0" applyFont="1" applyFill="1" applyAlignment="1">
      <alignment horizontal="right"/>
    </xf>
    <xf numFmtId="167" fontId="69" fillId="3" borderId="0" xfId="0" applyNumberFormat="1" applyFont="1" applyFill="1" applyAlignment="1">
      <alignment horizontal="right"/>
    </xf>
    <xf numFmtId="0" fontId="69" fillId="3" borderId="0" xfId="0" applyFont="1" applyFill="1" applyAlignment="1">
      <alignment horizontal="right"/>
    </xf>
    <xf numFmtId="167" fontId="39" fillId="6" borderId="3" xfId="0" applyNumberFormat="1" applyFont="1" applyFill="1" applyBorder="1"/>
    <xf numFmtId="170" fontId="39" fillId="6" borderId="3" xfId="0" applyNumberFormat="1" applyFont="1" applyFill="1" applyBorder="1"/>
    <xf numFmtId="167" fontId="39" fillId="2" borderId="3" xfId="0" applyNumberFormat="1" applyFont="1" applyFill="1" applyBorder="1"/>
    <xf numFmtId="165" fontId="39" fillId="2" borderId="3" xfId="0" applyNumberFormat="1" applyFont="1" applyFill="1" applyBorder="1"/>
    <xf numFmtId="0" fontId="39" fillId="0" borderId="3" xfId="0" applyFont="1" applyBorder="1"/>
    <xf numFmtId="0" fontId="39" fillId="3" borderId="3" xfId="0" applyFont="1" applyFill="1" applyBorder="1"/>
    <xf numFmtId="0" fontId="69" fillId="3" borderId="3" xfId="0" applyFont="1" applyFill="1" applyBorder="1" applyAlignment="1">
      <alignment horizontal="right"/>
    </xf>
    <xf numFmtId="167" fontId="69" fillId="3" borderId="3" xfId="0" applyNumberFormat="1" applyFont="1" applyFill="1" applyBorder="1" applyAlignment="1">
      <alignment horizontal="right"/>
    </xf>
    <xf numFmtId="167" fontId="68" fillId="6" borderId="3" xfId="0" applyNumberFormat="1" applyFont="1" applyFill="1" applyBorder="1"/>
    <xf numFmtId="170" fontId="68" fillId="6" borderId="3" xfId="0" applyNumberFormat="1" applyFont="1" applyFill="1" applyBorder="1"/>
    <xf numFmtId="167" fontId="68" fillId="2" borderId="3" xfId="0" applyNumberFormat="1" applyFont="1" applyFill="1" applyBorder="1"/>
    <xf numFmtId="165" fontId="68" fillId="2" borderId="3" xfId="0" applyNumberFormat="1" applyFont="1" applyFill="1" applyBorder="1"/>
    <xf numFmtId="167" fontId="39" fillId="3" borderId="0" xfId="0" applyNumberFormat="1" applyFont="1" applyFill="1"/>
    <xf numFmtId="167" fontId="68" fillId="3" borderId="0" xfId="0" applyNumberFormat="1" applyFont="1" applyFill="1"/>
    <xf numFmtId="0" fontId="34" fillId="3" borderId="9" xfId="0" applyFont="1" applyFill="1" applyBorder="1" applyAlignment="1">
      <alignment horizontal="right"/>
    </xf>
    <xf numFmtId="0" fontId="52" fillId="2" borderId="4" xfId="0" applyFont="1" applyFill="1" applyBorder="1"/>
    <xf numFmtId="0" fontId="72" fillId="0" borderId="0" xfId="0" applyFont="1"/>
    <xf numFmtId="165" fontId="32" fillId="2" borderId="3" xfId="0" applyNumberFormat="1" applyFont="1" applyFill="1" applyBorder="1"/>
    <xf numFmtId="0" fontId="52" fillId="6" borderId="4" xfId="0" applyFont="1" applyFill="1" applyBorder="1"/>
    <xf numFmtId="167" fontId="32" fillId="6" borderId="1" xfId="0" applyNumberFormat="1" applyFont="1" applyFill="1" applyBorder="1"/>
    <xf numFmtId="170" fontId="30" fillId="2" borderId="3" xfId="0" applyNumberFormat="1" applyFont="1" applyFill="1" applyBorder="1"/>
    <xf numFmtId="0" fontId="34" fillId="3" borderId="3" xfId="0" applyFont="1" applyFill="1" applyBorder="1" applyAlignment="1">
      <alignment horizontal="center"/>
    </xf>
    <xf numFmtId="0" fontId="30" fillId="2" borderId="1" xfId="0" applyFont="1" applyFill="1" applyBorder="1"/>
    <xf numFmtId="0" fontId="29" fillId="0" borderId="0" xfId="0" applyFont="1"/>
    <xf numFmtId="0" fontId="73" fillId="0" borderId="0" xfId="0" applyFont="1"/>
    <xf numFmtId="0" fontId="68" fillId="5" borderId="0" xfId="0" applyFont="1" applyFill="1"/>
    <xf numFmtId="0" fontId="68" fillId="6" borderId="3" xfId="0" applyFont="1" applyFill="1" applyBorder="1" applyAlignment="1">
      <alignment horizontal="left"/>
    </xf>
    <xf numFmtId="166" fontId="68" fillId="6" borderId="3" xfId="0" applyNumberFormat="1" applyFont="1" applyFill="1" applyBorder="1" applyAlignment="1">
      <alignment horizontal="left"/>
    </xf>
    <xf numFmtId="164" fontId="68" fillId="6" borderId="3" xfId="0" applyNumberFormat="1" applyFont="1" applyFill="1" applyBorder="1" applyAlignment="1">
      <alignment horizontal="right"/>
    </xf>
    <xf numFmtId="170" fontId="30" fillId="7" borderId="3" xfId="0" applyNumberFormat="1" applyFont="1" applyFill="1" applyBorder="1"/>
    <xf numFmtId="0" fontId="68" fillId="10" borderId="3" xfId="0" applyFont="1" applyFill="1" applyBorder="1"/>
    <xf numFmtId="0" fontId="39" fillId="6" borderId="3" xfId="0" applyFont="1" applyFill="1" applyBorder="1" applyAlignment="1">
      <alignment horizontal="left"/>
    </xf>
    <xf numFmtId="0" fontId="68" fillId="6" borderId="3" xfId="0" applyFont="1" applyFill="1" applyBorder="1" applyAlignment="1">
      <alignment horizontal="right"/>
    </xf>
    <xf numFmtId="0" fontId="61" fillId="0" borderId="0" xfId="0" applyFont="1"/>
    <xf numFmtId="0" fontId="74" fillId="0" borderId="0" xfId="0" applyFont="1"/>
    <xf numFmtId="0" fontId="35" fillId="6" borderId="3" xfId="0" applyFont="1" applyFill="1" applyBorder="1" applyAlignment="1">
      <alignment horizontal="right"/>
    </xf>
    <xf numFmtId="166" fontId="35" fillId="6" borderId="3" xfId="0" applyNumberFormat="1" applyFont="1" applyFill="1" applyBorder="1" applyAlignment="1">
      <alignment horizontal="right"/>
    </xf>
    <xf numFmtId="166" fontId="30" fillId="6" borderId="3" xfId="0" applyNumberFormat="1" applyFont="1" applyFill="1" applyBorder="1" applyAlignment="1">
      <alignment horizontal="right"/>
    </xf>
    <xf numFmtId="164" fontId="30" fillId="6" borderId="3" xfId="0" applyNumberFormat="1" applyFont="1" applyFill="1" applyBorder="1" applyAlignment="1">
      <alignment horizontal="right"/>
    </xf>
    <xf numFmtId="164" fontId="30" fillId="5" borderId="3" xfId="0" applyNumberFormat="1" applyFont="1" applyFill="1" applyBorder="1"/>
    <xf numFmtId="168" fontId="30" fillId="6" borderId="3" xfId="0" applyNumberFormat="1" applyFont="1" applyFill="1" applyBorder="1"/>
    <xf numFmtId="165" fontId="30" fillId="6" borderId="3" xfId="0" applyNumberFormat="1" applyFont="1" applyFill="1" applyBorder="1"/>
    <xf numFmtId="0" fontId="34" fillId="6" borderId="3" xfId="0" applyFont="1" applyFill="1" applyBorder="1" applyAlignment="1">
      <alignment horizontal="left"/>
    </xf>
    <xf numFmtId="0" fontId="34" fillId="3" borderId="3" xfId="0" applyFont="1" applyFill="1" applyBorder="1" applyAlignment="1">
      <alignment horizontal="left"/>
    </xf>
    <xf numFmtId="0" fontId="30" fillId="5" borderId="3" xfId="0" applyFont="1" applyFill="1" applyBorder="1"/>
    <xf numFmtId="0" fontId="30" fillId="0" borderId="3" xfId="0" applyFont="1" applyBorder="1" applyAlignment="1">
      <alignment horizontal="left"/>
    </xf>
    <xf numFmtId="0" fontId="32" fillId="0" borderId="3" xfId="0" applyFont="1" applyBorder="1"/>
    <xf numFmtId="0" fontId="56" fillId="0" borderId="3" xfId="0" applyFont="1" applyBorder="1" applyAlignment="1">
      <alignment horizontal="left"/>
    </xf>
    <xf numFmtId="0" fontId="30" fillId="27" borderId="3" xfId="0" applyFont="1" applyFill="1" applyBorder="1"/>
    <xf numFmtId="0" fontId="75" fillId="3" borderId="0" xfId="0" applyFont="1" applyFill="1"/>
    <xf numFmtId="0" fontId="76" fillId="3" borderId="4" xfId="0" applyFont="1" applyFill="1" applyBorder="1"/>
    <xf numFmtId="165" fontId="30" fillId="2" borderId="3" xfId="0" applyNumberFormat="1" applyFont="1" applyFill="1" applyBorder="1"/>
    <xf numFmtId="166" fontId="30" fillId="2" borderId="0" xfId="0" applyNumberFormat="1" applyFont="1" applyFill="1"/>
    <xf numFmtId="0" fontId="68" fillId="6" borderId="0" xfId="0" applyFont="1" applyFill="1"/>
    <xf numFmtId="0" fontId="77" fillId="0" borderId="0" xfId="0" applyFont="1"/>
    <xf numFmtId="0" fontId="78" fillId="2" borderId="0" xfId="0" applyFont="1" applyFill="1"/>
    <xf numFmtId="0" fontId="56" fillId="2" borderId="0" xfId="0" applyFont="1" applyFill="1"/>
    <xf numFmtId="0" fontId="56" fillId="0" borderId="0" xfId="0" applyFont="1"/>
    <xf numFmtId="0" fontId="56" fillId="5" borderId="0" xfId="0" applyFont="1" applyFill="1"/>
    <xf numFmtId="0" fontId="79" fillId="0" borderId="0" xfId="0" applyFont="1"/>
    <xf numFmtId="0" fontId="79" fillId="6" borderId="3" xfId="0" applyFont="1" applyFill="1" applyBorder="1"/>
    <xf numFmtId="166" fontId="56" fillId="6" borderId="3" xfId="0" applyNumberFormat="1" applyFont="1" applyFill="1" applyBorder="1"/>
    <xf numFmtId="0" fontId="56" fillId="6" borderId="3" xfId="0" applyFont="1" applyFill="1" applyBorder="1" applyAlignment="1">
      <alignment horizontal="center" wrapText="1"/>
    </xf>
    <xf numFmtId="0" fontId="56" fillId="0" borderId="3" xfId="0" applyFont="1" applyBorder="1" applyAlignment="1">
      <alignment horizontal="right"/>
    </xf>
    <xf numFmtId="0" fontId="56" fillId="11" borderId="3" xfId="0" applyFont="1" applyFill="1" applyBorder="1"/>
    <xf numFmtId="0" fontId="80" fillId="6" borderId="3" xfId="0" applyFont="1" applyFill="1" applyBorder="1"/>
    <xf numFmtId="0" fontId="81" fillId="6" borderId="3" xfId="0" applyFont="1" applyFill="1" applyBorder="1"/>
    <xf numFmtId="0" fontId="56" fillId="6" borderId="3" xfId="0" applyFont="1" applyFill="1" applyBorder="1"/>
    <xf numFmtId="0" fontId="1" fillId="2" borderId="1" xfId="0" applyFont="1" applyFill="1" applyBorder="1" applyAlignment="1">
      <alignment horizontal="left"/>
    </xf>
    <xf numFmtId="0" fontId="5" fillId="0" borderId="2" xfId="0" applyFont="1" applyBorder="1"/>
    <xf numFmtId="0" fontId="1" fillId="2" borderId="1" xfId="0" applyFont="1" applyFill="1" applyBorder="1"/>
    <xf numFmtId="0" fontId="32" fillId="14" borderId="0" xfId="0" applyFont="1" applyFill="1" applyAlignment="1">
      <alignment horizontal="left"/>
    </xf>
    <xf numFmtId="0" fontId="0" fillId="0" borderId="0" xfId="0"/>
    <xf numFmtId="0" fontId="3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85725</xdr:colOff>
      <xdr:row>0</xdr:row>
      <xdr:rowOff>76200</xdr:rowOff>
    </xdr:from>
    <xdr:ext cx="828675" cy="1276350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133350</xdr:colOff>
      <xdr:row>0</xdr:row>
      <xdr:rowOff>0</xdr:rowOff>
    </xdr:from>
    <xdr:ext cx="828675" cy="1276350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161925</xdr:colOff>
      <xdr:row>0</xdr:row>
      <xdr:rowOff>0</xdr:rowOff>
    </xdr:from>
    <xdr:ext cx="800100" cy="1247775"/>
    <xdr:pic>
      <xdr:nvPicPr>
        <xdr:cNvPr id="2" name="image2.jpg" title="Изображение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962025</xdr:colOff>
      <xdr:row>0</xdr:row>
      <xdr:rowOff>0</xdr:rowOff>
    </xdr:from>
    <xdr:ext cx="819150" cy="1266825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76200</xdr:colOff>
      <xdr:row>0</xdr:row>
      <xdr:rowOff>0</xdr:rowOff>
    </xdr:from>
    <xdr:ext cx="771525" cy="1095375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723900</xdr:colOff>
      <xdr:row>0</xdr:row>
      <xdr:rowOff>133350</xdr:rowOff>
    </xdr:from>
    <xdr:ext cx="1171575" cy="1457325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962025</xdr:colOff>
      <xdr:row>0</xdr:row>
      <xdr:rowOff>95250</xdr:rowOff>
    </xdr:from>
    <xdr:ext cx="895350" cy="1114425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847725</xdr:colOff>
      <xdr:row>0</xdr:row>
      <xdr:rowOff>190500</xdr:rowOff>
    </xdr:from>
    <xdr:ext cx="1009650" cy="1581150"/>
    <xdr:pic>
      <xdr:nvPicPr>
        <xdr:cNvPr id="2" name="image3.jpg" title="Изображение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923925</xdr:colOff>
      <xdr:row>0</xdr:row>
      <xdr:rowOff>-38100</xdr:rowOff>
    </xdr:from>
    <xdr:ext cx="904875" cy="1381125"/>
    <xdr:pic>
      <xdr:nvPicPr>
        <xdr:cNvPr id="2" name="image3.jpg" title="Изображение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85725</xdr:colOff>
      <xdr:row>0</xdr:row>
      <xdr:rowOff>0</xdr:rowOff>
    </xdr:from>
    <xdr:ext cx="714375" cy="1114425"/>
    <xdr:pic>
      <xdr:nvPicPr>
        <xdr:cNvPr id="2" name="image4.jpg" title="Изображение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381000</xdr:colOff>
      <xdr:row>0</xdr:row>
      <xdr:rowOff>85725</xdr:rowOff>
    </xdr:from>
    <xdr:ext cx="866775" cy="1362075"/>
    <xdr:pic>
      <xdr:nvPicPr>
        <xdr:cNvPr id="2" name="image5.jpg" title="Изображение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809625</xdr:colOff>
      <xdr:row>0</xdr:row>
      <xdr:rowOff>0</xdr:rowOff>
    </xdr:from>
    <xdr:ext cx="800100" cy="1209675"/>
    <xdr:pic>
      <xdr:nvPicPr>
        <xdr:cNvPr id="2" name="image6.jpg" title="Изображение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323850</xdr:colOff>
      <xdr:row>0</xdr:row>
      <xdr:rowOff>0</xdr:rowOff>
    </xdr:from>
    <xdr:ext cx="1028700" cy="1323975"/>
    <xdr:pic>
      <xdr:nvPicPr>
        <xdr:cNvPr id="2" name="image7.jpg" title="Изображение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790575</xdr:colOff>
      <xdr:row>0</xdr:row>
      <xdr:rowOff>0</xdr:rowOff>
    </xdr:from>
    <xdr:ext cx="866775" cy="1362075"/>
    <xdr:pic>
      <xdr:nvPicPr>
        <xdr:cNvPr id="2" name="image7.jpg" title="Изображение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904875</xdr:colOff>
      <xdr:row>0</xdr:row>
      <xdr:rowOff>0</xdr:rowOff>
    </xdr:from>
    <xdr:ext cx="952500" cy="1400175"/>
    <xdr:pic>
      <xdr:nvPicPr>
        <xdr:cNvPr id="2" name="image7.jpg" title="Изображение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676275</xdr:colOff>
      <xdr:row>0</xdr:row>
      <xdr:rowOff>0</xdr:rowOff>
    </xdr:from>
    <xdr:ext cx="923925" cy="1314450"/>
    <xdr:pic>
      <xdr:nvPicPr>
        <xdr:cNvPr id="2" name="image2.jpg" title="Изображение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0</xdr:row>
      <xdr:rowOff>0</xdr:rowOff>
    </xdr:from>
    <xdr:ext cx="866775" cy="1362075"/>
    <xdr:pic>
      <xdr:nvPicPr>
        <xdr:cNvPr id="2" name="image7.jpg" title="Изображение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952500</xdr:colOff>
      <xdr:row>0</xdr:row>
      <xdr:rowOff>200025</xdr:rowOff>
    </xdr:from>
    <xdr:ext cx="923925" cy="1314450"/>
    <xdr:pic>
      <xdr:nvPicPr>
        <xdr:cNvPr id="2" name="image2.jpg" title="Изображение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9525</xdr:colOff>
      <xdr:row>1</xdr:row>
      <xdr:rowOff>133350</xdr:rowOff>
    </xdr:from>
    <xdr:ext cx="876300" cy="1352550"/>
    <xdr:pic>
      <xdr:nvPicPr>
        <xdr:cNvPr id="2" name="image8.jpg" title="Изображение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76200</xdr:colOff>
      <xdr:row>0</xdr:row>
      <xdr:rowOff>0</xdr:rowOff>
    </xdr:from>
    <xdr:ext cx="838200" cy="1333500"/>
    <xdr:pic>
      <xdr:nvPicPr>
        <xdr:cNvPr id="2" name="image9.jpg" title="Изображение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57150</xdr:colOff>
      <xdr:row>0</xdr:row>
      <xdr:rowOff>0</xdr:rowOff>
    </xdr:from>
    <xdr:ext cx="857250" cy="1314450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28575</xdr:colOff>
      <xdr:row>0</xdr:row>
      <xdr:rowOff>0</xdr:rowOff>
    </xdr:from>
    <xdr:ext cx="828675" cy="1238250"/>
    <xdr:pic>
      <xdr:nvPicPr>
        <xdr:cNvPr id="2" name="image7.jpg" title="Изображение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-3762375</xdr:colOff>
      <xdr:row>0</xdr:row>
      <xdr:rowOff>0</xdr:rowOff>
    </xdr:from>
    <xdr:ext cx="933450" cy="1295400"/>
    <xdr:pic>
      <xdr:nvPicPr>
        <xdr:cNvPr id="2" name="image7.jpg" title="Изображение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104775</xdr:colOff>
      <xdr:row>0</xdr:row>
      <xdr:rowOff>0</xdr:rowOff>
    </xdr:from>
    <xdr:ext cx="733425" cy="1133475"/>
    <xdr:pic>
      <xdr:nvPicPr>
        <xdr:cNvPr id="2" name="image10.jpg" title="Изображение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962025</xdr:colOff>
      <xdr:row>0</xdr:row>
      <xdr:rowOff>9525</xdr:rowOff>
    </xdr:from>
    <xdr:ext cx="942975" cy="1438275"/>
    <xdr:pic>
      <xdr:nvPicPr>
        <xdr:cNvPr id="2" name="image11.jpg" title="Изображение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47625</xdr:colOff>
      <xdr:row>0</xdr:row>
      <xdr:rowOff>0</xdr:rowOff>
    </xdr:from>
    <xdr:ext cx="819150" cy="1171575"/>
    <xdr:pic>
      <xdr:nvPicPr>
        <xdr:cNvPr id="2" name="image10.jpg" title="Изображение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66675</xdr:colOff>
      <xdr:row>0</xdr:row>
      <xdr:rowOff>38100</xdr:rowOff>
    </xdr:from>
    <xdr:ext cx="876300" cy="1362075"/>
    <xdr:pic>
      <xdr:nvPicPr>
        <xdr:cNvPr id="2" name="image10.jpg" title="Изображение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85725</xdr:colOff>
      <xdr:row>0</xdr:row>
      <xdr:rowOff>0</xdr:rowOff>
    </xdr:from>
    <xdr:ext cx="838200" cy="1304925"/>
    <xdr:pic>
      <xdr:nvPicPr>
        <xdr:cNvPr id="2" name="image10.jpg" title="Изображение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66675</xdr:colOff>
      <xdr:row>0</xdr:row>
      <xdr:rowOff>104775</xdr:rowOff>
    </xdr:from>
    <xdr:ext cx="952500" cy="1200150"/>
    <xdr:pic>
      <xdr:nvPicPr>
        <xdr:cNvPr id="2" name="image10.jpg" title="Изображение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47625</xdr:colOff>
      <xdr:row>0</xdr:row>
      <xdr:rowOff>0</xdr:rowOff>
    </xdr:from>
    <xdr:ext cx="847725" cy="1295400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0</xdr:row>
      <xdr:rowOff>0</xdr:rowOff>
    </xdr:from>
    <xdr:ext cx="819150" cy="1266825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2gis.kz/almaty/geo/943004737516524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hyperlink" Target="https://go.2gis.com/1n3De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hyperlink" Target="https://go.2gis.com/yZPu4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hyperlink" Target="https://go.2gis.com/m3IDC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hyperlink" Target="https://go.2gis.com/suOX7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hyperlink" Target="https://go.2gis.com/8GnHf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hyperlink" Target="https://go.2gis.com/rDp3P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hyperlink" Target="https://go.2gis.com/QZwHV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32"/>
  <sheetViews>
    <sheetView workbookViewId="0"/>
  </sheetViews>
  <sheetFormatPr defaultColWidth="12.6640625" defaultRowHeight="15.75" customHeight="1"/>
  <cols>
    <col min="1" max="1" width="4.6640625" customWidth="1"/>
    <col min="2" max="2" width="17.6640625" customWidth="1"/>
    <col min="3" max="3" width="4.44140625" customWidth="1"/>
    <col min="4" max="4" width="17.88671875" customWidth="1"/>
    <col min="5" max="5" width="9.109375" customWidth="1"/>
    <col min="6" max="6" width="19.109375" customWidth="1"/>
    <col min="7" max="7" width="5.33203125" customWidth="1"/>
    <col min="8" max="8" width="19.109375" customWidth="1"/>
    <col min="9" max="9" width="5.6640625" customWidth="1"/>
    <col min="10" max="10" width="20.6640625" customWidth="1"/>
    <col min="11" max="11" width="11.109375" customWidth="1"/>
    <col min="12" max="12" width="17.77734375" customWidth="1"/>
    <col min="13" max="13" width="9.88671875" customWidth="1"/>
  </cols>
  <sheetData>
    <row r="1" spans="1:23">
      <c r="A1" s="1" t="s">
        <v>0</v>
      </c>
      <c r="B1" s="2"/>
      <c r="C1" s="1"/>
      <c r="D1" s="2"/>
      <c r="E1" s="1"/>
      <c r="F1" s="3"/>
      <c r="G1" s="1"/>
      <c r="H1" s="2"/>
      <c r="I1" s="1"/>
      <c r="J1" s="2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 s="1"/>
      <c r="B2" s="2"/>
      <c r="C2" s="1"/>
      <c r="D2" s="1"/>
      <c r="E2" s="1"/>
      <c r="F2" s="4" t="s">
        <v>1</v>
      </c>
      <c r="G2" s="1"/>
      <c r="H2" s="2"/>
      <c r="I2" s="1"/>
      <c r="J2" s="2"/>
      <c r="K2" s="1" t="s">
        <v>0</v>
      </c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494" t="s">
        <v>2</v>
      </c>
      <c r="B3" s="495"/>
      <c r="C3" s="5"/>
      <c r="D3" s="6" t="s">
        <v>3</v>
      </c>
      <c r="E3" s="5"/>
      <c r="F3" s="6" t="s">
        <v>4</v>
      </c>
      <c r="G3" s="5"/>
      <c r="H3" s="6" t="s">
        <v>5</v>
      </c>
      <c r="I3" s="5"/>
      <c r="J3" s="6" t="s">
        <v>6</v>
      </c>
      <c r="K3" s="7"/>
      <c r="L3" s="1"/>
      <c r="M3" s="8"/>
      <c r="N3" s="8"/>
      <c r="O3" s="2"/>
      <c r="P3" s="2"/>
      <c r="Q3" s="2"/>
      <c r="R3" s="2"/>
      <c r="S3" s="2"/>
      <c r="T3" s="2"/>
      <c r="U3" s="2"/>
      <c r="V3" s="2"/>
      <c r="W3" s="2"/>
    </row>
    <row r="4" spans="1:23">
      <c r="A4" s="9" t="s">
        <v>7</v>
      </c>
      <c r="B4" s="10" t="s">
        <v>8</v>
      </c>
      <c r="C4" s="9" t="s">
        <v>7</v>
      </c>
      <c r="D4" s="11"/>
      <c r="E4" s="12" t="s">
        <v>9</v>
      </c>
      <c r="F4" s="13"/>
      <c r="G4" s="9" t="s">
        <v>9</v>
      </c>
      <c r="H4" s="14" t="s">
        <v>10</v>
      </c>
      <c r="I4" s="15">
        <v>0.39583333333333331</v>
      </c>
      <c r="J4" s="16"/>
      <c r="K4" s="7"/>
      <c r="L4" s="17"/>
      <c r="M4" s="8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 s="9" t="s">
        <v>11</v>
      </c>
      <c r="B5" s="10" t="s">
        <v>8</v>
      </c>
      <c r="C5" s="9" t="s">
        <v>11</v>
      </c>
      <c r="D5" s="18"/>
      <c r="E5" s="12" t="s">
        <v>11</v>
      </c>
      <c r="F5" s="19"/>
      <c r="G5" s="9" t="s">
        <v>11</v>
      </c>
      <c r="H5" s="11"/>
      <c r="I5" s="9" t="s">
        <v>12</v>
      </c>
      <c r="J5" s="20" t="s">
        <v>13</v>
      </c>
      <c r="K5" s="7"/>
      <c r="L5" s="17"/>
      <c r="M5" s="8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9" t="s">
        <v>14</v>
      </c>
      <c r="B6" s="10" t="s">
        <v>8</v>
      </c>
      <c r="C6" s="9" t="s">
        <v>15</v>
      </c>
      <c r="D6" s="21" t="s">
        <v>16</v>
      </c>
      <c r="E6" s="12" t="s">
        <v>17</v>
      </c>
      <c r="F6" s="20" t="s">
        <v>18</v>
      </c>
      <c r="G6" s="9" t="s">
        <v>19</v>
      </c>
      <c r="H6" s="22"/>
      <c r="I6" s="9" t="s">
        <v>15</v>
      </c>
      <c r="J6" s="10" t="s">
        <v>20</v>
      </c>
      <c r="K6" s="7"/>
      <c r="L6" s="17"/>
      <c r="M6" s="8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 s="9" t="s">
        <v>21</v>
      </c>
      <c r="B7" s="23" t="s">
        <v>22</v>
      </c>
      <c r="C7" s="9" t="s">
        <v>23</v>
      </c>
      <c r="D7" s="11"/>
      <c r="E7" s="12" t="s">
        <v>24</v>
      </c>
      <c r="F7" s="11"/>
      <c r="G7" s="9" t="s">
        <v>25</v>
      </c>
      <c r="H7" s="23" t="s">
        <v>22</v>
      </c>
      <c r="I7" s="9" t="s">
        <v>26</v>
      </c>
      <c r="J7" s="21"/>
      <c r="K7" s="7"/>
      <c r="L7" s="17"/>
      <c r="M7" s="8" t="s">
        <v>27</v>
      </c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 s="9" t="s">
        <v>28</v>
      </c>
      <c r="B8" s="16"/>
      <c r="C8" s="24">
        <v>45578</v>
      </c>
      <c r="D8" s="25"/>
      <c r="E8" s="12" t="s">
        <v>29</v>
      </c>
      <c r="F8" s="21" t="s">
        <v>18</v>
      </c>
      <c r="G8" s="9" t="s">
        <v>28</v>
      </c>
      <c r="H8" s="11"/>
      <c r="I8" s="9" t="s">
        <v>28</v>
      </c>
      <c r="J8" s="16"/>
      <c r="K8" s="26"/>
      <c r="L8" s="17"/>
      <c r="M8" s="8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>
      <c r="A9" s="9" t="s">
        <v>30</v>
      </c>
      <c r="B9" s="16"/>
      <c r="C9" s="9" t="s">
        <v>31</v>
      </c>
      <c r="D9" s="27"/>
      <c r="E9" s="12" t="s">
        <v>32</v>
      </c>
      <c r="F9" s="18"/>
      <c r="G9" s="9" t="s">
        <v>30</v>
      </c>
      <c r="H9" s="11"/>
      <c r="I9" s="9" t="s">
        <v>33</v>
      </c>
      <c r="J9" s="11"/>
      <c r="K9" s="7"/>
      <c r="L9" s="17"/>
      <c r="M9" s="8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A10" s="9" t="s">
        <v>34</v>
      </c>
      <c r="B10" s="28"/>
      <c r="C10" s="9" t="s">
        <v>34</v>
      </c>
      <c r="D10" s="20" t="s">
        <v>35</v>
      </c>
      <c r="E10" s="12" t="s">
        <v>36</v>
      </c>
      <c r="F10" s="11"/>
      <c r="G10" s="9" t="s">
        <v>34</v>
      </c>
      <c r="H10" s="29" t="s">
        <v>37</v>
      </c>
      <c r="I10" s="9" t="s">
        <v>34</v>
      </c>
      <c r="J10" s="20" t="s">
        <v>38</v>
      </c>
      <c r="K10" s="7"/>
      <c r="L10" s="17"/>
      <c r="M10" s="8"/>
      <c r="N10" s="8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 s="9" t="s">
        <v>39</v>
      </c>
      <c r="B11" s="30"/>
      <c r="C11" s="9" t="s">
        <v>40</v>
      </c>
      <c r="D11" s="16"/>
      <c r="E11" s="12" t="s">
        <v>40</v>
      </c>
      <c r="F11" s="31" t="s">
        <v>41</v>
      </c>
      <c r="G11" s="9" t="s">
        <v>40</v>
      </c>
      <c r="H11" s="11"/>
      <c r="I11" s="9" t="s">
        <v>42</v>
      </c>
      <c r="J11" s="20" t="s">
        <v>38</v>
      </c>
      <c r="K11" s="7" t="s">
        <v>43</v>
      </c>
      <c r="L11" s="17"/>
      <c r="M11" s="8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 s="1"/>
      <c r="B12" s="2"/>
      <c r="C12" s="1"/>
      <c r="D12" s="32"/>
      <c r="E12" s="1"/>
      <c r="F12" s="3"/>
      <c r="G12" s="1"/>
      <c r="H12" s="2"/>
      <c r="I12" s="1"/>
      <c r="J12" s="2"/>
      <c r="K12" s="1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1"/>
      <c r="B13" s="2"/>
      <c r="C13" s="1"/>
      <c r="D13" s="2"/>
      <c r="E13" s="1"/>
      <c r="F13" s="4" t="s">
        <v>44</v>
      </c>
      <c r="G13" s="1"/>
      <c r="H13" s="2"/>
      <c r="I13" s="1"/>
      <c r="J13" s="2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496" t="s">
        <v>2</v>
      </c>
      <c r="B14" s="495"/>
      <c r="C14" s="33"/>
      <c r="D14" s="34" t="s">
        <v>3</v>
      </c>
      <c r="E14" s="33"/>
      <c r="F14" s="34" t="s">
        <v>4</v>
      </c>
      <c r="G14" s="33"/>
      <c r="H14" s="34" t="s">
        <v>5</v>
      </c>
      <c r="I14" s="33"/>
      <c r="J14" s="35" t="s">
        <v>6</v>
      </c>
      <c r="K14" s="36"/>
      <c r="L14" s="1"/>
      <c r="M14" s="8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37" t="s">
        <v>9</v>
      </c>
      <c r="B15" s="38"/>
      <c r="C15" s="37" t="s">
        <v>9</v>
      </c>
      <c r="D15" s="38" t="s">
        <v>45</v>
      </c>
      <c r="E15" s="37" t="s">
        <v>7</v>
      </c>
      <c r="F15" s="39"/>
      <c r="G15" s="40"/>
      <c r="H15" s="41"/>
      <c r="I15" s="37" t="s">
        <v>9</v>
      </c>
      <c r="J15" s="38" t="s">
        <v>45</v>
      </c>
      <c r="K15" s="42"/>
      <c r="L15" s="1"/>
      <c r="M15" s="8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37" t="s">
        <v>11</v>
      </c>
      <c r="B16" s="38"/>
      <c r="C16" s="37" t="s">
        <v>11</v>
      </c>
      <c r="D16" s="38" t="s">
        <v>45</v>
      </c>
      <c r="E16" s="37" t="s">
        <v>11</v>
      </c>
      <c r="F16" s="39"/>
      <c r="G16" s="40"/>
      <c r="H16" s="41"/>
      <c r="I16" s="37" t="s">
        <v>11</v>
      </c>
      <c r="J16" s="38" t="s">
        <v>45</v>
      </c>
      <c r="K16" s="42"/>
      <c r="L16" s="1"/>
      <c r="M16" s="43"/>
      <c r="N16" s="44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37" t="s">
        <v>19</v>
      </c>
      <c r="B17" s="38"/>
      <c r="C17" s="37" t="s">
        <v>19</v>
      </c>
      <c r="D17" s="38" t="s">
        <v>45</v>
      </c>
      <c r="E17" s="37" t="s">
        <v>19</v>
      </c>
      <c r="F17" s="45" t="s">
        <v>46</v>
      </c>
      <c r="G17" s="40"/>
      <c r="H17" s="41"/>
      <c r="I17" s="37" t="s">
        <v>19</v>
      </c>
      <c r="J17" s="38" t="s">
        <v>45</v>
      </c>
      <c r="K17" s="42"/>
      <c r="L17" s="1"/>
      <c r="M17" s="8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46">
        <v>0.5</v>
      </c>
      <c r="B18" s="38"/>
      <c r="C18" s="46">
        <v>0.5</v>
      </c>
      <c r="D18" s="38"/>
      <c r="E18" s="37" t="s">
        <v>24</v>
      </c>
      <c r="F18" s="45" t="s">
        <v>46</v>
      </c>
      <c r="G18" s="40"/>
      <c r="H18" s="41"/>
      <c r="I18" s="46">
        <v>0.5</v>
      </c>
      <c r="J18" s="38" t="s">
        <v>45</v>
      </c>
      <c r="K18" s="42"/>
      <c r="L18" s="1"/>
      <c r="M18" s="43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37" t="s">
        <v>28</v>
      </c>
      <c r="B19" s="47"/>
      <c r="C19" s="37" t="s">
        <v>28</v>
      </c>
      <c r="D19" s="47"/>
      <c r="E19" s="37" t="s">
        <v>28</v>
      </c>
      <c r="F19" s="48"/>
      <c r="G19" s="40"/>
      <c r="H19" s="41"/>
      <c r="I19" s="37" t="s">
        <v>28</v>
      </c>
      <c r="J19" s="47"/>
      <c r="K19" s="42"/>
      <c r="L19" s="1"/>
      <c r="M19" s="43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37" t="s">
        <v>30</v>
      </c>
      <c r="B20" s="38"/>
      <c r="C20" s="37" t="s">
        <v>30</v>
      </c>
      <c r="D20" s="38" t="s">
        <v>45</v>
      </c>
      <c r="E20" s="37" t="s">
        <v>32</v>
      </c>
      <c r="F20" s="49"/>
      <c r="G20" s="40"/>
      <c r="H20" s="41"/>
      <c r="I20" s="37" t="s">
        <v>30</v>
      </c>
      <c r="J20" s="38" t="s">
        <v>45</v>
      </c>
      <c r="K20" s="42"/>
      <c r="L20" s="1"/>
      <c r="M20" s="8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37" t="s">
        <v>34</v>
      </c>
      <c r="B21" s="38"/>
      <c r="C21" s="37" t="s">
        <v>34</v>
      </c>
      <c r="D21" s="38" t="s">
        <v>45</v>
      </c>
      <c r="E21" s="37" t="s">
        <v>34</v>
      </c>
      <c r="F21" s="2"/>
      <c r="G21" s="40"/>
      <c r="H21" s="41"/>
      <c r="I21" s="37" t="s">
        <v>34</v>
      </c>
      <c r="J21" s="38" t="s">
        <v>45</v>
      </c>
      <c r="K21" s="42"/>
      <c r="L21" s="1"/>
      <c r="M21" s="50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7" t="s">
        <v>47</v>
      </c>
      <c r="B22" s="38"/>
      <c r="C22" s="37" t="s">
        <v>47</v>
      </c>
      <c r="D22" s="38"/>
      <c r="E22" s="37" t="s">
        <v>40</v>
      </c>
      <c r="F22" s="51" t="s">
        <v>48</v>
      </c>
      <c r="G22" s="40"/>
      <c r="H22" s="41"/>
      <c r="I22" s="37" t="s">
        <v>47</v>
      </c>
      <c r="J22" s="38"/>
      <c r="K22" s="42"/>
      <c r="L22" s="1"/>
      <c r="M22" s="8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1"/>
      <c r="B23" s="2"/>
      <c r="C23" s="1"/>
      <c r="D23" s="32"/>
      <c r="E23" s="1"/>
      <c r="F23" s="3"/>
      <c r="G23" s="1"/>
      <c r="H23" s="2"/>
      <c r="I23" s="1"/>
      <c r="J23" s="2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1"/>
      <c r="B24" s="2"/>
      <c r="C24" s="1"/>
      <c r="D24" s="2"/>
      <c r="E24" s="1"/>
      <c r="F24" s="4" t="s">
        <v>49</v>
      </c>
      <c r="G24" s="1"/>
      <c r="H24" s="2"/>
      <c r="I24" s="1"/>
      <c r="J24" s="2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>
      <c r="A25" s="496" t="s">
        <v>2</v>
      </c>
      <c r="B25" s="495"/>
      <c r="C25" s="52"/>
      <c r="D25" s="53" t="s">
        <v>3</v>
      </c>
      <c r="E25" s="52"/>
      <c r="F25" s="53" t="s">
        <v>4</v>
      </c>
      <c r="G25" s="52"/>
      <c r="H25" s="53" t="s">
        <v>5</v>
      </c>
      <c r="I25" s="52"/>
      <c r="J25" s="34" t="s">
        <v>6</v>
      </c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3">
      <c r="A26" s="37" t="s">
        <v>9</v>
      </c>
      <c r="C26" s="37" t="s">
        <v>7</v>
      </c>
      <c r="D26" s="54"/>
      <c r="E26" s="37" t="s">
        <v>7</v>
      </c>
      <c r="F26" s="54"/>
      <c r="G26" s="37" t="s">
        <v>7</v>
      </c>
      <c r="H26" s="54"/>
      <c r="I26" s="46">
        <v>0.39583333333333331</v>
      </c>
      <c r="J26" s="55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3">
      <c r="A27" s="37" t="s">
        <v>11</v>
      </c>
      <c r="B27" s="54"/>
      <c r="C27" s="37" t="s">
        <v>11</v>
      </c>
      <c r="D27" s="56"/>
      <c r="E27" s="37" t="s">
        <v>11</v>
      </c>
      <c r="F27" s="54"/>
      <c r="G27" s="37" t="s">
        <v>11</v>
      </c>
      <c r="H27" s="54"/>
      <c r="I27" s="37" t="s">
        <v>12</v>
      </c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3">
      <c r="A28" s="37" t="s">
        <v>19</v>
      </c>
      <c r="B28" s="57"/>
      <c r="C28" s="40" t="s">
        <v>50</v>
      </c>
      <c r="D28" s="54"/>
      <c r="E28" s="37" t="s">
        <v>19</v>
      </c>
      <c r="F28" s="54"/>
      <c r="G28" s="37" t="s">
        <v>19</v>
      </c>
      <c r="H28" s="58"/>
      <c r="I28" s="37" t="s">
        <v>15</v>
      </c>
      <c r="J28" s="59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3">
      <c r="A29" s="46">
        <v>0.5</v>
      </c>
      <c r="B29" s="57"/>
      <c r="C29" s="37" t="s">
        <v>23</v>
      </c>
      <c r="D29" s="54"/>
      <c r="E29" s="37" t="s">
        <v>24</v>
      </c>
      <c r="F29" s="54"/>
      <c r="G29" s="37" t="s">
        <v>24</v>
      </c>
      <c r="I29" s="37" t="s">
        <v>51</v>
      </c>
      <c r="J29" s="54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3">
      <c r="A30" s="37" t="s">
        <v>28</v>
      </c>
      <c r="B30" s="13"/>
      <c r="C30" s="60">
        <v>45578</v>
      </c>
      <c r="D30" s="54"/>
      <c r="E30" s="37" t="s">
        <v>28</v>
      </c>
      <c r="F30" s="54"/>
      <c r="G30" s="37" t="s">
        <v>28</v>
      </c>
      <c r="H30" s="61"/>
      <c r="I30" s="37" t="s">
        <v>52</v>
      </c>
      <c r="J30" s="58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3">
      <c r="A31" s="37" t="s">
        <v>30</v>
      </c>
      <c r="B31" s="54"/>
      <c r="C31" s="37" t="s">
        <v>30</v>
      </c>
      <c r="D31" s="54"/>
      <c r="E31" s="37" t="s">
        <v>30</v>
      </c>
      <c r="F31" s="54"/>
      <c r="G31" s="37" t="s">
        <v>30</v>
      </c>
      <c r="H31" s="54"/>
      <c r="I31" s="37" t="s">
        <v>30</v>
      </c>
      <c r="J31" s="59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3">
      <c r="A32" s="37" t="s">
        <v>34</v>
      </c>
      <c r="B32" s="56"/>
      <c r="C32" s="37" t="s">
        <v>34</v>
      </c>
      <c r="D32" s="58"/>
      <c r="E32" s="37" t="s">
        <v>53</v>
      </c>
      <c r="F32" s="43"/>
      <c r="G32" s="37" t="s">
        <v>34</v>
      </c>
      <c r="H32" s="62"/>
      <c r="I32" s="37" t="s">
        <v>36</v>
      </c>
      <c r="J32" s="57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3">
      <c r="A33" s="37" t="s">
        <v>40</v>
      </c>
      <c r="B33" s="54"/>
      <c r="C33" s="37" t="s">
        <v>40</v>
      </c>
      <c r="D33" s="54"/>
      <c r="E33" s="37" t="s">
        <v>40</v>
      </c>
      <c r="F33" s="54"/>
      <c r="G33" s="37" t="s">
        <v>40</v>
      </c>
      <c r="H33" s="55"/>
      <c r="I33" s="37" t="s">
        <v>40</v>
      </c>
      <c r="J33" s="63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3">
      <c r="A34" s="1"/>
      <c r="B34" s="2"/>
      <c r="C34" s="1"/>
      <c r="D34" s="2"/>
      <c r="E34" s="1"/>
      <c r="F34" s="3"/>
      <c r="G34" s="64"/>
      <c r="H34" s="2"/>
      <c r="I34" s="1"/>
      <c r="J34" s="2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>
      <c r="A35" s="1"/>
      <c r="B35" s="2"/>
      <c r="C35" s="1"/>
      <c r="D35" s="2"/>
      <c r="E35" s="1"/>
      <c r="F35" s="4" t="s">
        <v>54</v>
      </c>
      <c r="G35" s="1"/>
      <c r="H35" s="2"/>
      <c r="I35" s="1"/>
      <c r="J35" s="2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>
      <c r="A36" s="496" t="s">
        <v>2</v>
      </c>
      <c r="B36" s="495"/>
      <c r="C36" s="52"/>
      <c r="D36" s="34" t="s">
        <v>3</v>
      </c>
      <c r="E36" s="52"/>
      <c r="F36" s="53" t="s">
        <v>4</v>
      </c>
      <c r="G36" s="52"/>
      <c r="H36" s="53" t="s">
        <v>5</v>
      </c>
      <c r="I36" s="52"/>
      <c r="J36" s="34" t="s">
        <v>6</v>
      </c>
      <c r="K36" s="34"/>
      <c r="L36" s="65" t="s">
        <v>55</v>
      </c>
      <c r="M36" s="34"/>
      <c r="N36" s="34" t="s">
        <v>56</v>
      </c>
      <c r="O36" s="2"/>
      <c r="P36" s="2"/>
      <c r="Q36" s="2"/>
      <c r="R36" s="2"/>
      <c r="S36" s="2"/>
      <c r="T36" s="2"/>
      <c r="U36" s="2"/>
      <c r="V36" s="2"/>
      <c r="W36" s="2"/>
    </row>
    <row r="37" spans="1:23">
      <c r="A37" s="37" t="s">
        <v>7</v>
      </c>
      <c r="B37" s="54"/>
      <c r="C37" s="37" t="s">
        <v>7</v>
      </c>
      <c r="D37" s="54"/>
      <c r="E37" s="37" t="s">
        <v>7</v>
      </c>
      <c r="F37" s="54"/>
      <c r="G37" s="37" t="s">
        <v>7</v>
      </c>
      <c r="H37" s="54"/>
      <c r="I37" s="46">
        <v>0.39583333333333331</v>
      </c>
      <c r="J37" s="55"/>
      <c r="K37" s="54" t="s">
        <v>57</v>
      </c>
      <c r="L37" s="55"/>
      <c r="M37" s="54" t="s">
        <v>57</v>
      </c>
      <c r="N37" s="54"/>
      <c r="O37" s="2"/>
      <c r="P37" s="2"/>
      <c r="Q37" s="2"/>
      <c r="R37" s="2"/>
      <c r="S37" s="2"/>
      <c r="T37" s="2"/>
      <c r="U37" s="2"/>
      <c r="V37" s="2"/>
      <c r="W37" s="2"/>
    </row>
    <row r="38" spans="1:23">
      <c r="A38" s="37" t="s">
        <v>11</v>
      </c>
      <c r="B38" s="54"/>
      <c r="C38" s="37" t="s">
        <v>11</v>
      </c>
      <c r="D38" s="54"/>
      <c r="E38" s="37" t="s">
        <v>11</v>
      </c>
      <c r="F38" s="54"/>
      <c r="G38" s="37" t="s">
        <v>58</v>
      </c>
      <c r="H38" s="20" t="s">
        <v>59</v>
      </c>
      <c r="I38" s="37" t="s">
        <v>12</v>
      </c>
      <c r="J38" s="54"/>
      <c r="K38" s="66" t="s">
        <v>12</v>
      </c>
      <c r="L38" s="67"/>
      <c r="M38" s="66" t="s">
        <v>12</v>
      </c>
      <c r="N38" s="54"/>
      <c r="O38" s="2"/>
      <c r="P38" s="2"/>
      <c r="Q38" s="2"/>
      <c r="R38" s="2"/>
      <c r="S38" s="2"/>
      <c r="T38" s="2"/>
      <c r="U38" s="2"/>
      <c r="V38" s="2"/>
      <c r="W38" s="2"/>
    </row>
    <row r="39" spans="1:23">
      <c r="A39" s="37" t="s">
        <v>15</v>
      </c>
      <c r="B39" s="68"/>
      <c r="C39" s="40" t="s">
        <v>50</v>
      </c>
      <c r="D39" s="54"/>
      <c r="E39" s="37" t="s">
        <v>15</v>
      </c>
      <c r="F39" s="69" t="s">
        <v>60</v>
      </c>
      <c r="G39" s="37" t="s">
        <v>19</v>
      </c>
      <c r="H39" s="20" t="s">
        <v>61</v>
      </c>
      <c r="I39" s="37" t="s">
        <v>15</v>
      </c>
      <c r="J39" s="70" t="s">
        <v>62</v>
      </c>
      <c r="K39" s="71" t="s">
        <v>19</v>
      </c>
      <c r="L39" s="72" t="s">
        <v>63</v>
      </c>
      <c r="M39" s="71" t="s">
        <v>19</v>
      </c>
      <c r="N39" s="72" t="s">
        <v>63</v>
      </c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7" t="s">
        <v>23</v>
      </c>
      <c r="B40" s="20" t="s">
        <v>64</v>
      </c>
      <c r="C40" s="37" t="s">
        <v>23</v>
      </c>
      <c r="D40" s="54"/>
      <c r="E40" s="37" t="s">
        <v>23</v>
      </c>
      <c r="F40" s="69"/>
      <c r="G40" s="37" t="s">
        <v>24</v>
      </c>
      <c r="H40" s="20" t="s">
        <v>59</v>
      </c>
      <c r="I40" s="37" t="s">
        <v>51</v>
      </c>
      <c r="J40" s="54"/>
      <c r="K40" s="71" t="s">
        <v>24</v>
      </c>
      <c r="L40" s="72" t="s">
        <v>63</v>
      </c>
      <c r="M40" s="71" t="s">
        <v>24</v>
      </c>
      <c r="N40" s="72" t="s">
        <v>63</v>
      </c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37" t="s">
        <v>28</v>
      </c>
      <c r="B41" s="73"/>
      <c r="C41" s="60">
        <v>45578</v>
      </c>
      <c r="D41" s="54"/>
      <c r="E41" s="37" t="s">
        <v>28</v>
      </c>
      <c r="F41" s="54"/>
      <c r="G41" s="37" t="s">
        <v>28</v>
      </c>
      <c r="H41" s="54"/>
      <c r="I41" s="37" t="s">
        <v>65</v>
      </c>
      <c r="J41" s="54"/>
      <c r="K41" s="71" t="s">
        <v>32</v>
      </c>
      <c r="L41" s="72" t="s">
        <v>63</v>
      </c>
      <c r="M41" s="71" t="s">
        <v>32</v>
      </c>
      <c r="N41" s="72" t="s">
        <v>63</v>
      </c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37" t="s">
        <v>66</v>
      </c>
      <c r="B42" s="73"/>
      <c r="C42" s="37" t="s">
        <v>30</v>
      </c>
      <c r="D42" s="54"/>
      <c r="E42" s="37" t="s">
        <v>30</v>
      </c>
      <c r="F42" s="54"/>
      <c r="G42" s="37" t="s">
        <v>30</v>
      </c>
      <c r="H42" s="54"/>
      <c r="I42" s="37" t="s">
        <v>30</v>
      </c>
      <c r="J42" s="70" t="s">
        <v>62</v>
      </c>
      <c r="K42" s="71" t="s">
        <v>34</v>
      </c>
      <c r="L42" s="72" t="s">
        <v>63</v>
      </c>
      <c r="M42" s="71" t="s">
        <v>34</v>
      </c>
      <c r="N42" s="72" t="s">
        <v>63</v>
      </c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37" t="s">
        <v>36</v>
      </c>
      <c r="B43" s="73"/>
      <c r="C43" s="37" t="s">
        <v>36</v>
      </c>
      <c r="D43" s="54"/>
      <c r="E43" s="37" t="s">
        <v>36</v>
      </c>
      <c r="F43" s="54"/>
      <c r="G43" s="40"/>
      <c r="H43" s="8"/>
      <c r="I43" s="37" t="s">
        <v>36</v>
      </c>
      <c r="J43" s="20" t="s">
        <v>67</v>
      </c>
      <c r="K43" s="71" t="s">
        <v>68</v>
      </c>
      <c r="L43" s="72" t="s">
        <v>63</v>
      </c>
      <c r="M43" s="71" t="s">
        <v>68</v>
      </c>
      <c r="N43" s="72" t="s">
        <v>63</v>
      </c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37" t="s">
        <v>40</v>
      </c>
      <c r="B44" s="73"/>
      <c r="C44" s="37" t="s">
        <v>40</v>
      </c>
      <c r="D44" s="74" t="s">
        <v>69</v>
      </c>
      <c r="E44" s="37" t="s">
        <v>40</v>
      </c>
      <c r="F44" s="54"/>
      <c r="G44" s="75">
        <v>0.70138888888888884</v>
      </c>
      <c r="H44" s="74" t="s">
        <v>69</v>
      </c>
      <c r="I44" s="37" t="s">
        <v>40</v>
      </c>
      <c r="J44" s="54"/>
      <c r="K44" s="71" t="s">
        <v>70</v>
      </c>
      <c r="L44" s="72" t="s">
        <v>63</v>
      </c>
      <c r="M44" s="71" t="s">
        <v>70</v>
      </c>
      <c r="N44" s="72" t="s">
        <v>63</v>
      </c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1"/>
      <c r="B45" s="2"/>
      <c r="C45" s="1"/>
      <c r="D45" s="2"/>
      <c r="E45" s="1"/>
      <c r="F45" s="3"/>
      <c r="G45" s="64"/>
      <c r="H45" s="2"/>
      <c r="I45" s="1"/>
      <c r="J45" s="2"/>
      <c r="K45" s="1"/>
      <c r="L45" s="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76"/>
      <c r="B46" s="8"/>
      <c r="C46" s="76"/>
      <c r="D46" s="8"/>
      <c r="E46" s="76"/>
      <c r="F46" s="4" t="s">
        <v>71</v>
      </c>
      <c r="G46" s="76"/>
      <c r="H46" s="8"/>
      <c r="I46" s="76"/>
      <c r="J46" s="8"/>
      <c r="K46" s="76"/>
      <c r="L46" s="1"/>
      <c r="M46" s="8"/>
      <c r="N46" s="8"/>
      <c r="O46" s="2"/>
      <c r="P46" s="2"/>
      <c r="Q46" s="2"/>
      <c r="R46" s="2"/>
      <c r="S46" s="2"/>
      <c r="T46" s="2"/>
      <c r="U46" s="2"/>
      <c r="V46" s="2"/>
      <c r="W46" s="2"/>
    </row>
    <row r="47" spans="1:23">
      <c r="A47" s="496" t="s">
        <v>2</v>
      </c>
      <c r="B47" s="495"/>
      <c r="C47" s="33"/>
      <c r="D47" s="34" t="s">
        <v>3</v>
      </c>
      <c r="E47" s="33"/>
      <c r="F47" s="34" t="s">
        <v>4</v>
      </c>
      <c r="G47" s="33"/>
      <c r="H47" s="34" t="s">
        <v>5</v>
      </c>
      <c r="I47" s="33"/>
      <c r="J47" s="34" t="s">
        <v>72</v>
      </c>
      <c r="K47" s="33"/>
      <c r="L47" s="34" t="s">
        <v>56</v>
      </c>
      <c r="M47" s="2"/>
      <c r="N47" s="2"/>
      <c r="O47" s="2"/>
      <c r="P47" s="2"/>
    </row>
    <row r="48" spans="1:23">
      <c r="A48" s="37" t="s">
        <v>7</v>
      </c>
      <c r="B48" s="54"/>
      <c r="C48" s="40" t="s">
        <v>57</v>
      </c>
      <c r="D48" s="54"/>
      <c r="E48" s="37" t="s">
        <v>7</v>
      </c>
      <c r="F48" s="54"/>
      <c r="G48" s="37" t="s">
        <v>73</v>
      </c>
      <c r="H48" s="69" t="s">
        <v>74</v>
      </c>
      <c r="I48" s="37" t="s">
        <v>73</v>
      </c>
      <c r="J48" s="69" t="s">
        <v>74</v>
      </c>
      <c r="K48" s="37" t="s">
        <v>7</v>
      </c>
      <c r="L48" s="54"/>
      <c r="M48" s="2"/>
      <c r="N48" s="2"/>
      <c r="O48" s="2"/>
      <c r="P48" s="2"/>
    </row>
    <row r="49" spans="1:23">
      <c r="A49" s="37" t="s">
        <v>11</v>
      </c>
      <c r="B49" s="54"/>
      <c r="C49" s="40" t="s">
        <v>12</v>
      </c>
      <c r="D49" s="54"/>
      <c r="E49" s="37" t="s">
        <v>11</v>
      </c>
      <c r="F49" s="54"/>
      <c r="G49" s="37" t="s">
        <v>75</v>
      </c>
      <c r="H49" s="69" t="s">
        <v>74</v>
      </c>
      <c r="I49" s="37" t="s">
        <v>75</v>
      </c>
      <c r="J49" s="69" t="s">
        <v>74</v>
      </c>
      <c r="K49" s="37" t="s">
        <v>11</v>
      </c>
      <c r="L49" s="62" t="s">
        <v>76</v>
      </c>
      <c r="M49" s="2"/>
      <c r="N49" s="2"/>
      <c r="O49" s="2"/>
      <c r="P49" s="2"/>
    </row>
    <row r="50" spans="1:23">
      <c r="A50" s="37" t="s">
        <v>15</v>
      </c>
      <c r="B50" s="56"/>
      <c r="C50" s="40" t="s">
        <v>15</v>
      </c>
      <c r="D50" s="54"/>
      <c r="E50" s="37" t="s">
        <v>15</v>
      </c>
      <c r="F50" s="54"/>
      <c r="G50" s="37">
        <v>10.15</v>
      </c>
      <c r="H50" s="69" t="s">
        <v>74</v>
      </c>
      <c r="I50" s="37" t="s">
        <v>77</v>
      </c>
      <c r="J50" s="69" t="s">
        <v>74</v>
      </c>
      <c r="K50" s="37" t="s">
        <v>78</v>
      </c>
      <c r="L50" s="62" t="s">
        <v>76</v>
      </c>
      <c r="M50" s="2"/>
      <c r="N50" s="2"/>
      <c r="O50" s="2"/>
      <c r="P50" s="2"/>
    </row>
    <row r="51" spans="1:23">
      <c r="A51" s="37" t="s">
        <v>21</v>
      </c>
      <c r="B51" s="54"/>
      <c r="C51" s="40" t="s">
        <v>79</v>
      </c>
      <c r="D51" s="69" t="s">
        <v>60</v>
      </c>
      <c r="E51" s="37" t="s">
        <v>24</v>
      </c>
      <c r="F51" s="69" t="s">
        <v>74</v>
      </c>
      <c r="G51" s="77">
        <v>46153</v>
      </c>
      <c r="H51" s="69" t="s">
        <v>74</v>
      </c>
      <c r="I51" s="77">
        <v>46153</v>
      </c>
      <c r="J51" s="69" t="s">
        <v>74</v>
      </c>
      <c r="K51" s="37" t="s">
        <v>15</v>
      </c>
      <c r="L51" s="78" t="s">
        <v>80</v>
      </c>
      <c r="M51" s="2"/>
      <c r="N51" s="2"/>
      <c r="O51" s="2"/>
      <c r="P51" s="2"/>
    </row>
    <row r="52" spans="1:23">
      <c r="A52" s="37" t="s">
        <v>28</v>
      </c>
      <c r="B52" s="54"/>
      <c r="C52" s="40" t="s">
        <v>81</v>
      </c>
      <c r="D52" s="69" t="s">
        <v>60</v>
      </c>
      <c r="E52" s="60">
        <v>46308</v>
      </c>
      <c r="F52" s="69" t="s">
        <v>74</v>
      </c>
      <c r="G52" s="77">
        <v>46154</v>
      </c>
      <c r="H52" s="69" t="s">
        <v>74</v>
      </c>
      <c r="I52" s="77">
        <v>46154</v>
      </c>
      <c r="J52" s="69" t="s">
        <v>74</v>
      </c>
      <c r="K52" s="37" t="s">
        <v>52</v>
      </c>
      <c r="L52" s="78" t="s">
        <v>80</v>
      </c>
      <c r="M52" s="2"/>
      <c r="N52" s="2"/>
      <c r="O52" s="2"/>
      <c r="P52" s="2"/>
    </row>
    <row r="53" spans="1:23">
      <c r="A53" s="37" t="s">
        <v>30</v>
      </c>
      <c r="B53" s="69" t="s">
        <v>74</v>
      </c>
      <c r="C53" s="40" t="s">
        <v>32</v>
      </c>
      <c r="D53" s="54"/>
      <c r="E53" s="37" t="s">
        <v>30</v>
      </c>
      <c r="F53" s="69" t="s">
        <v>74</v>
      </c>
      <c r="G53" s="60">
        <v>46308</v>
      </c>
      <c r="H53" s="69" t="s">
        <v>74</v>
      </c>
      <c r="I53" s="60">
        <v>46308</v>
      </c>
      <c r="J53" s="69" t="s">
        <v>74</v>
      </c>
      <c r="K53" s="37" t="s">
        <v>36</v>
      </c>
      <c r="L53" s="78"/>
      <c r="M53" s="2"/>
      <c r="N53" s="2"/>
      <c r="O53" s="2"/>
      <c r="P53" s="2"/>
    </row>
    <row r="54" spans="1:23">
      <c r="A54" s="37" t="s">
        <v>34</v>
      </c>
      <c r="B54" s="69" t="s">
        <v>74</v>
      </c>
      <c r="C54" s="40" t="s">
        <v>34</v>
      </c>
      <c r="D54" s="54"/>
      <c r="E54" s="37" t="s">
        <v>34</v>
      </c>
      <c r="F54" s="69"/>
      <c r="G54" s="37" t="s">
        <v>32</v>
      </c>
      <c r="H54" s="69" t="s">
        <v>74</v>
      </c>
      <c r="I54" s="37"/>
      <c r="J54" s="54"/>
      <c r="K54" s="37" t="s">
        <v>53</v>
      </c>
      <c r="L54" s="54"/>
      <c r="M54" s="2"/>
      <c r="N54" s="2"/>
      <c r="O54" s="2"/>
      <c r="P54" s="2"/>
    </row>
    <row r="55" spans="1:23">
      <c r="A55" s="37" t="s">
        <v>40</v>
      </c>
      <c r="B55" s="69" t="s">
        <v>74</v>
      </c>
      <c r="C55" s="40" t="s">
        <v>53</v>
      </c>
      <c r="D55" s="54"/>
      <c r="E55" s="37" t="s">
        <v>40</v>
      </c>
      <c r="F55" s="69" t="s">
        <v>74</v>
      </c>
      <c r="G55" s="37" t="s">
        <v>34</v>
      </c>
      <c r="H55" s="69" t="s">
        <v>74</v>
      </c>
      <c r="I55" s="37" t="s">
        <v>0</v>
      </c>
      <c r="J55" s="54"/>
      <c r="K55" s="37"/>
      <c r="L55" s="54"/>
      <c r="M55" s="2"/>
      <c r="N55" s="2"/>
      <c r="O55" s="2"/>
      <c r="P55" s="2"/>
    </row>
    <row r="56" spans="1:23">
      <c r="A56" s="37"/>
      <c r="B56" s="54"/>
      <c r="C56" s="1"/>
      <c r="D56" s="2"/>
      <c r="E56" s="1"/>
      <c r="F56" s="3"/>
      <c r="G56" s="1"/>
      <c r="H56" s="2"/>
      <c r="I56" s="1"/>
      <c r="J56" s="2"/>
      <c r="K56" s="1"/>
      <c r="L56" s="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>
      <c r="A57" s="1"/>
      <c r="B57" s="2"/>
      <c r="C57" s="1"/>
      <c r="D57" s="2"/>
      <c r="E57" s="1"/>
      <c r="F57" s="2"/>
      <c r="G57" s="1"/>
      <c r="H57" s="2"/>
      <c r="I57" s="1"/>
      <c r="J57" s="2"/>
      <c r="K57" s="1"/>
      <c r="L57" s="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76"/>
      <c r="B58" s="8"/>
      <c r="C58" s="76"/>
      <c r="D58" s="8"/>
      <c r="E58" s="76"/>
      <c r="F58" s="4" t="s">
        <v>82</v>
      </c>
      <c r="G58" s="76"/>
      <c r="H58" s="8"/>
      <c r="I58" s="76"/>
      <c r="J58" s="8"/>
      <c r="K58" s="1"/>
      <c r="L58" s="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>
      <c r="A59" s="496" t="s">
        <v>2</v>
      </c>
      <c r="B59" s="495"/>
      <c r="C59" s="33"/>
      <c r="D59" s="34" t="s">
        <v>3</v>
      </c>
      <c r="E59" s="33"/>
      <c r="F59" s="34" t="s">
        <v>4</v>
      </c>
      <c r="G59" s="33"/>
      <c r="H59" s="34" t="s">
        <v>5</v>
      </c>
      <c r="I59" s="33"/>
      <c r="J59" s="34" t="s">
        <v>6</v>
      </c>
      <c r="K59" s="34"/>
      <c r="L59" s="65" t="s">
        <v>83</v>
      </c>
      <c r="M59" s="34"/>
      <c r="N59" s="34" t="s">
        <v>56</v>
      </c>
      <c r="O59" s="2"/>
      <c r="P59" s="2"/>
      <c r="Q59" s="2"/>
      <c r="R59" s="2"/>
      <c r="S59" s="2"/>
      <c r="T59" s="2"/>
      <c r="U59" s="2"/>
      <c r="V59" s="2"/>
      <c r="W59" s="2"/>
    </row>
    <row r="60" spans="1:23">
      <c r="A60" s="37" t="s">
        <v>7</v>
      </c>
      <c r="B60" s="54"/>
      <c r="C60" s="40"/>
      <c r="D60" s="54" t="s">
        <v>63</v>
      </c>
      <c r="E60" s="37" t="s">
        <v>7</v>
      </c>
      <c r="F60" s="73"/>
      <c r="G60" s="37" t="s">
        <v>7</v>
      </c>
      <c r="H60" s="73"/>
      <c r="I60" s="37" t="s">
        <v>7</v>
      </c>
      <c r="J60" s="55" t="s">
        <v>63</v>
      </c>
      <c r="K60" s="54" t="s">
        <v>57</v>
      </c>
      <c r="L60" s="55"/>
      <c r="M60" s="54" t="s">
        <v>57</v>
      </c>
      <c r="N60" s="54"/>
      <c r="O60" s="2"/>
      <c r="P60" s="2"/>
      <c r="Q60" s="2"/>
      <c r="R60" s="2"/>
      <c r="S60" s="2"/>
      <c r="T60" s="2"/>
      <c r="U60" s="2"/>
      <c r="V60" s="2"/>
      <c r="W60" s="2"/>
    </row>
    <row r="61" spans="1:23">
      <c r="A61" s="37" t="s">
        <v>11</v>
      </c>
      <c r="B61" s="54"/>
      <c r="C61" s="40"/>
      <c r="D61" s="54"/>
      <c r="E61" s="37" t="s">
        <v>11</v>
      </c>
      <c r="F61" s="73"/>
      <c r="G61" s="37" t="s">
        <v>11</v>
      </c>
      <c r="H61" s="73"/>
      <c r="I61" s="37" t="s">
        <v>11</v>
      </c>
      <c r="J61" s="62"/>
      <c r="K61" s="54" t="s">
        <v>12</v>
      </c>
      <c r="L61" s="67"/>
      <c r="M61" s="54" t="s">
        <v>12</v>
      </c>
      <c r="N61" s="54"/>
      <c r="O61" s="2"/>
      <c r="P61" s="2"/>
      <c r="Q61" s="2"/>
      <c r="R61" s="2"/>
      <c r="S61" s="2"/>
      <c r="T61" s="2"/>
      <c r="U61" s="2"/>
      <c r="V61" s="2"/>
      <c r="W61" s="2"/>
    </row>
    <row r="62" spans="1:23">
      <c r="A62" s="37" t="s">
        <v>15</v>
      </c>
      <c r="B62" s="79"/>
      <c r="C62" s="40"/>
      <c r="D62" s="73"/>
      <c r="E62" s="37" t="s">
        <v>15</v>
      </c>
      <c r="F62" s="73"/>
      <c r="G62" s="37" t="s">
        <v>84</v>
      </c>
      <c r="H62" s="73"/>
      <c r="I62" s="37" t="s">
        <v>78</v>
      </c>
      <c r="J62" s="62"/>
      <c r="K62" s="71" t="s">
        <v>19</v>
      </c>
      <c r="L62" s="72" t="s">
        <v>63</v>
      </c>
      <c r="M62" s="71" t="s">
        <v>19</v>
      </c>
      <c r="N62" s="72" t="s">
        <v>63</v>
      </c>
      <c r="O62" s="2"/>
      <c r="P62" s="2"/>
      <c r="Q62" s="2"/>
      <c r="R62" s="2"/>
      <c r="S62" s="2"/>
      <c r="T62" s="2"/>
      <c r="U62" s="2"/>
      <c r="V62" s="2"/>
      <c r="W62" s="2"/>
    </row>
    <row r="63" spans="1:23">
      <c r="A63" s="37" t="s">
        <v>21</v>
      </c>
      <c r="B63" s="73"/>
      <c r="C63" s="40"/>
      <c r="D63" s="54"/>
      <c r="E63" s="37" t="s">
        <v>24</v>
      </c>
      <c r="F63" s="73"/>
      <c r="G63" s="37" t="s">
        <v>25</v>
      </c>
      <c r="H63" s="73"/>
      <c r="I63" s="37" t="s">
        <v>21</v>
      </c>
      <c r="J63" s="54"/>
      <c r="K63" s="71" t="s">
        <v>24</v>
      </c>
      <c r="L63" s="72" t="s">
        <v>63</v>
      </c>
      <c r="M63" s="71" t="s">
        <v>24</v>
      </c>
      <c r="N63" s="72" t="s">
        <v>63</v>
      </c>
      <c r="O63" s="2"/>
      <c r="P63" s="2"/>
      <c r="Q63" s="2"/>
      <c r="R63" s="2"/>
      <c r="S63" s="2"/>
      <c r="T63" s="2"/>
      <c r="U63" s="2"/>
      <c r="V63" s="2"/>
      <c r="W63" s="2"/>
    </row>
    <row r="64" spans="1:23">
      <c r="A64" s="37" t="s">
        <v>28</v>
      </c>
      <c r="B64" s="73"/>
      <c r="C64" s="80"/>
      <c r="D64" s="54"/>
      <c r="E64" s="37" t="s">
        <v>28</v>
      </c>
      <c r="F64" s="73"/>
      <c r="G64" s="37" t="s">
        <v>28</v>
      </c>
      <c r="H64" s="54"/>
      <c r="I64" s="37" t="s">
        <v>52</v>
      </c>
      <c r="J64" s="20" t="s">
        <v>85</v>
      </c>
      <c r="K64" s="71" t="s">
        <v>32</v>
      </c>
      <c r="L64" s="72" t="s">
        <v>63</v>
      </c>
      <c r="M64" s="71" t="s">
        <v>32</v>
      </c>
      <c r="N64" s="72" t="s">
        <v>63</v>
      </c>
      <c r="O64" s="2"/>
      <c r="P64" s="2"/>
      <c r="Q64" s="2"/>
      <c r="R64" s="2"/>
      <c r="S64" s="2"/>
      <c r="T64" s="2"/>
      <c r="U64" s="2"/>
      <c r="V64" s="2"/>
      <c r="W64" s="2"/>
    </row>
    <row r="65" spans="1:23">
      <c r="A65" s="37" t="s">
        <v>30</v>
      </c>
      <c r="B65" s="73"/>
      <c r="C65" s="40"/>
      <c r="D65" s="54"/>
      <c r="E65" s="37" t="s">
        <v>30</v>
      </c>
      <c r="F65" s="73"/>
      <c r="G65" s="37" t="s">
        <v>30</v>
      </c>
      <c r="H65" s="54"/>
      <c r="I65" s="37" t="s">
        <v>36</v>
      </c>
      <c r="J65" s="78"/>
      <c r="K65" s="71" t="s">
        <v>53</v>
      </c>
      <c r="L65" s="72" t="s">
        <v>63</v>
      </c>
      <c r="M65" s="71" t="s">
        <v>53</v>
      </c>
      <c r="N65" s="72" t="s">
        <v>63</v>
      </c>
      <c r="O65" s="2"/>
      <c r="P65" s="2"/>
      <c r="Q65" s="2"/>
      <c r="R65" s="2"/>
      <c r="S65" s="2"/>
      <c r="T65" s="2"/>
      <c r="U65" s="2"/>
      <c r="V65" s="2"/>
      <c r="W65" s="2"/>
    </row>
    <row r="66" spans="1:23">
      <c r="A66" s="37" t="s">
        <v>34</v>
      </c>
      <c r="B66" s="79"/>
      <c r="C66" s="40"/>
      <c r="D66" s="54"/>
      <c r="E66" s="37" t="s">
        <v>36</v>
      </c>
      <c r="F66" s="73"/>
      <c r="G66" s="37" t="s">
        <v>34</v>
      </c>
      <c r="H66" s="62"/>
      <c r="I66" s="37" t="s">
        <v>53</v>
      </c>
      <c r="J66" s="63" t="s">
        <v>86</v>
      </c>
      <c r="K66" s="71" t="s">
        <v>34</v>
      </c>
      <c r="L66" s="72" t="s">
        <v>63</v>
      </c>
      <c r="M66" s="71" t="s">
        <v>34</v>
      </c>
      <c r="N66" s="72" t="s">
        <v>63</v>
      </c>
      <c r="O66" s="2"/>
      <c r="P66" s="2"/>
      <c r="Q66" s="2"/>
      <c r="R66" s="2"/>
      <c r="S66" s="2"/>
      <c r="T66" s="2"/>
      <c r="U66" s="2"/>
      <c r="V66" s="2"/>
      <c r="W66" s="2"/>
    </row>
    <row r="67" spans="1:23">
      <c r="A67" s="37" t="s">
        <v>40</v>
      </c>
      <c r="B67" s="73"/>
      <c r="C67" s="40"/>
      <c r="D67" s="54"/>
      <c r="E67" s="37" t="s">
        <v>40</v>
      </c>
      <c r="F67" s="73"/>
      <c r="G67" s="37" t="s">
        <v>87</v>
      </c>
      <c r="H67" s="81" t="s">
        <v>88</v>
      </c>
      <c r="I67" s="37"/>
      <c r="J67" s="54"/>
      <c r="K67" s="71" t="s">
        <v>70</v>
      </c>
      <c r="L67" s="72" t="s">
        <v>63</v>
      </c>
      <c r="M67" s="71" t="s">
        <v>70</v>
      </c>
      <c r="N67" s="72" t="s">
        <v>63</v>
      </c>
      <c r="O67" s="2"/>
      <c r="P67" s="2"/>
      <c r="Q67" s="2"/>
      <c r="R67" s="2"/>
      <c r="S67" s="2"/>
      <c r="T67" s="2"/>
      <c r="U67" s="2"/>
      <c r="V67" s="2"/>
      <c r="W67" s="2"/>
    </row>
    <row r="68" spans="1:23">
      <c r="A68" s="1"/>
      <c r="B68" s="2"/>
      <c r="C68" s="1"/>
      <c r="D68" s="2"/>
      <c r="E68" s="1"/>
      <c r="F68" s="2"/>
      <c r="G68" s="1"/>
      <c r="H68" s="2"/>
      <c r="I68" s="1"/>
      <c r="J68" s="2"/>
      <c r="K68" s="1"/>
      <c r="L68" s="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>
      <c r="A69" s="1"/>
      <c r="B69" s="2"/>
      <c r="C69" s="1"/>
      <c r="D69" s="2"/>
      <c r="E69" s="1"/>
      <c r="F69" s="2"/>
      <c r="G69" s="1"/>
      <c r="H69" s="2"/>
      <c r="I69" s="1"/>
      <c r="J69" s="2"/>
      <c r="K69" s="1"/>
      <c r="L69" s="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>
      <c r="A70" s="1"/>
      <c r="B70" s="2"/>
      <c r="C70" s="1"/>
      <c r="D70" s="2"/>
      <c r="E70" s="1"/>
      <c r="F70" s="4" t="s">
        <v>89</v>
      </c>
      <c r="G70" s="1"/>
      <c r="H70" s="2"/>
      <c r="I70" s="1"/>
      <c r="J70" s="2"/>
      <c r="K70" s="1"/>
      <c r="L70" s="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>
      <c r="A71" s="65"/>
      <c r="B71" s="65" t="s">
        <v>2</v>
      </c>
      <c r="C71" s="65"/>
      <c r="D71" s="65" t="s">
        <v>3</v>
      </c>
      <c r="E71" s="65"/>
      <c r="F71" s="65" t="s">
        <v>4</v>
      </c>
      <c r="G71" s="65"/>
      <c r="H71" s="65" t="s">
        <v>5</v>
      </c>
      <c r="I71" s="65"/>
      <c r="J71" s="65" t="s">
        <v>6</v>
      </c>
      <c r="K71" s="1"/>
      <c r="L71" s="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>
      <c r="A72" s="37" t="s">
        <v>9</v>
      </c>
      <c r="B72" s="38"/>
      <c r="C72" s="37" t="s">
        <v>7</v>
      </c>
      <c r="D72" s="54"/>
      <c r="E72" s="37" t="s">
        <v>7</v>
      </c>
      <c r="F72" s="54"/>
      <c r="G72" s="37" t="s">
        <v>7</v>
      </c>
      <c r="H72" s="54"/>
      <c r="I72" s="46">
        <v>0.39583333333333331</v>
      </c>
      <c r="J72" s="55"/>
      <c r="K72" s="1"/>
      <c r="L72" s="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>
      <c r="A73" s="37" t="s">
        <v>11</v>
      </c>
      <c r="B73" s="38"/>
      <c r="C73" s="37" t="s">
        <v>11</v>
      </c>
      <c r="D73" s="56"/>
      <c r="E73" s="37" t="s">
        <v>11</v>
      </c>
      <c r="F73" s="54"/>
      <c r="G73" s="37" t="s">
        <v>11</v>
      </c>
      <c r="H73" s="54"/>
      <c r="I73" s="37" t="s">
        <v>12</v>
      </c>
      <c r="J73" s="20"/>
      <c r="K73" s="1"/>
      <c r="L73" s="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>
      <c r="A74" s="37" t="s">
        <v>19</v>
      </c>
      <c r="B74" s="47" t="s">
        <v>90</v>
      </c>
      <c r="C74" s="40" t="s">
        <v>50</v>
      </c>
      <c r="D74" s="69" t="s">
        <v>90</v>
      </c>
      <c r="E74" s="37" t="s">
        <v>19</v>
      </c>
      <c r="F74" s="69" t="s">
        <v>90</v>
      </c>
      <c r="G74" s="37" t="s">
        <v>19</v>
      </c>
      <c r="H74" s="69" t="s">
        <v>90</v>
      </c>
      <c r="I74" s="37" t="s">
        <v>19</v>
      </c>
      <c r="J74" s="82" t="s">
        <v>90</v>
      </c>
      <c r="K74" s="1"/>
      <c r="L74" s="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>
      <c r="A75" s="46">
        <v>0.5</v>
      </c>
      <c r="B75" s="47" t="s">
        <v>90</v>
      </c>
      <c r="C75" s="37" t="s">
        <v>23</v>
      </c>
      <c r="D75" s="69" t="s">
        <v>90</v>
      </c>
      <c r="E75" s="37" t="s">
        <v>24</v>
      </c>
      <c r="F75" s="69" t="s">
        <v>90</v>
      </c>
      <c r="G75" s="37" t="s">
        <v>24</v>
      </c>
      <c r="H75" s="69" t="s">
        <v>90</v>
      </c>
      <c r="I75" s="37" t="s">
        <v>51</v>
      </c>
      <c r="J75" s="82" t="s">
        <v>90</v>
      </c>
      <c r="K75" s="1"/>
      <c r="L75" s="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7" t="s">
        <v>28</v>
      </c>
      <c r="B76" s="47" t="s">
        <v>90</v>
      </c>
      <c r="C76" s="60">
        <v>45578</v>
      </c>
      <c r="D76" s="69" t="s">
        <v>90</v>
      </c>
      <c r="E76" s="37" t="s">
        <v>28</v>
      </c>
      <c r="F76" s="69" t="s">
        <v>90</v>
      </c>
      <c r="G76" s="37" t="s">
        <v>28</v>
      </c>
      <c r="H76" s="69" t="s">
        <v>90</v>
      </c>
      <c r="I76" s="37" t="s">
        <v>52</v>
      </c>
      <c r="J76" s="82" t="s">
        <v>90</v>
      </c>
      <c r="K76" s="1"/>
      <c r="L76" s="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>
      <c r="A77" s="37" t="s">
        <v>30</v>
      </c>
      <c r="B77" s="47" t="s">
        <v>90</v>
      </c>
      <c r="C77" s="37" t="s">
        <v>30</v>
      </c>
      <c r="D77" s="69" t="s">
        <v>90</v>
      </c>
      <c r="E77" s="37" t="s">
        <v>30</v>
      </c>
      <c r="F77" s="69" t="s">
        <v>90</v>
      </c>
      <c r="G77" s="37" t="s">
        <v>30</v>
      </c>
      <c r="H77" s="69" t="s">
        <v>90</v>
      </c>
      <c r="I77" s="37" t="s">
        <v>30</v>
      </c>
      <c r="J77" s="82" t="s">
        <v>90</v>
      </c>
      <c r="K77" s="1"/>
      <c r="L77" s="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>
      <c r="A78" s="37" t="s">
        <v>34</v>
      </c>
      <c r="B78" s="47" t="s">
        <v>90</v>
      </c>
      <c r="C78" s="37" t="s">
        <v>34</v>
      </c>
      <c r="D78" s="69" t="s">
        <v>90</v>
      </c>
      <c r="E78" s="37" t="s">
        <v>53</v>
      </c>
      <c r="F78" s="69" t="s">
        <v>90</v>
      </c>
      <c r="G78" s="37" t="s">
        <v>34</v>
      </c>
      <c r="H78" s="69" t="s">
        <v>90</v>
      </c>
      <c r="I78" s="37" t="s">
        <v>36</v>
      </c>
      <c r="J78" s="82" t="s">
        <v>90</v>
      </c>
      <c r="K78" s="1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>
      <c r="A79" s="37" t="s">
        <v>47</v>
      </c>
      <c r="B79" s="47" t="s">
        <v>90</v>
      </c>
      <c r="C79" s="37" t="s">
        <v>68</v>
      </c>
      <c r="D79" s="69" t="s">
        <v>90</v>
      </c>
      <c r="E79" s="37" t="s">
        <v>68</v>
      </c>
      <c r="F79" s="69" t="s">
        <v>90</v>
      </c>
      <c r="G79" s="37" t="s">
        <v>68</v>
      </c>
      <c r="H79" s="69" t="s">
        <v>90</v>
      </c>
      <c r="I79" s="37" t="s">
        <v>68</v>
      </c>
      <c r="J79" s="82" t="s">
        <v>90</v>
      </c>
      <c r="K79" s="1"/>
      <c r="L79" s="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1"/>
      <c r="B80" s="2"/>
      <c r="C80" s="1"/>
      <c r="D80" s="2"/>
      <c r="E80" s="1"/>
      <c r="F80" s="2"/>
      <c r="G80" s="1"/>
      <c r="H80" s="2"/>
      <c r="I80" s="1"/>
      <c r="J80" s="2"/>
      <c r="K80" s="1"/>
      <c r="L80" s="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>
      <c r="A81" s="1"/>
      <c r="B81" s="2"/>
      <c r="C81" s="1"/>
      <c r="D81" s="2"/>
      <c r="E81" s="1"/>
      <c r="F81" s="4" t="s">
        <v>91</v>
      </c>
      <c r="G81" s="1"/>
      <c r="H81" s="2"/>
      <c r="I81" s="1"/>
      <c r="J81" s="2"/>
      <c r="K81" s="1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>
      <c r="A82" s="496" t="s">
        <v>2</v>
      </c>
      <c r="B82" s="495"/>
      <c r="C82" s="52"/>
      <c r="D82" s="53" t="s">
        <v>3</v>
      </c>
      <c r="E82" s="52"/>
      <c r="F82" s="53" t="s">
        <v>4</v>
      </c>
      <c r="G82" s="52"/>
      <c r="H82" s="53" t="s">
        <v>5</v>
      </c>
      <c r="I82" s="52"/>
      <c r="J82" s="34" t="s">
        <v>6</v>
      </c>
      <c r="K82" s="34"/>
      <c r="L82" s="65" t="s">
        <v>83</v>
      </c>
      <c r="M82" s="34"/>
      <c r="N82" s="34" t="s">
        <v>56</v>
      </c>
      <c r="O82" s="2"/>
      <c r="P82" s="2"/>
      <c r="Q82" s="2"/>
      <c r="R82" s="2"/>
      <c r="S82" s="2"/>
      <c r="T82" s="2"/>
      <c r="U82" s="2"/>
      <c r="V82" s="2"/>
      <c r="W82" s="2"/>
    </row>
    <row r="83" spans="1:23">
      <c r="A83" s="37" t="s">
        <v>9</v>
      </c>
      <c r="B83" s="13"/>
      <c r="C83" s="37" t="s">
        <v>92</v>
      </c>
      <c r="D83" s="74" t="s">
        <v>69</v>
      </c>
      <c r="E83" s="37" t="s">
        <v>7</v>
      </c>
      <c r="F83" s="54"/>
      <c r="G83" s="37" t="s">
        <v>7</v>
      </c>
      <c r="H83" s="54"/>
      <c r="I83" s="46">
        <v>0.39583333333333331</v>
      </c>
      <c r="J83" s="55"/>
      <c r="K83" s="54" t="s">
        <v>57</v>
      </c>
      <c r="L83" s="55"/>
      <c r="M83" s="54" t="s">
        <v>57</v>
      </c>
      <c r="N83" s="54"/>
      <c r="O83" s="2"/>
      <c r="P83" s="2"/>
      <c r="Q83" s="2"/>
      <c r="R83" s="2"/>
      <c r="S83" s="2"/>
      <c r="T83" s="2"/>
      <c r="U83" s="2"/>
      <c r="V83" s="2"/>
      <c r="W83" s="2"/>
    </row>
    <row r="84" spans="1:23">
      <c r="A84" s="37" t="s">
        <v>93</v>
      </c>
      <c r="B84" s="74" t="s">
        <v>69</v>
      </c>
      <c r="C84" s="37" t="s">
        <v>94</v>
      </c>
      <c r="D84" s="74" t="s">
        <v>69</v>
      </c>
      <c r="E84" s="37" t="s">
        <v>11</v>
      </c>
      <c r="F84" s="54"/>
      <c r="G84" s="37" t="s">
        <v>11</v>
      </c>
      <c r="H84" s="54"/>
      <c r="I84" s="37" t="s">
        <v>77</v>
      </c>
      <c r="J84" s="74" t="s">
        <v>69</v>
      </c>
      <c r="K84" s="54" t="s">
        <v>12</v>
      </c>
      <c r="L84" s="67"/>
      <c r="M84" s="54" t="s">
        <v>12</v>
      </c>
      <c r="N84" s="54"/>
      <c r="O84" s="2"/>
      <c r="P84" s="2"/>
      <c r="Q84" s="2"/>
      <c r="R84" s="2"/>
      <c r="S84" s="2"/>
      <c r="T84" s="2"/>
      <c r="U84" s="2"/>
      <c r="V84" s="2"/>
      <c r="W84" s="2"/>
    </row>
    <row r="85" spans="1:23">
      <c r="A85" s="37" t="s">
        <v>95</v>
      </c>
      <c r="B85" s="74" t="s">
        <v>69</v>
      </c>
      <c r="C85" s="40" t="s">
        <v>77</v>
      </c>
      <c r="D85" s="74" t="s">
        <v>69</v>
      </c>
      <c r="E85" s="77">
        <v>46153</v>
      </c>
      <c r="F85" s="74" t="s">
        <v>69</v>
      </c>
      <c r="G85" s="77">
        <v>46153</v>
      </c>
      <c r="H85" s="74" t="s">
        <v>69</v>
      </c>
      <c r="I85" s="77">
        <v>46153</v>
      </c>
      <c r="J85" s="74" t="s">
        <v>69</v>
      </c>
      <c r="K85" s="71" t="s">
        <v>19</v>
      </c>
      <c r="L85" s="72"/>
      <c r="M85" s="71" t="s">
        <v>19</v>
      </c>
      <c r="N85" s="72"/>
      <c r="O85" s="2"/>
      <c r="P85" s="2"/>
      <c r="Q85" s="2"/>
      <c r="R85" s="2"/>
      <c r="S85" s="2"/>
      <c r="T85" s="2"/>
      <c r="U85" s="2"/>
      <c r="V85" s="2"/>
      <c r="W85" s="2"/>
    </row>
    <row r="86" spans="1:23">
      <c r="A86" s="37" t="s">
        <v>96</v>
      </c>
      <c r="B86" s="74" t="s">
        <v>69</v>
      </c>
      <c r="C86" s="37" t="s">
        <v>93</v>
      </c>
      <c r="D86" s="74" t="s">
        <v>69</v>
      </c>
      <c r="E86" s="37" t="s">
        <v>93</v>
      </c>
      <c r="F86" s="74" t="s">
        <v>69</v>
      </c>
      <c r="G86" s="37" t="s">
        <v>93</v>
      </c>
      <c r="H86" s="74" t="s">
        <v>69</v>
      </c>
      <c r="I86" s="37" t="s">
        <v>93</v>
      </c>
      <c r="J86" s="74" t="s">
        <v>69</v>
      </c>
      <c r="K86" s="71" t="s">
        <v>24</v>
      </c>
      <c r="L86" s="72"/>
      <c r="M86" s="71" t="s">
        <v>97</v>
      </c>
      <c r="N86" s="72" t="s">
        <v>98</v>
      </c>
      <c r="O86" s="2"/>
      <c r="P86" s="2"/>
      <c r="Q86" s="2"/>
      <c r="R86" s="2"/>
      <c r="S86" s="2"/>
      <c r="T86" s="2"/>
      <c r="U86" s="2"/>
      <c r="V86" s="2"/>
      <c r="W86" s="2"/>
    </row>
    <row r="87" spans="1:23">
      <c r="A87" s="37" t="s">
        <v>34</v>
      </c>
      <c r="B87" s="74" t="s">
        <v>69</v>
      </c>
      <c r="C87" s="37" t="s">
        <v>95</v>
      </c>
      <c r="D87" s="74" t="s">
        <v>69</v>
      </c>
      <c r="E87" s="37" t="s">
        <v>96</v>
      </c>
      <c r="F87" s="74" t="s">
        <v>69</v>
      </c>
      <c r="G87" s="37" t="s">
        <v>95</v>
      </c>
      <c r="H87" s="74" t="s">
        <v>69</v>
      </c>
      <c r="I87" s="37" t="s">
        <v>95</v>
      </c>
      <c r="J87" s="74" t="s">
        <v>69</v>
      </c>
      <c r="K87" s="71" t="s">
        <v>32</v>
      </c>
      <c r="L87" s="72"/>
      <c r="M87" s="71" t="s">
        <v>36</v>
      </c>
      <c r="N87" s="72" t="s">
        <v>98</v>
      </c>
      <c r="O87" s="2"/>
      <c r="P87" s="2"/>
      <c r="Q87" s="2"/>
      <c r="R87" s="2"/>
      <c r="S87" s="2"/>
      <c r="T87" s="2"/>
      <c r="U87" s="2"/>
      <c r="V87" s="2"/>
      <c r="W87" s="2"/>
    </row>
    <row r="88" spans="1:23">
      <c r="A88" s="37" t="s">
        <v>99</v>
      </c>
      <c r="B88" s="74" t="s">
        <v>69</v>
      </c>
      <c r="C88" s="37" t="s">
        <v>96</v>
      </c>
      <c r="D88" s="74" t="s">
        <v>69</v>
      </c>
      <c r="E88" s="37" t="s">
        <v>34</v>
      </c>
      <c r="F88" s="74" t="s">
        <v>69</v>
      </c>
      <c r="G88" s="37" t="s">
        <v>34</v>
      </c>
      <c r="H88" s="74" t="s">
        <v>69</v>
      </c>
      <c r="I88" s="37" t="s">
        <v>96</v>
      </c>
      <c r="J88" s="74" t="s">
        <v>69</v>
      </c>
      <c r="K88" s="71" t="s">
        <v>53</v>
      </c>
      <c r="L88" s="72"/>
      <c r="M88" s="71" t="s">
        <v>53</v>
      </c>
      <c r="N88" s="72"/>
      <c r="O88" s="2"/>
      <c r="P88" s="2"/>
      <c r="Q88" s="2"/>
      <c r="R88" s="2"/>
      <c r="S88" s="2"/>
      <c r="T88" s="2"/>
      <c r="U88" s="2"/>
      <c r="V88" s="2"/>
      <c r="W88" s="2"/>
    </row>
    <row r="89" spans="1:23">
      <c r="A89" s="37" t="s">
        <v>53</v>
      </c>
      <c r="B89" s="56"/>
      <c r="C89" s="37" t="s">
        <v>34</v>
      </c>
      <c r="D89" s="74" t="s">
        <v>69</v>
      </c>
      <c r="E89" s="37" t="s">
        <v>36</v>
      </c>
      <c r="F89" s="43"/>
      <c r="G89" s="37" t="s">
        <v>36</v>
      </c>
      <c r="H89" s="62"/>
      <c r="I89" s="37" t="s">
        <v>34</v>
      </c>
      <c r="J89" s="74" t="s">
        <v>69</v>
      </c>
      <c r="K89" s="71" t="s">
        <v>34</v>
      </c>
      <c r="L89" s="72"/>
      <c r="M89" s="71" t="s">
        <v>34</v>
      </c>
      <c r="N89" s="72"/>
      <c r="O89" s="2"/>
      <c r="P89" s="2"/>
      <c r="Q89" s="2"/>
      <c r="R89" s="2"/>
      <c r="S89" s="2"/>
      <c r="T89" s="2"/>
      <c r="U89" s="2"/>
      <c r="V89" s="2"/>
      <c r="W89" s="2"/>
    </row>
    <row r="90" spans="1:23">
      <c r="A90" s="37" t="s">
        <v>68</v>
      </c>
      <c r="B90" s="54"/>
      <c r="C90" s="37" t="s">
        <v>99</v>
      </c>
      <c r="D90" s="74" t="s">
        <v>69</v>
      </c>
      <c r="E90" s="37" t="s">
        <v>40</v>
      </c>
      <c r="F90" s="54"/>
      <c r="G90" s="37" t="s">
        <v>40</v>
      </c>
      <c r="H90" s="55"/>
      <c r="I90" s="37" t="s">
        <v>40</v>
      </c>
      <c r="J90" s="63"/>
      <c r="K90" s="71" t="s">
        <v>70</v>
      </c>
      <c r="L90" s="72"/>
      <c r="M90" s="71" t="s">
        <v>70</v>
      </c>
      <c r="N90" s="72"/>
      <c r="O90" s="2"/>
      <c r="P90" s="2"/>
      <c r="Q90" s="2"/>
      <c r="R90" s="2"/>
      <c r="S90" s="2"/>
      <c r="T90" s="2"/>
      <c r="U90" s="2"/>
      <c r="V90" s="2"/>
      <c r="W90" s="2"/>
    </row>
    <row r="91" spans="1:23">
      <c r="A91" s="1"/>
      <c r="B91" s="2"/>
      <c r="C91" s="1"/>
      <c r="D91" s="2"/>
      <c r="E91" s="1"/>
      <c r="F91" s="2"/>
      <c r="G91" s="1"/>
      <c r="H91" s="2"/>
      <c r="I91" s="1"/>
      <c r="J91" s="2"/>
      <c r="K91" s="1"/>
      <c r="L91" s="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>
      <c r="A92" s="1"/>
      <c r="B92" s="2"/>
      <c r="C92" s="1"/>
      <c r="D92" s="2"/>
      <c r="E92" s="1"/>
      <c r="F92" s="2"/>
      <c r="G92" s="1"/>
      <c r="H92" s="2"/>
      <c r="I92" s="1"/>
      <c r="J92" s="2"/>
      <c r="K92" s="1"/>
      <c r="L92" s="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>
      <c r="A93" s="1"/>
      <c r="B93" s="2"/>
      <c r="C93" s="1"/>
      <c r="D93" s="2"/>
      <c r="E93" s="1"/>
      <c r="F93" s="4" t="s">
        <v>100</v>
      </c>
      <c r="G93" s="1"/>
      <c r="H93" s="2"/>
      <c r="I93" s="1"/>
      <c r="J93" s="2"/>
      <c r="K93" s="1"/>
      <c r="L93" s="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496" t="s">
        <v>2</v>
      </c>
      <c r="B94" s="495"/>
      <c r="C94" s="52"/>
      <c r="D94" s="53" t="s">
        <v>3</v>
      </c>
      <c r="E94" s="52"/>
      <c r="F94" s="53" t="s">
        <v>4</v>
      </c>
      <c r="G94" s="52"/>
      <c r="H94" s="53" t="s">
        <v>5</v>
      </c>
      <c r="I94" s="52"/>
      <c r="J94" s="34" t="s">
        <v>6</v>
      </c>
      <c r="K94" s="1"/>
      <c r="L94" s="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>
      <c r="A95" s="37" t="s">
        <v>57</v>
      </c>
      <c r="B95" s="74" t="s">
        <v>69</v>
      </c>
      <c r="C95" s="37" t="s">
        <v>92</v>
      </c>
      <c r="D95" s="74" t="s">
        <v>69</v>
      </c>
      <c r="E95" s="37" t="s">
        <v>7</v>
      </c>
      <c r="F95" s="74" t="s">
        <v>69</v>
      </c>
      <c r="G95" s="37" t="s">
        <v>7</v>
      </c>
      <c r="H95" s="74" t="s">
        <v>69</v>
      </c>
      <c r="I95" s="37" t="s">
        <v>92</v>
      </c>
      <c r="J95" s="74" t="s">
        <v>69</v>
      </c>
      <c r="K95" s="1"/>
      <c r="L95" s="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>
      <c r="A96" s="37" t="s">
        <v>19</v>
      </c>
      <c r="B96" s="74" t="s">
        <v>69</v>
      </c>
      <c r="C96" s="37" t="s">
        <v>94</v>
      </c>
      <c r="D96" s="74" t="s">
        <v>69</v>
      </c>
      <c r="E96" s="37" t="s">
        <v>11</v>
      </c>
      <c r="F96" s="74" t="s">
        <v>69</v>
      </c>
      <c r="G96" s="37" t="s">
        <v>11</v>
      </c>
      <c r="H96" s="74" t="s">
        <v>69</v>
      </c>
      <c r="I96" s="37" t="s">
        <v>94</v>
      </c>
      <c r="J96" s="74" t="s">
        <v>69</v>
      </c>
      <c r="K96" s="1"/>
      <c r="L96" s="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>
      <c r="A97" s="37" t="s">
        <v>95</v>
      </c>
      <c r="B97" s="74" t="s">
        <v>69</v>
      </c>
      <c r="C97" s="40" t="s">
        <v>77</v>
      </c>
      <c r="D97" s="74" t="s">
        <v>69</v>
      </c>
      <c r="E97" s="37" t="s">
        <v>19</v>
      </c>
      <c r="F97" s="74" t="s">
        <v>69</v>
      </c>
      <c r="G97" s="77">
        <v>46153</v>
      </c>
      <c r="H97" s="74" t="s">
        <v>69</v>
      </c>
      <c r="I97" s="37" t="s">
        <v>19</v>
      </c>
      <c r="J97" s="74" t="s">
        <v>69</v>
      </c>
      <c r="K97" s="1"/>
      <c r="L97" s="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>
      <c r="A98" s="37" t="s">
        <v>96</v>
      </c>
      <c r="B98" s="74" t="s">
        <v>69</v>
      </c>
      <c r="C98" s="37" t="s">
        <v>93</v>
      </c>
      <c r="D98" s="74" t="s">
        <v>69</v>
      </c>
      <c r="E98" s="37" t="s">
        <v>93</v>
      </c>
      <c r="F98" s="74" t="s">
        <v>69</v>
      </c>
      <c r="G98" s="37" t="s">
        <v>93</v>
      </c>
      <c r="H98" s="74" t="s">
        <v>69</v>
      </c>
      <c r="I98" s="37" t="s">
        <v>93</v>
      </c>
      <c r="J98" s="74" t="s">
        <v>69</v>
      </c>
      <c r="K98" s="1"/>
      <c r="L98" s="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>
      <c r="A99" s="37" t="s">
        <v>53</v>
      </c>
      <c r="B99" s="74" t="s">
        <v>69</v>
      </c>
      <c r="C99" s="37" t="s">
        <v>95</v>
      </c>
      <c r="D99" s="74" t="s">
        <v>69</v>
      </c>
      <c r="E99" s="37" t="s">
        <v>53</v>
      </c>
      <c r="F99" s="74" t="s">
        <v>69</v>
      </c>
      <c r="G99" s="37" t="s">
        <v>95</v>
      </c>
      <c r="H99" s="74" t="s">
        <v>69</v>
      </c>
      <c r="I99" s="37" t="s">
        <v>53</v>
      </c>
      <c r="J99" s="74" t="s">
        <v>69</v>
      </c>
      <c r="K99" s="1"/>
      <c r="L99" s="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>
      <c r="A100" s="37" t="s">
        <v>101</v>
      </c>
      <c r="B100" s="74"/>
      <c r="C100" s="37" t="s">
        <v>96</v>
      </c>
      <c r="D100" s="74" t="s">
        <v>69</v>
      </c>
      <c r="E100" s="37" t="s">
        <v>101</v>
      </c>
      <c r="F100" s="74"/>
      <c r="G100" s="37" t="s">
        <v>34</v>
      </c>
      <c r="H100" s="74" t="s">
        <v>69</v>
      </c>
      <c r="I100" s="37" t="s">
        <v>101</v>
      </c>
      <c r="J100" s="74"/>
      <c r="K100" s="1"/>
      <c r="L100" s="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>
      <c r="A101" s="37" t="s">
        <v>68</v>
      </c>
      <c r="B101" s="56"/>
      <c r="C101" s="37" t="s">
        <v>34</v>
      </c>
      <c r="D101" s="74" t="s">
        <v>69</v>
      </c>
      <c r="E101" s="37" t="s">
        <v>68</v>
      </c>
      <c r="F101" s="43"/>
      <c r="G101" s="37" t="s">
        <v>36</v>
      </c>
      <c r="H101" s="74" t="s">
        <v>69</v>
      </c>
      <c r="I101" s="37" t="s">
        <v>68</v>
      </c>
      <c r="J101" s="74"/>
      <c r="K101" s="1"/>
      <c r="L101" s="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>
      <c r="A102" s="37" t="s">
        <v>70</v>
      </c>
      <c r="B102" s="54"/>
      <c r="C102" s="37" t="s">
        <v>70</v>
      </c>
      <c r="D102" s="74" t="s">
        <v>69</v>
      </c>
      <c r="E102" s="37" t="s">
        <v>70</v>
      </c>
      <c r="F102" s="54"/>
      <c r="G102" s="37" t="s">
        <v>70</v>
      </c>
      <c r="H102" s="74" t="s">
        <v>69</v>
      </c>
      <c r="I102" s="37" t="s">
        <v>70</v>
      </c>
      <c r="J102" s="63"/>
      <c r="K102" s="1"/>
      <c r="L102" s="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>
      <c r="A103" s="1"/>
      <c r="B103" s="2"/>
      <c r="C103" s="1" t="s">
        <v>67</v>
      </c>
      <c r="D103" s="2"/>
      <c r="E103" s="1"/>
      <c r="F103" s="2"/>
      <c r="G103" s="1"/>
      <c r="H103" s="2"/>
      <c r="I103" s="1"/>
      <c r="J103" s="2"/>
      <c r="K103" s="1"/>
      <c r="L103" s="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>
      <c r="A104" s="1"/>
      <c r="B104" s="2"/>
      <c r="C104" s="1"/>
      <c r="D104" s="2"/>
      <c r="E104" s="1"/>
      <c r="F104" s="2"/>
      <c r="G104" s="1"/>
      <c r="H104" s="2"/>
      <c r="I104" s="1"/>
      <c r="J104" s="2"/>
      <c r="K104" s="1"/>
      <c r="L104" s="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>
      <c r="A105" s="1"/>
      <c r="B105" s="2"/>
      <c r="C105" s="1"/>
      <c r="D105" s="2"/>
      <c r="E105" s="1"/>
      <c r="F105" s="2"/>
      <c r="G105" s="1"/>
      <c r="H105" s="2"/>
      <c r="I105" s="1"/>
      <c r="J105" s="2"/>
      <c r="K105" s="1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>
      <c r="A106" s="1"/>
      <c r="B106" s="2"/>
      <c r="C106" s="1"/>
      <c r="D106" s="2"/>
      <c r="E106" s="1"/>
      <c r="F106" s="2"/>
      <c r="G106" s="1"/>
      <c r="H106" s="2"/>
      <c r="I106" s="1"/>
      <c r="J106" s="2"/>
      <c r="K106" s="1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>
      <c r="A107" s="1"/>
      <c r="B107" s="2"/>
      <c r="C107" s="1"/>
      <c r="D107" s="2"/>
      <c r="E107" s="1"/>
      <c r="F107" s="2"/>
      <c r="G107" s="1"/>
      <c r="H107" s="2"/>
      <c r="I107" s="1"/>
      <c r="J107" s="2"/>
      <c r="K107" s="1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>
      <c r="A108" s="1"/>
      <c r="B108" s="2"/>
      <c r="C108" s="1"/>
      <c r="D108" s="2"/>
      <c r="E108" s="1"/>
      <c r="F108" s="2"/>
      <c r="G108" s="1"/>
      <c r="H108" s="2"/>
      <c r="I108" s="1"/>
      <c r="J108" s="2"/>
      <c r="K108" s="1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>
      <c r="A109" s="1"/>
      <c r="B109" s="2"/>
      <c r="C109" s="1"/>
      <c r="D109" s="2"/>
      <c r="E109" s="1"/>
      <c r="F109" s="2"/>
      <c r="G109" s="1"/>
      <c r="H109" s="2"/>
      <c r="I109" s="1"/>
      <c r="J109" s="2"/>
      <c r="K109" s="1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>
      <c r="A110" s="1"/>
      <c r="B110" s="2"/>
      <c r="C110" s="1"/>
      <c r="D110" s="2"/>
      <c r="E110" s="1"/>
      <c r="F110" s="2"/>
      <c r="G110" s="1"/>
      <c r="H110" s="2"/>
      <c r="I110" s="1"/>
      <c r="J110" s="2"/>
      <c r="K110" s="1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>
      <c r="A111" s="1"/>
      <c r="B111" s="2"/>
      <c r="C111" s="1"/>
      <c r="D111" s="2"/>
      <c r="E111" s="1"/>
      <c r="F111" s="2"/>
      <c r="G111" s="1"/>
      <c r="H111" s="2"/>
      <c r="I111" s="1"/>
      <c r="J111" s="2"/>
      <c r="K111" s="1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>
      <c r="A112" s="1"/>
      <c r="B112" s="2"/>
      <c r="C112" s="1"/>
      <c r="D112" s="2"/>
      <c r="E112" s="1"/>
      <c r="F112" s="2"/>
      <c r="G112" s="1"/>
      <c r="H112" s="2"/>
      <c r="I112" s="1"/>
      <c r="J112" s="2"/>
      <c r="K112" s="1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>
      <c r="A113" s="1"/>
      <c r="B113" s="2"/>
      <c r="C113" s="1"/>
      <c r="D113" s="2"/>
      <c r="E113" s="1"/>
      <c r="F113" s="2"/>
      <c r="G113" s="1"/>
      <c r="H113" s="2"/>
      <c r="I113" s="1"/>
      <c r="J113" s="2"/>
      <c r="K113" s="1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>
      <c r="A114" s="1"/>
      <c r="B114" s="2"/>
      <c r="C114" s="1"/>
      <c r="D114" s="2"/>
      <c r="E114" s="1"/>
      <c r="F114" s="2"/>
      <c r="G114" s="1"/>
      <c r="H114" s="2"/>
      <c r="I114" s="1"/>
      <c r="J114" s="2"/>
      <c r="K114" s="1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>
      <c r="A115" s="1"/>
      <c r="B115" s="2"/>
      <c r="C115" s="1"/>
      <c r="D115" s="2"/>
      <c r="E115" s="1"/>
      <c r="F115" s="2"/>
      <c r="G115" s="1"/>
      <c r="H115" s="2"/>
      <c r="I115" s="1"/>
      <c r="J115" s="2"/>
      <c r="K115" s="1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>
      <c r="A116" s="1"/>
      <c r="B116" s="2"/>
      <c r="C116" s="1"/>
      <c r="D116" s="2"/>
      <c r="E116" s="1"/>
      <c r="F116" s="2"/>
      <c r="G116" s="1"/>
      <c r="H116" s="2"/>
      <c r="I116" s="1"/>
      <c r="J116" s="2"/>
      <c r="K116" s="1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>
      <c r="A117" s="1"/>
      <c r="B117" s="2"/>
      <c r="C117" s="1"/>
      <c r="D117" s="2"/>
      <c r="E117" s="1"/>
      <c r="F117" s="2"/>
      <c r="G117" s="1"/>
      <c r="H117" s="2"/>
      <c r="I117" s="1"/>
      <c r="J117" s="2"/>
      <c r="K117" s="1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>
      <c r="A118" s="1"/>
      <c r="B118" s="2"/>
      <c r="C118" s="1"/>
      <c r="D118" s="2"/>
      <c r="E118" s="1"/>
      <c r="F118" s="2"/>
      <c r="G118" s="1"/>
      <c r="H118" s="2"/>
      <c r="I118" s="1"/>
      <c r="J118" s="2"/>
      <c r="K118" s="1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>
      <c r="A119" s="1"/>
      <c r="B119" s="2"/>
      <c r="C119" s="1"/>
      <c r="D119" s="2"/>
      <c r="E119" s="1"/>
      <c r="F119" s="2"/>
      <c r="G119" s="1"/>
      <c r="H119" s="2"/>
      <c r="I119" s="1"/>
      <c r="J119" s="2"/>
      <c r="K119" s="1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>
      <c r="A120" s="1"/>
      <c r="B120" s="2"/>
      <c r="C120" s="1"/>
      <c r="D120" s="2"/>
      <c r="E120" s="1"/>
      <c r="F120" s="2"/>
      <c r="G120" s="1"/>
      <c r="H120" s="2"/>
      <c r="I120" s="1"/>
      <c r="J120" s="2"/>
      <c r="K120" s="1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>
      <c r="A121" s="1"/>
      <c r="B121" s="2"/>
      <c r="C121" s="1"/>
      <c r="D121" s="2"/>
      <c r="E121" s="1"/>
      <c r="F121" s="2"/>
      <c r="G121" s="1"/>
      <c r="H121" s="2"/>
      <c r="I121" s="1"/>
      <c r="J121" s="2"/>
      <c r="K121" s="1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>
      <c r="A122" s="1"/>
      <c r="B122" s="2"/>
      <c r="C122" s="1"/>
      <c r="D122" s="2"/>
      <c r="E122" s="1"/>
      <c r="F122" s="2"/>
      <c r="G122" s="1"/>
      <c r="H122" s="2"/>
      <c r="I122" s="1"/>
      <c r="J122" s="2"/>
      <c r="K122" s="1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>
      <c r="A123" s="1"/>
      <c r="B123" s="2"/>
      <c r="C123" s="1"/>
      <c r="D123" s="2"/>
      <c r="E123" s="1"/>
      <c r="F123" s="2"/>
      <c r="G123" s="1"/>
      <c r="H123" s="2"/>
      <c r="I123" s="1"/>
      <c r="J123" s="2"/>
      <c r="K123" s="1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>
      <c r="A124" s="1"/>
      <c r="B124" s="2"/>
      <c r="C124" s="1"/>
      <c r="D124" s="2"/>
      <c r="E124" s="1"/>
      <c r="F124" s="2"/>
      <c r="G124" s="1"/>
      <c r="H124" s="2"/>
      <c r="I124" s="1"/>
      <c r="J124" s="2"/>
      <c r="K124" s="1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>
      <c r="A125" s="1"/>
      <c r="B125" s="2"/>
      <c r="C125" s="1"/>
      <c r="D125" s="2"/>
      <c r="E125" s="1"/>
      <c r="F125" s="2"/>
      <c r="G125" s="1"/>
      <c r="H125" s="2"/>
      <c r="I125" s="1"/>
      <c r="J125" s="2"/>
      <c r="K125" s="1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>
      <c r="A126" s="1"/>
      <c r="B126" s="2"/>
      <c r="C126" s="1"/>
      <c r="D126" s="2"/>
      <c r="E126" s="1"/>
      <c r="F126" s="2"/>
      <c r="G126" s="1"/>
      <c r="H126" s="2"/>
      <c r="I126" s="1"/>
      <c r="J126" s="2"/>
      <c r="K126" s="1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>
      <c r="A127" s="1"/>
      <c r="B127" s="2"/>
      <c r="C127" s="1"/>
      <c r="D127" s="2"/>
      <c r="E127" s="1"/>
      <c r="F127" s="2"/>
      <c r="G127" s="1"/>
      <c r="H127" s="2"/>
      <c r="I127" s="1"/>
      <c r="J127" s="2"/>
      <c r="K127" s="1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>
      <c r="A128" s="1"/>
      <c r="B128" s="2"/>
      <c r="C128" s="1"/>
      <c r="D128" s="2"/>
      <c r="E128" s="1"/>
      <c r="F128" s="2"/>
      <c r="G128" s="1"/>
      <c r="H128" s="2"/>
      <c r="I128" s="1"/>
      <c r="J128" s="2"/>
      <c r="K128" s="1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>
      <c r="A129" s="1"/>
      <c r="B129" s="2"/>
      <c r="C129" s="1"/>
      <c r="D129" s="2"/>
      <c r="E129" s="1"/>
      <c r="F129" s="2"/>
      <c r="G129" s="1"/>
      <c r="H129" s="2"/>
      <c r="I129" s="1"/>
      <c r="J129" s="2"/>
      <c r="K129" s="1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>
      <c r="A130" s="1"/>
      <c r="B130" s="2"/>
      <c r="C130" s="1"/>
      <c r="D130" s="2"/>
      <c r="E130" s="1"/>
      <c r="F130" s="2"/>
      <c r="G130" s="1"/>
      <c r="H130" s="2"/>
      <c r="I130" s="1"/>
      <c r="J130" s="2"/>
      <c r="K130" s="1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>
      <c r="A131" s="1"/>
      <c r="B131" s="2"/>
      <c r="C131" s="1"/>
      <c r="D131" s="2"/>
      <c r="E131" s="1"/>
      <c r="F131" s="2"/>
      <c r="G131" s="1"/>
      <c r="H131" s="2"/>
      <c r="I131" s="1"/>
      <c r="J131" s="2"/>
      <c r="K131" s="1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>
      <c r="A132" s="1"/>
      <c r="B132" s="2"/>
      <c r="C132" s="1"/>
      <c r="D132" s="2"/>
      <c r="E132" s="1"/>
      <c r="F132" s="2"/>
      <c r="G132" s="1"/>
      <c r="H132" s="2"/>
      <c r="I132" s="1"/>
      <c r="J132" s="2"/>
      <c r="K132" s="1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>
      <c r="A133" s="1"/>
      <c r="B133" s="2"/>
      <c r="C133" s="1"/>
      <c r="D133" s="2"/>
      <c r="E133" s="1"/>
      <c r="F133" s="2"/>
      <c r="G133" s="1"/>
      <c r="H133" s="2"/>
      <c r="I133" s="1"/>
      <c r="J133" s="2"/>
      <c r="K133" s="1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>
      <c r="A134" s="1"/>
      <c r="B134" s="2"/>
      <c r="C134" s="1"/>
      <c r="D134" s="2"/>
      <c r="E134" s="1"/>
      <c r="F134" s="2"/>
      <c r="G134" s="1"/>
      <c r="H134" s="2"/>
      <c r="I134" s="1"/>
      <c r="J134" s="2"/>
      <c r="K134" s="1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>
      <c r="A135" s="1"/>
      <c r="B135" s="2"/>
      <c r="C135" s="1"/>
      <c r="D135" s="2"/>
      <c r="E135" s="1"/>
      <c r="F135" s="2"/>
      <c r="G135" s="1"/>
      <c r="H135" s="2"/>
      <c r="I135" s="1"/>
      <c r="J135" s="2"/>
      <c r="K135" s="1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>
      <c r="A136" s="1"/>
      <c r="B136" s="2"/>
      <c r="C136" s="1"/>
      <c r="D136" s="2"/>
      <c r="E136" s="1"/>
      <c r="F136" s="2"/>
      <c r="G136" s="1"/>
      <c r="H136" s="2"/>
      <c r="I136" s="1"/>
      <c r="J136" s="2"/>
      <c r="K136" s="1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>
      <c r="A137" s="1"/>
      <c r="B137" s="2"/>
      <c r="C137" s="1"/>
      <c r="D137" s="2"/>
      <c r="E137" s="1"/>
      <c r="F137" s="2"/>
      <c r="G137" s="1"/>
      <c r="H137" s="2"/>
      <c r="I137" s="1"/>
      <c r="J137" s="2"/>
      <c r="K137" s="1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>
      <c r="A138" s="1"/>
      <c r="B138" s="2"/>
      <c r="C138" s="1"/>
      <c r="D138" s="2"/>
      <c r="E138" s="1"/>
      <c r="F138" s="2"/>
      <c r="G138" s="1"/>
      <c r="H138" s="2"/>
      <c r="I138" s="1"/>
      <c r="J138" s="2"/>
      <c r="K138" s="1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>
      <c r="A139" s="1"/>
      <c r="B139" s="2"/>
      <c r="C139" s="1"/>
      <c r="D139" s="2"/>
      <c r="E139" s="1"/>
      <c r="F139" s="2"/>
      <c r="G139" s="1"/>
      <c r="H139" s="2"/>
      <c r="I139" s="1"/>
      <c r="J139" s="2"/>
      <c r="K139" s="1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>
      <c r="A140" s="1"/>
      <c r="B140" s="2"/>
      <c r="C140" s="1"/>
      <c r="D140" s="2"/>
      <c r="E140" s="1"/>
      <c r="F140" s="2"/>
      <c r="G140" s="1"/>
      <c r="H140" s="2"/>
      <c r="I140" s="1"/>
      <c r="J140" s="2"/>
      <c r="K140" s="1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>
      <c r="A141" s="1"/>
      <c r="B141" s="2"/>
      <c r="C141" s="1"/>
      <c r="D141" s="2"/>
      <c r="E141" s="1"/>
      <c r="F141" s="2"/>
      <c r="G141" s="1"/>
      <c r="H141" s="2"/>
      <c r="I141" s="1"/>
      <c r="J141" s="2"/>
      <c r="K141" s="1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>
      <c r="A142" s="1"/>
      <c r="B142" s="2"/>
      <c r="C142" s="1"/>
      <c r="D142" s="2"/>
      <c r="E142" s="1"/>
      <c r="F142" s="2"/>
      <c r="G142" s="1"/>
      <c r="H142" s="2"/>
      <c r="I142" s="1"/>
      <c r="J142" s="2"/>
      <c r="K142" s="1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>
      <c r="A143" s="1"/>
      <c r="B143" s="2"/>
      <c r="C143" s="1"/>
      <c r="D143" s="2"/>
      <c r="E143" s="1"/>
      <c r="F143" s="2"/>
      <c r="G143" s="1"/>
      <c r="H143" s="2"/>
      <c r="I143" s="1"/>
      <c r="J143" s="2"/>
      <c r="K143" s="1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>
      <c r="A144" s="1"/>
      <c r="B144" s="2"/>
      <c r="C144" s="1"/>
      <c r="D144" s="2"/>
      <c r="E144" s="1"/>
      <c r="F144" s="2"/>
      <c r="G144" s="1"/>
      <c r="H144" s="2"/>
      <c r="I144" s="1"/>
      <c r="J144" s="2"/>
      <c r="K144" s="1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>
      <c r="A145" s="1"/>
      <c r="B145" s="2"/>
      <c r="C145" s="1"/>
      <c r="D145" s="2"/>
      <c r="E145" s="1"/>
      <c r="F145" s="2"/>
      <c r="G145" s="1"/>
      <c r="H145" s="2"/>
      <c r="I145" s="1"/>
      <c r="J145" s="2"/>
      <c r="K145" s="1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>
      <c r="A146" s="1"/>
      <c r="B146" s="2"/>
      <c r="C146" s="1"/>
      <c r="D146" s="2"/>
      <c r="E146" s="1"/>
      <c r="F146" s="2"/>
      <c r="G146" s="1"/>
      <c r="H146" s="2"/>
      <c r="I146" s="1"/>
      <c r="J146" s="2"/>
      <c r="K146" s="1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>
      <c r="A147" s="1"/>
      <c r="B147" s="2"/>
      <c r="C147" s="1"/>
      <c r="D147" s="2"/>
      <c r="E147" s="1"/>
      <c r="F147" s="2"/>
      <c r="G147" s="1"/>
      <c r="H147" s="2"/>
      <c r="I147" s="1"/>
      <c r="J147" s="2"/>
      <c r="K147" s="1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>
      <c r="A148" s="1"/>
      <c r="B148" s="2"/>
      <c r="C148" s="1"/>
      <c r="D148" s="2"/>
      <c r="E148" s="1"/>
      <c r="F148" s="2"/>
      <c r="G148" s="1"/>
      <c r="H148" s="2"/>
      <c r="I148" s="1"/>
      <c r="J148" s="2"/>
      <c r="K148" s="1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>
      <c r="A149" s="1"/>
      <c r="B149" s="2"/>
      <c r="C149" s="1"/>
      <c r="D149" s="2"/>
      <c r="E149" s="1"/>
      <c r="F149" s="2"/>
      <c r="G149" s="1"/>
      <c r="H149" s="2"/>
      <c r="I149" s="1"/>
      <c r="J149" s="2"/>
      <c r="K149" s="1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>
      <c r="A150" s="1"/>
      <c r="B150" s="2"/>
      <c r="C150" s="1"/>
      <c r="D150" s="2"/>
      <c r="E150" s="1"/>
      <c r="F150" s="2"/>
      <c r="G150" s="1"/>
      <c r="H150" s="2"/>
      <c r="I150" s="1"/>
      <c r="J150" s="2"/>
      <c r="K150" s="1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>
      <c r="A151" s="1"/>
      <c r="B151" s="2"/>
      <c r="C151" s="1"/>
      <c r="D151" s="2"/>
      <c r="E151" s="1"/>
      <c r="F151" s="2"/>
      <c r="G151" s="1"/>
      <c r="H151" s="2"/>
      <c r="I151" s="1"/>
      <c r="J151" s="2"/>
      <c r="K151" s="1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>
      <c r="A152" s="1"/>
      <c r="B152" s="2"/>
      <c r="C152" s="1"/>
      <c r="D152" s="2"/>
      <c r="E152" s="1"/>
      <c r="F152" s="2"/>
      <c r="G152" s="1"/>
      <c r="H152" s="2"/>
      <c r="I152" s="1"/>
      <c r="J152" s="2"/>
      <c r="K152" s="1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>
      <c r="A153" s="1"/>
      <c r="B153" s="2"/>
      <c r="C153" s="1"/>
      <c r="D153" s="2"/>
      <c r="E153" s="1"/>
      <c r="F153" s="2"/>
      <c r="G153" s="1"/>
      <c r="H153" s="2"/>
      <c r="I153" s="1"/>
      <c r="J153" s="2"/>
      <c r="K153" s="1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>
      <c r="A154" s="1"/>
      <c r="B154" s="2"/>
      <c r="C154" s="1"/>
      <c r="D154" s="2"/>
      <c r="E154" s="1"/>
      <c r="F154" s="2"/>
      <c r="G154" s="1"/>
      <c r="H154" s="2"/>
      <c r="I154" s="1"/>
      <c r="J154" s="2"/>
      <c r="K154" s="1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>
      <c r="A155" s="1"/>
      <c r="B155" s="2"/>
      <c r="C155" s="1"/>
      <c r="D155" s="2"/>
      <c r="E155" s="1"/>
      <c r="F155" s="2"/>
      <c r="G155" s="1"/>
      <c r="H155" s="2"/>
      <c r="I155" s="1"/>
      <c r="J155" s="2"/>
      <c r="K155" s="1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>
      <c r="A156" s="1"/>
      <c r="B156" s="2"/>
      <c r="C156" s="1"/>
      <c r="D156" s="2"/>
      <c r="E156" s="1"/>
      <c r="F156" s="2"/>
      <c r="G156" s="1"/>
      <c r="H156" s="2"/>
      <c r="I156" s="1"/>
      <c r="J156" s="2"/>
      <c r="K156" s="1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>
      <c r="A157" s="1"/>
      <c r="B157" s="2"/>
      <c r="C157" s="1"/>
      <c r="D157" s="2"/>
      <c r="E157" s="1"/>
      <c r="F157" s="2"/>
      <c r="G157" s="1"/>
      <c r="H157" s="2"/>
      <c r="I157" s="1"/>
      <c r="J157" s="2"/>
      <c r="K157" s="1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>
      <c r="A158" s="1"/>
      <c r="B158" s="2"/>
      <c r="C158" s="1"/>
      <c r="D158" s="2"/>
      <c r="E158" s="1"/>
      <c r="F158" s="2"/>
      <c r="G158" s="1"/>
      <c r="H158" s="2"/>
      <c r="I158" s="1"/>
      <c r="J158" s="2"/>
      <c r="K158" s="1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>
      <c r="A159" s="1"/>
      <c r="B159" s="2"/>
      <c r="C159" s="1"/>
      <c r="D159" s="2"/>
      <c r="E159" s="1"/>
      <c r="F159" s="2"/>
      <c r="G159" s="1"/>
      <c r="H159" s="2"/>
      <c r="I159" s="1"/>
      <c r="J159" s="2"/>
      <c r="K159" s="1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>
      <c r="A160" s="1"/>
      <c r="B160" s="2"/>
      <c r="C160" s="1"/>
      <c r="D160" s="2"/>
      <c r="E160" s="1"/>
      <c r="F160" s="2"/>
      <c r="G160" s="1"/>
      <c r="H160" s="2"/>
      <c r="I160" s="1"/>
      <c r="J160" s="2"/>
      <c r="K160" s="1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>
      <c r="A161" s="1"/>
      <c r="B161" s="2"/>
      <c r="C161" s="1"/>
      <c r="D161" s="2"/>
      <c r="E161" s="1"/>
      <c r="F161" s="2"/>
      <c r="G161" s="1"/>
      <c r="H161" s="2"/>
      <c r="I161" s="1"/>
      <c r="J161" s="2"/>
      <c r="K161" s="1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>
      <c r="A162" s="1"/>
      <c r="B162" s="2"/>
      <c r="C162" s="1"/>
      <c r="D162" s="2"/>
      <c r="E162" s="1"/>
      <c r="F162" s="2"/>
      <c r="G162" s="1"/>
      <c r="H162" s="2"/>
      <c r="I162" s="1"/>
      <c r="J162" s="2"/>
      <c r="K162" s="1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>
      <c r="A163" s="1"/>
      <c r="B163" s="2"/>
      <c r="C163" s="1"/>
      <c r="D163" s="2"/>
      <c r="E163" s="1"/>
      <c r="F163" s="2"/>
      <c r="G163" s="1"/>
      <c r="H163" s="2"/>
      <c r="I163" s="1"/>
      <c r="J163" s="2"/>
      <c r="K163" s="1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>
      <c r="A164" s="1"/>
      <c r="B164" s="2"/>
      <c r="C164" s="1"/>
      <c r="D164" s="2"/>
      <c r="E164" s="1"/>
      <c r="F164" s="2"/>
      <c r="G164" s="1"/>
      <c r="H164" s="2"/>
      <c r="I164" s="1"/>
      <c r="J164" s="2"/>
      <c r="K164" s="1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>
      <c r="A165" s="1"/>
      <c r="B165" s="2"/>
      <c r="C165" s="1"/>
      <c r="D165" s="2"/>
      <c r="E165" s="1"/>
      <c r="F165" s="2"/>
      <c r="G165" s="1"/>
      <c r="H165" s="2"/>
      <c r="I165" s="1"/>
      <c r="J165" s="2"/>
      <c r="K165" s="1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>
      <c r="A166" s="1"/>
      <c r="B166" s="2"/>
      <c r="C166" s="1"/>
      <c r="D166" s="2"/>
      <c r="E166" s="1"/>
      <c r="F166" s="2"/>
      <c r="G166" s="1"/>
      <c r="H166" s="2"/>
      <c r="I166" s="1"/>
      <c r="J166" s="2"/>
      <c r="K166" s="1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>
      <c r="A167" s="1"/>
      <c r="B167" s="2"/>
      <c r="C167" s="1"/>
      <c r="D167" s="2"/>
      <c r="E167" s="1"/>
      <c r="F167" s="2"/>
      <c r="G167" s="1"/>
      <c r="H167" s="2"/>
      <c r="I167" s="1"/>
      <c r="J167" s="2"/>
      <c r="K167" s="1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>
      <c r="A168" s="1"/>
      <c r="B168" s="2"/>
      <c r="C168" s="1"/>
      <c r="D168" s="2"/>
      <c r="E168" s="1"/>
      <c r="F168" s="2"/>
      <c r="G168" s="1"/>
      <c r="H168" s="2"/>
      <c r="I168" s="1"/>
      <c r="J168" s="2"/>
      <c r="K168" s="1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>
      <c r="A169" s="1"/>
      <c r="B169" s="2"/>
      <c r="C169" s="1"/>
      <c r="D169" s="2"/>
      <c r="E169" s="1"/>
      <c r="F169" s="2"/>
      <c r="G169" s="1"/>
      <c r="H169" s="2"/>
      <c r="I169" s="1"/>
      <c r="J169" s="2"/>
      <c r="K169" s="1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>
      <c r="A170" s="1"/>
      <c r="B170" s="2"/>
      <c r="C170" s="1"/>
      <c r="D170" s="2"/>
      <c r="E170" s="1"/>
      <c r="F170" s="2"/>
      <c r="G170" s="1"/>
      <c r="H170" s="2"/>
      <c r="I170" s="1"/>
      <c r="J170" s="2"/>
      <c r="K170" s="1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>
      <c r="A171" s="1"/>
      <c r="B171" s="2"/>
      <c r="C171" s="1"/>
      <c r="D171" s="2"/>
      <c r="E171" s="1"/>
      <c r="F171" s="2"/>
      <c r="G171" s="1"/>
      <c r="H171" s="2"/>
      <c r="I171" s="1"/>
      <c r="J171" s="2"/>
      <c r="K171" s="1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>
      <c r="A172" s="1"/>
      <c r="B172" s="2"/>
      <c r="C172" s="1"/>
      <c r="D172" s="2"/>
      <c r="E172" s="1"/>
      <c r="F172" s="2"/>
      <c r="G172" s="1"/>
      <c r="H172" s="2"/>
      <c r="I172" s="1"/>
      <c r="J172" s="2"/>
      <c r="K172" s="1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>
      <c r="A173" s="1"/>
      <c r="B173" s="2"/>
      <c r="C173" s="1"/>
      <c r="D173" s="2"/>
      <c r="E173" s="1"/>
      <c r="F173" s="2"/>
      <c r="G173" s="1"/>
      <c r="H173" s="2"/>
      <c r="I173" s="1"/>
      <c r="J173" s="2"/>
      <c r="K173" s="1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>
      <c r="A174" s="1"/>
      <c r="B174" s="2"/>
      <c r="C174" s="1"/>
      <c r="D174" s="2"/>
      <c r="E174" s="1"/>
      <c r="F174" s="2"/>
      <c r="G174" s="1"/>
      <c r="H174" s="2"/>
      <c r="I174" s="1"/>
      <c r="J174" s="2"/>
      <c r="K174" s="1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>
      <c r="A175" s="1"/>
      <c r="B175" s="2"/>
      <c r="C175" s="1"/>
      <c r="D175" s="2"/>
      <c r="E175" s="1"/>
      <c r="F175" s="2"/>
      <c r="G175" s="1"/>
      <c r="H175" s="2"/>
      <c r="I175" s="1"/>
      <c r="J175" s="2"/>
      <c r="K175" s="1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>
      <c r="A176" s="1"/>
      <c r="B176" s="2"/>
      <c r="C176" s="1"/>
      <c r="D176" s="2"/>
      <c r="E176" s="1"/>
      <c r="F176" s="2"/>
      <c r="G176" s="1"/>
      <c r="H176" s="2"/>
      <c r="I176" s="1"/>
      <c r="J176" s="2"/>
      <c r="K176" s="1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>
      <c r="A177" s="1"/>
      <c r="B177" s="2"/>
      <c r="C177" s="1"/>
      <c r="D177" s="2"/>
      <c r="E177" s="1"/>
      <c r="F177" s="2"/>
      <c r="G177" s="1"/>
      <c r="H177" s="2"/>
      <c r="I177" s="1"/>
      <c r="J177" s="2"/>
      <c r="K177" s="1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>
      <c r="A178" s="1"/>
      <c r="B178" s="2"/>
      <c r="C178" s="1"/>
      <c r="D178" s="2"/>
      <c r="E178" s="1"/>
      <c r="F178" s="2"/>
      <c r="G178" s="1"/>
      <c r="H178" s="2"/>
      <c r="I178" s="1"/>
      <c r="J178" s="2"/>
      <c r="K178" s="1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>
      <c r="A179" s="1"/>
      <c r="B179" s="2"/>
      <c r="C179" s="1"/>
      <c r="D179" s="2"/>
      <c r="E179" s="1"/>
      <c r="F179" s="2"/>
      <c r="G179" s="1"/>
      <c r="H179" s="2"/>
      <c r="I179" s="1"/>
      <c r="J179" s="2"/>
      <c r="K179" s="1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>
      <c r="A180" s="1"/>
      <c r="B180" s="2"/>
      <c r="C180" s="1"/>
      <c r="D180" s="2"/>
      <c r="E180" s="1"/>
      <c r="F180" s="2"/>
      <c r="G180" s="1"/>
      <c r="H180" s="2"/>
      <c r="I180" s="1"/>
      <c r="J180" s="2"/>
      <c r="K180" s="1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>
      <c r="A181" s="1"/>
      <c r="B181" s="2"/>
      <c r="C181" s="1"/>
      <c r="D181" s="2"/>
      <c r="E181" s="1"/>
      <c r="F181" s="2"/>
      <c r="G181" s="1"/>
      <c r="H181" s="2"/>
      <c r="I181" s="1"/>
      <c r="J181" s="2"/>
      <c r="K181" s="1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>
      <c r="A182" s="1"/>
      <c r="B182" s="2"/>
      <c r="C182" s="1"/>
      <c r="D182" s="2"/>
      <c r="E182" s="1"/>
      <c r="F182" s="2"/>
      <c r="G182" s="1"/>
      <c r="H182" s="2"/>
      <c r="I182" s="1"/>
      <c r="J182" s="2"/>
      <c r="K182" s="1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>
      <c r="A183" s="1"/>
      <c r="B183" s="2"/>
      <c r="C183" s="1"/>
      <c r="D183" s="2"/>
      <c r="E183" s="1"/>
      <c r="F183" s="2"/>
      <c r="G183" s="1"/>
      <c r="H183" s="2"/>
      <c r="I183" s="1"/>
      <c r="J183" s="2"/>
      <c r="K183" s="1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>
      <c r="A184" s="1"/>
      <c r="B184" s="2"/>
      <c r="C184" s="1"/>
      <c r="D184" s="2"/>
      <c r="E184" s="1"/>
      <c r="F184" s="2"/>
      <c r="G184" s="1"/>
      <c r="H184" s="2"/>
      <c r="I184" s="1"/>
      <c r="J184" s="2"/>
      <c r="K184" s="1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>
      <c r="A185" s="1"/>
      <c r="B185" s="2"/>
      <c r="C185" s="1"/>
      <c r="D185" s="2"/>
      <c r="E185" s="1"/>
      <c r="F185" s="2"/>
      <c r="G185" s="1"/>
      <c r="H185" s="2"/>
      <c r="I185" s="1"/>
      <c r="J185" s="2"/>
      <c r="K185" s="1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>
      <c r="A186" s="1"/>
      <c r="B186" s="2"/>
      <c r="C186" s="1"/>
      <c r="D186" s="2"/>
      <c r="E186" s="1"/>
      <c r="F186" s="2"/>
      <c r="G186" s="1"/>
      <c r="H186" s="2"/>
      <c r="I186" s="1"/>
      <c r="J186" s="2"/>
      <c r="K186" s="1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>
      <c r="A187" s="1"/>
      <c r="B187" s="2"/>
      <c r="C187" s="1"/>
      <c r="D187" s="2"/>
      <c r="E187" s="1"/>
      <c r="F187" s="2"/>
      <c r="G187" s="1"/>
      <c r="H187" s="2"/>
      <c r="I187" s="1"/>
      <c r="J187" s="2"/>
      <c r="K187" s="1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>
      <c r="A188" s="1"/>
      <c r="B188" s="2"/>
      <c r="C188" s="1"/>
      <c r="D188" s="2"/>
      <c r="E188" s="1"/>
      <c r="F188" s="2"/>
      <c r="G188" s="1"/>
      <c r="H188" s="2"/>
      <c r="I188" s="1"/>
      <c r="J188" s="2"/>
      <c r="K188" s="1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>
      <c r="A189" s="1"/>
      <c r="B189" s="2"/>
      <c r="C189" s="1"/>
      <c r="D189" s="2"/>
      <c r="E189" s="1"/>
      <c r="F189" s="2"/>
      <c r="G189" s="1"/>
      <c r="H189" s="2"/>
      <c r="I189" s="1"/>
      <c r="J189" s="2"/>
      <c r="K189" s="1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>
      <c r="A190" s="1"/>
      <c r="B190" s="2"/>
      <c r="C190" s="1"/>
      <c r="D190" s="2"/>
      <c r="E190" s="1"/>
      <c r="F190" s="2"/>
      <c r="G190" s="1"/>
      <c r="H190" s="2"/>
      <c r="I190" s="1"/>
      <c r="J190" s="2"/>
      <c r="K190" s="1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>
      <c r="A191" s="1"/>
      <c r="B191" s="2"/>
      <c r="C191" s="1"/>
      <c r="D191" s="2"/>
      <c r="E191" s="1"/>
      <c r="F191" s="2"/>
      <c r="G191" s="1"/>
      <c r="H191" s="2"/>
      <c r="I191" s="1"/>
      <c r="J191" s="2"/>
      <c r="K191" s="1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>
      <c r="A192" s="1"/>
      <c r="B192" s="2"/>
      <c r="C192" s="1"/>
      <c r="D192" s="2"/>
      <c r="E192" s="1"/>
      <c r="F192" s="2"/>
      <c r="G192" s="1"/>
      <c r="H192" s="2"/>
      <c r="I192" s="1"/>
      <c r="J192" s="2"/>
      <c r="K192" s="1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>
      <c r="A193" s="1"/>
      <c r="B193" s="2"/>
      <c r="C193" s="1"/>
      <c r="D193" s="2"/>
      <c r="E193" s="1"/>
      <c r="F193" s="2"/>
      <c r="G193" s="1"/>
      <c r="H193" s="2"/>
      <c r="I193" s="1"/>
      <c r="J193" s="2"/>
      <c r="K193" s="1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>
      <c r="A194" s="1"/>
      <c r="B194" s="2"/>
      <c r="C194" s="1"/>
      <c r="D194" s="2"/>
      <c r="E194" s="1"/>
      <c r="F194" s="2"/>
      <c r="G194" s="1"/>
      <c r="H194" s="2"/>
      <c r="I194" s="1"/>
      <c r="J194" s="2"/>
      <c r="K194" s="1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>
      <c r="A195" s="1"/>
      <c r="B195" s="2"/>
      <c r="C195" s="1"/>
      <c r="D195" s="2"/>
      <c r="E195" s="1"/>
      <c r="F195" s="2"/>
      <c r="G195" s="1"/>
      <c r="H195" s="2"/>
      <c r="I195" s="1"/>
      <c r="J195" s="2"/>
      <c r="K195" s="1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>
      <c r="A196" s="1"/>
      <c r="B196" s="2"/>
      <c r="C196" s="1"/>
      <c r="D196" s="2"/>
      <c r="E196" s="1"/>
      <c r="F196" s="2"/>
      <c r="G196" s="1"/>
      <c r="H196" s="2"/>
      <c r="I196" s="1"/>
      <c r="J196" s="2"/>
      <c r="K196" s="1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>
      <c r="A197" s="1"/>
      <c r="B197" s="2"/>
      <c r="C197" s="1"/>
      <c r="D197" s="2"/>
      <c r="E197" s="1"/>
      <c r="F197" s="2"/>
      <c r="G197" s="1"/>
      <c r="H197" s="2"/>
      <c r="I197" s="1"/>
      <c r="J197" s="2"/>
      <c r="K197" s="1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>
      <c r="A198" s="1"/>
      <c r="B198" s="2"/>
      <c r="C198" s="1"/>
      <c r="D198" s="2"/>
      <c r="E198" s="1"/>
      <c r="F198" s="2"/>
      <c r="G198" s="1"/>
      <c r="H198" s="2"/>
      <c r="I198" s="1"/>
      <c r="J198" s="2"/>
      <c r="K198" s="1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>
      <c r="A199" s="1"/>
      <c r="B199" s="2"/>
      <c r="C199" s="1"/>
      <c r="D199" s="2"/>
      <c r="E199" s="1"/>
      <c r="F199" s="2"/>
      <c r="G199" s="1"/>
      <c r="H199" s="2"/>
      <c r="I199" s="1"/>
      <c r="J199" s="2"/>
      <c r="K199" s="1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>
      <c r="A200" s="1"/>
      <c r="B200" s="2"/>
      <c r="C200" s="1"/>
      <c r="D200" s="2"/>
      <c r="E200" s="1"/>
      <c r="F200" s="2"/>
      <c r="G200" s="1"/>
      <c r="H200" s="2"/>
      <c r="I200" s="1"/>
      <c r="J200" s="2"/>
      <c r="K200" s="1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>
      <c r="A201" s="1"/>
      <c r="B201" s="2"/>
      <c r="C201" s="1"/>
      <c r="D201" s="2"/>
      <c r="E201" s="1"/>
      <c r="F201" s="2"/>
      <c r="G201" s="1"/>
      <c r="H201" s="2"/>
      <c r="I201" s="1"/>
      <c r="J201" s="2"/>
      <c r="K201" s="1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>
      <c r="A202" s="1"/>
      <c r="B202" s="2"/>
      <c r="C202" s="1"/>
      <c r="D202" s="2"/>
      <c r="E202" s="1"/>
      <c r="F202" s="2"/>
      <c r="G202" s="1"/>
      <c r="H202" s="2"/>
      <c r="I202" s="1"/>
      <c r="J202" s="2"/>
      <c r="K202" s="1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>
      <c r="A203" s="1"/>
      <c r="B203" s="2"/>
      <c r="C203" s="1"/>
      <c r="D203" s="2"/>
      <c r="E203" s="1"/>
      <c r="F203" s="2"/>
      <c r="G203" s="1"/>
      <c r="H203" s="2"/>
      <c r="I203" s="1"/>
      <c r="J203" s="2"/>
      <c r="K203" s="1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>
      <c r="A204" s="1"/>
      <c r="B204" s="2"/>
      <c r="C204" s="1"/>
      <c r="D204" s="2"/>
      <c r="E204" s="1"/>
      <c r="F204" s="2"/>
      <c r="G204" s="1"/>
      <c r="H204" s="2"/>
      <c r="I204" s="1"/>
      <c r="J204" s="2"/>
      <c r="K204" s="1"/>
      <c r="L204" s="1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>
      <c r="A205" s="1"/>
      <c r="B205" s="2"/>
      <c r="C205" s="1"/>
      <c r="D205" s="2"/>
      <c r="E205" s="1"/>
      <c r="F205" s="2"/>
      <c r="G205" s="1"/>
      <c r="H205" s="2"/>
      <c r="I205" s="1"/>
      <c r="J205" s="2"/>
      <c r="K205" s="1"/>
      <c r="L205" s="1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>
      <c r="A206" s="1"/>
      <c r="B206" s="2"/>
      <c r="C206" s="1"/>
      <c r="D206" s="2"/>
      <c r="E206" s="1"/>
      <c r="F206" s="2"/>
      <c r="G206" s="1"/>
      <c r="H206" s="2"/>
      <c r="I206" s="1"/>
      <c r="J206" s="2"/>
      <c r="K206" s="1"/>
      <c r="L206" s="1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>
      <c r="A207" s="1"/>
      <c r="B207" s="2"/>
      <c r="C207" s="1"/>
      <c r="D207" s="2"/>
      <c r="E207" s="1"/>
      <c r="F207" s="2"/>
      <c r="G207" s="1"/>
      <c r="H207" s="2"/>
      <c r="I207" s="1"/>
      <c r="J207" s="2"/>
      <c r="K207" s="1"/>
      <c r="L207" s="1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>
      <c r="A208" s="1"/>
      <c r="B208" s="2"/>
      <c r="C208" s="1"/>
      <c r="D208" s="2"/>
      <c r="E208" s="1"/>
      <c r="F208" s="2"/>
      <c r="G208" s="1"/>
      <c r="H208" s="2"/>
      <c r="I208" s="1"/>
      <c r="J208" s="2"/>
      <c r="K208" s="1"/>
      <c r="L208" s="1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>
      <c r="A209" s="1"/>
      <c r="B209" s="2"/>
      <c r="C209" s="1"/>
      <c r="D209" s="2"/>
      <c r="E209" s="1"/>
      <c r="F209" s="2"/>
      <c r="G209" s="1"/>
      <c r="H209" s="2"/>
      <c r="I209" s="1"/>
      <c r="J209" s="2"/>
      <c r="K209" s="1"/>
      <c r="L209" s="1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>
      <c r="A210" s="1"/>
      <c r="B210" s="2"/>
      <c r="C210" s="1"/>
      <c r="D210" s="2"/>
      <c r="E210" s="1"/>
      <c r="F210" s="2"/>
      <c r="G210" s="1"/>
      <c r="H210" s="2"/>
      <c r="I210" s="1"/>
      <c r="J210" s="2"/>
      <c r="K210" s="1"/>
      <c r="L210" s="1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>
      <c r="A211" s="1"/>
      <c r="B211" s="2"/>
      <c r="C211" s="1"/>
      <c r="D211" s="2"/>
      <c r="E211" s="1"/>
      <c r="F211" s="2"/>
      <c r="G211" s="1"/>
      <c r="H211" s="2"/>
      <c r="I211" s="1"/>
      <c r="J211" s="2"/>
      <c r="K211" s="1"/>
      <c r="L211" s="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>
      <c r="A212" s="1"/>
      <c r="B212" s="2"/>
      <c r="C212" s="1"/>
      <c r="D212" s="2"/>
      <c r="E212" s="1"/>
      <c r="F212" s="2"/>
      <c r="G212" s="1"/>
      <c r="H212" s="2"/>
      <c r="I212" s="1"/>
      <c r="J212" s="2"/>
      <c r="K212" s="1"/>
      <c r="L212" s="1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>
      <c r="A213" s="1"/>
      <c r="B213" s="2"/>
      <c r="C213" s="1"/>
      <c r="D213" s="2"/>
      <c r="E213" s="1"/>
      <c r="F213" s="2"/>
      <c r="G213" s="1"/>
      <c r="H213" s="2"/>
      <c r="I213" s="1"/>
      <c r="J213" s="2"/>
      <c r="K213" s="1"/>
      <c r="L213" s="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>
      <c r="A214" s="1"/>
      <c r="B214" s="2"/>
      <c r="C214" s="1"/>
      <c r="D214" s="2"/>
      <c r="E214" s="1"/>
      <c r="F214" s="2"/>
      <c r="G214" s="1"/>
      <c r="H214" s="2"/>
      <c r="I214" s="1"/>
      <c r="J214" s="2"/>
      <c r="K214" s="1"/>
      <c r="L214" s="1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>
      <c r="A215" s="1"/>
      <c r="B215" s="2"/>
      <c r="C215" s="1"/>
      <c r="D215" s="2"/>
      <c r="E215" s="1"/>
      <c r="F215" s="2"/>
      <c r="G215" s="1"/>
      <c r="H215" s="2"/>
      <c r="I215" s="1"/>
      <c r="J215" s="2"/>
      <c r="K215" s="1"/>
      <c r="L215" s="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>
      <c r="A216" s="1"/>
      <c r="B216" s="2"/>
      <c r="C216" s="1"/>
      <c r="D216" s="2"/>
      <c r="E216" s="1"/>
      <c r="F216" s="2"/>
      <c r="G216" s="1"/>
      <c r="H216" s="2"/>
      <c r="I216" s="1"/>
      <c r="J216" s="2"/>
      <c r="K216" s="1"/>
      <c r="L216" s="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>
      <c r="A217" s="1"/>
      <c r="B217" s="2"/>
      <c r="C217" s="1"/>
      <c r="D217" s="2"/>
      <c r="E217" s="1"/>
      <c r="F217" s="2"/>
      <c r="G217" s="1"/>
      <c r="H217" s="2"/>
      <c r="I217" s="1"/>
      <c r="J217" s="2"/>
      <c r="K217" s="1"/>
      <c r="L217" s="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>
      <c r="A218" s="1"/>
      <c r="B218" s="2"/>
      <c r="C218" s="1"/>
      <c r="D218" s="2"/>
      <c r="E218" s="1"/>
      <c r="F218" s="2"/>
      <c r="G218" s="1"/>
      <c r="H218" s="2"/>
      <c r="I218" s="1"/>
      <c r="J218" s="2"/>
      <c r="K218" s="1"/>
      <c r="L218" s="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>
      <c r="A219" s="1"/>
      <c r="B219" s="2"/>
      <c r="C219" s="1"/>
      <c r="D219" s="2"/>
      <c r="E219" s="1"/>
      <c r="F219" s="2"/>
      <c r="G219" s="1"/>
      <c r="H219" s="2"/>
      <c r="I219" s="1"/>
      <c r="J219" s="2"/>
      <c r="K219" s="1"/>
      <c r="L219" s="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>
      <c r="A220" s="1"/>
      <c r="B220" s="2"/>
      <c r="C220" s="1"/>
      <c r="D220" s="2"/>
      <c r="E220" s="1"/>
      <c r="F220" s="2"/>
      <c r="G220" s="1"/>
      <c r="H220" s="2"/>
      <c r="I220" s="1"/>
      <c r="J220" s="2"/>
      <c r="K220" s="1"/>
      <c r="L220" s="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>
      <c r="A221" s="1"/>
      <c r="B221" s="2"/>
      <c r="C221" s="1"/>
      <c r="D221" s="2"/>
      <c r="E221" s="1"/>
      <c r="F221" s="2"/>
      <c r="G221" s="1"/>
      <c r="H221" s="2"/>
      <c r="I221" s="1"/>
      <c r="J221" s="2"/>
      <c r="K221" s="1"/>
      <c r="L221" s="1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>
      <c r="A222" s="1"/>
      <c r="B222" s="2"/>
      <c r="C222" s="1"/>
      <c r="D222" s="2"/>
      <c r="E222" s="1"/>
      <c r="F222" s="2"/>
      <c r="G222" s="1"/>
      <c r="H222" s="2"/>
      <c r="I222" s="1"/>
      <c r="J222" s="2"/>
      <c r="K222" s="1"/>
      <c r="L222" s="1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>
      <c r="A223" s="1"/>
      <c r="B223" s="2"/>
      <c r="C223" s="1"/>
      <c r="D223" s="2"/>
      <c r="E223" s="1"/>
      <c r="F223" s="2"/>
      <c r="G223" s="1"/>
      <c r="H223" s="2"/>
      <c r="I223" s="1"/>
      <c r="J223" s="2"/>
      <c r="K223" s="1"/>
      <c r="L223" s="1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>
      <c r="A224" s="1"/>
      <c r="B224" s="2"/>
      <c r="C224" s="1"/>
      <c r="D224" s="2"/>
      <c r="E224" s="1"/>
      <c r="F224" s="2"/>
      <c r="G224" s="1"/>
      <c r="H224" s="2"/>
      <c r="I224" s="1"/>
      <c r="J224" s="2"/>
      <c r="K224" s="1"/>
      <c r="L224" s="1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>
      <c r="A225" s="1"/>
      <c r="B225" s="2"/>
      <c r="C225" s="1"/>
      <c r="D225" s="2"/>
      <c r="E225" s="1"/>
      <c r="F225" s="2"/>
      <c r="G225" s="1"/>
      <c r="H225" s="2"/>
      <c r="I225" s="1"/>
      <c r="J225" s="2"/>
      <c r="K225" s="1"/>
      <c r="L225" s="1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>
      <c r="A226" s="1"/>
      <c r="B226" s="2"/>
      <c r="C226" s="1"/>
      <c r="D226" s="2"/>
      <c r="E226" s="1"/>
      <c r="F226" s="2"/>
      <c r="G226" s="1"/>
      <c r="H226" s="2"/>
      <c r="I226" s="1"/>
      <c r="J226" s="2"/>
      <c r="K226" s="1"/>
      <c r="L226" s="1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>
      <c r="A227" s="1"/>
      <c r="B227" s="2"/>
      <c r="C227" s="1"/>
      <c r="D227" s="2"/>
      <c r="E227" s="1"/>
      <c r="F227" s="2"/>
      <c r="G227" s="1"/>
      <c r="H227" s="2"/>
      <c r="I227" s="1"/>
      <c r="J227" s="2"/>
      <c r="K227" s="1"/>
      <c r="L227" s="1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>
      <c r="A228" s="1"/>
      <c r="B228" s="2"/>
      <c r="C228" s="1"/>
      <c r="D228" s="2"/>
      <c r="E228" s="1"/>
      <c r="F228" s="2"/>
      <c r="G228" s="1"/>
      <c r="H228" s="2"/>
      <c r="I228" s="1"/>
      <c r="J228" s="2"/>
      <c r="K228" s="1"/>
      <c r="L228" s="1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>
      <c r="A229" s="1"/>
      <c r="B229" s="2"/>
      <c r="C229" s="1"/>
      <c r="D229" s="2"/>
      <c r="E229" s="1"/>
      <c r="F229" s="2"/>
      <c r="G229" s="1"/>
      <c r="H229" s="2"/>
      <c r="I229" s="1"/>
      <c r="J229" s="2"/>
      <c r="K229" s="1"/>
      <c r="L229" s="1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>
      <c r="A230" s="1"/>
      <c r="B230" s="2"/>
      <c r="C230" s="1"/>
      <c r="D230" s="2"/>
      <c r="E230" s="1"/>
      <c r="F230" s="2"/>
      <c r="G230" s="1"/>
      <c r="H230" s="2"/>
      <c r="I230" s="1"/>
      <c r="J230" s="2"/>
      <c r="K230" s="1"/>
      <c r="L230" s="1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>
      <c r="A231" s="1"/>
      <c r="B231" s="2"/>
      <c r="C231" s="1"/>
      <c r="D231" s="2"/>
      <c r="E231" s="1"/>
      <c r="F231" s="2"/>
      <c r="G231" s="1"/>
      <c r="H231" s="2"/>
      <c r="I231" s="1"/>
      <c r="J231" s="2"/>
      <c r="K231" s="1"/>
      <c r="L231" s="1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>
      <c r="A232" s="1"/>
      <c r="B232" s="2"/>
      <c r="C232" s="1"/>
      <c r="D232" s="2"/>
      <c r="E232" s="1"/>
      <c r="F232" s="2"/>
      <c r="G232" s="1"/>
      <c r="H232" s="2"/>
      <c r="I232" s="1"/>
      <c r="J232" s="2"/>
      <c r="K232" s="1"/>
      <c r="L232" s="1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>
      <c r="A233" s="1"/>
      <c r="B233" s="2"/>
      <c r="C233" s="1"/>
      <c r="D233" s="2"/>
      <c r="E233" s="1"/>
      <c r="F233" s="2"/>
      <c r="G233" s="1"/>
      <c r="H233" s="2"/>
      <c r="I233" s="1"/>
      <c r="J233" s="2"/>
      <c r="K233" s="1"/>
      <c r="L233" s="1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>
      <c r="A234" s="1"/>
      <c r="B234" s="2"/>
      <c r="C234" s="1"/>
      <c r="D234" s="2"/>
      <c r="E234" s="1"/>
      <c r="F234" s="2"/>
      <c r="G234" s="1"/>
      <c r="H234" s="2"/>
      <c r="I234" s="1"/>
      <c r="J234" s="2"/>
      <c r="K234" s="1"/>
      <c r="L234" s="1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>
      <c r="A235" s="1"/>
      <c r="B235" s="2"/>
      <c r="C235" s="1"/>
      <c r="D235" s="2"/>
      <c r="E235" s="1"/>
      <c r="F235" s="2"/>
      <c r="G235" s="1"/>
      <c r="H235" s="2"/>
      <c r="I235" s="1"/>
      <c r="J235" s="2"/>
      <c r="K235" s="1"/>
      <c r="L235" s="1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>
      <c r="A236" s="1"/>
      <c r="B236" s="2"/>
      <c r="C236" s="1"/>
      <c r="D236" s="2"/>
      <c r="E236" s="1"/>
      <c r="F236" s="2"/>
      <c r="G236" s="1"/>
      <c r="H236" s="2"/>
      <c r="I236" s="1"/>
      <c r="J236" s="2"/>
      <c r="K236" s="1"/>
      <c r="L236" s="1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>
      <c r="A237" s="1"/>
      <c r="B237" s="2"/>
      <c r="C237" s="1"/>
      <c r="D237" s="2"/>
      <c r="E237" s="1"/>
      <c r="F237" s="2"/>
      <c r="G237" s="1"/>
      <c r="H237" s="2"/>
      <c r="I237" s="1"/>
      <c r="J237" s="2"/>
      <c r="K237" s="1"/>
      <c r="L237" s="1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>
      <c r="A238" s="1"/>
      <c r="B238" s="2"/>
      <c r="C238" s="1"/>
      <c r="D238" s="2"/>
      <c r="E238" s="1"/>
      <c r="F238" s="2"/>
      <c r="G238" s="1"/>
      <c r="H238" s="2"/>
      <c r="I238" s="1"/>
      <c r="J238" s="2"/>
      <c r="K238" s="1"/>
      <c r="L238" s="1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>
      <c r="A239" s="1"/>
      <c r="B239" s="2"/>
      <c r="C239" s="1"/>
      <c r="D239" s="2"/>
      <c r="E239" s="1"/>
      <c r="F239" s="2"/>
      <c r="G239" s="1"/>
      <c r="H239" s="2"/>
      <c r="I239" s="1"/>
      <c r="J239" s="2"/>
      <c r="K239" s="1"/>
      <c r="L239" s="1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>
      <c r="A240" s="1"/>
      <c r="B240" s="2"/>
      <c r="C240" s="1"/>
      <c r="D240" s="2"/>
      <c r="E240" s="1"/>
      <c r="F240" s="2"/>
      <c r="G240" s="1"/>
      <c r="H240" s="2"/>
      <c r="I240" s="1"/>
      <c r="J240" s="2"/>
      <c r="K240" s="1"/>
      <c r="L240" s="1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>
      <c r="A241" s="1"/>
      <c r="B241" s="2"/>
      <c r="C241" s="1"/>
      <c r="D241" s="2"/>
      <c r="E241" s="1"/>
      <c r="F241" s="2"/>
      <c r="G241" s="1"/>
      <c r="H241" s="2"/>
      <c r="I241" s="1"/>
      <c r="J241" s="2"/>
      <c r="K241" s="1"/>
      <c r="L241" s="1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>
      <c r="A242" s="1"/>
      <c r="B242" s="2"/>
      <c r="C242" s="1"/>
      <c r="D242" s="2"/>
      <c r="E242" s="1"/>
      <c r="F242" s="2"/>
      <c r="G242" s="1"/>
      <c r="H242" s="2"/>
      <c r="I242" s="1"/>
      <c r="J242" s="2"/>
      <c r="K242" s="1"/>
      <c r="L242" s="1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>
      <c r="A243" s="1"/>
      <c r="B243" s="2"/>
      <c r="C243" s="1"/>
      <c r="D243" s="2"/>
      <c r="E243" s="1"/>
      <c r="F243" s="2"/>
      <c r="G243" s="1"/>
      <c r="H243" s="2"/>
      <c r="I243" s="1"/>
      <c r="J243" s="2"/>
      <c r="K243" s="1"/>
      <c r="L243" s="1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>
      <c r="A244" s="1"/>
      <c r="B244" s="2"/>
      <c r="C244" s="1"/>
      <c r="D244" s="2"/>
      <c r="E244" s="1"/>
      <c r="F244" s="2"/>
      <c r="G244" s="1"/>
      <c r="H244" s="2"/>
      <c r="I244" s="1"/>
      <c r="J244" s="2"/>
      <c r="K244" s="1"/>
      <c r="L244" s="1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>
      <c r="A245" s="1"/>
      <c r="B245" s="2"/>
      <c r="C245" s="1"/>
      <c r="D245" s="2"/>
      <c r="E245" s="1"/>
      <c r="F245" s="2"/>
      <c r="G245" s="1"/>
      <c r="H245" s="2"/>
      <c r="I245" s="1"/>
      <c r="J245" s="2"/>
      <c r="K245" s="1"/>
      <c r="L245" s="1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>
      <c r="A246" s="1"/>
      <c r="B246" s="2"/>
      <c r="C246" s="1"/>
      <c r="D246" s="2"/>
      <c r="E246" s="1"/>
      <c r="F246" s="2"/>
      <c r="G246" s="1"/>
      <c r="H246" s="2"/>
      <c r="I246" s="1"/>
      <c r="J246" s="2"/>
      <c r="K246" s="1"/>
      <c r="L246" s="1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>
      <c r="A247" s="1"/>
      <c r="B247" s="2"/>
      <c r="C247" s="1"/>
      <c r="D247" s="2"/>
      <c r="E247" s="1"/>
      <c r="F247" s="2"/>
      <c r="G247" s="1"/>
      <c r="H247" s="2"/>
      <c r="I247" s="1"/>
      <c r="J247" s="2"/>
      <c r="K247" s="1"/>
      <c r="L247" s="1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>
      <c r="A248" s="1"/>
      <c r="B248" s="2"/>
      <c r="C248" s="1"/>
      <c r="D248" s="2"/>
      <c r="E248" s="1"/>
      <c r="F248" s="2"/>
      <c r="G248" s="1"/>
      <c r="H248" s="2"/>
      <c r="I248" s="1"/>
      <c r="J248" s="2"/>
      <c r="K248" s="1"/>
      <c r="L248" s="1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>
      <c r="A249" s="1"/>
      <c r="B249" s="2"/>
      <c r="C249" s="1"/>
      <c r="D249" s="2"/>
      <c r="E249" s="1"/>
      <c r="F249" s="2"/>
      <c r="G249" s="1"/>
      <c r="H249" s="2"/>
      <c r="I249" s="1"/>
      <c r="J249" s="2"/>
      <c r="K249" s="1"/>
      <c r="L249" s="1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>
      <c r="A250" s="1"/>
      <c r="B250" s="2"/>
      <c r="C250" s="1"/>
      <c r="D250" s="2"/>
      <c r="E250" s="1"/>
      <c r="F250" s="2"/>
      <c r="G250" s="1"/>
      <c r="H250" s="2"/>
      <c r="I250" s="1"/>
      <c r="J250" s="2"/>
      <c r="K250" s="1"/>
      <c r="L250" s="1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>
      <c r="A251" s="1"/>
      <c r="B251" s="2"/>
      <c r="C251" s="1"/>
      <c r="D251" s="2"/>
      <c r="E251" s="1"/>
      <c r="F251" s="2"/>
      <c r="G251" s="1"/>
      <c r="H251" s="2"/>
      <c r="I251" s="1"/>
      <c r="J251" s="2"/>
      <c r="K251" s="1"/>
      <c r="L251" s="1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>
      <c r="A252" s="1"/>
      <c r="B252" s="2"/>
      <c r="C252" s="1"/>
      <c r="D252" s="2"/>
      <c r="E252" s="1"/>
      <c r="F252" s="2"/>
      <c r="G252" s="1"/>
      <c r="H252" s="2"/>
      <c r="I252" s="1"/>
      <c r="J252" s="2"/>
      <c r="K252" s="1"/>
      <c r="L252" s="1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>
      <c r="A253" s="1"/>
      <c r="B253" s="2"/>
      <c r="C253" s="1"/>
      <c r="D253" s="2"/>
      <c r="E253" s="1"/>
      <c r="F253" s="2"/>
      <c r="G253" s="1"/>
      <c r="H253" s="2"/>
      <c r="I253" s="1"/>
      <c r="J253" s="2"/>
      <c r="K253" s="1"/>
      <c r="L253" s="1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>
      <c r="A254" s="1"/>
      <c r="B254" s="2"/>
      <c r="C254" s="1"/>
      <c r="D254" s="2"/>
      <c r="E254" s="1"/>
      <c r="F254" s="2"/>
      <c r="G254" s="1"/>
      <c r="H254" s="2"/>
      <c r="I254" s="1"/>
      <c r="J254" s="2"/>
      <c r="K254" s="1"/>
      <c r="L254" s="1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>
      <c r="A255" s="1"/>
      <c r="B255" s="2"/>
      <c r="C255" s="1"/>
      <c r="D255" s="2"/>
      <c r="E255" s="1"/>
      <c r="F255" s="2"/>
      <c r="G255" s="1"/>
      <c r="H255" s="2"/>
      <c r="I255" s="1"/>
      <c r="J255" s="2"/>
      <c r="K255" s="1"/>
      <c r="L255" s="1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>
      <c r="A256" s="1"/>
      <c r="B256" s="2"/>
      <c r="C256" s="1"/>
      <c r="D256" s="2"/>
      <c r="E256" s="1"/>
      <c r="F256" s="2"/>
      <c r="G256" s="1"/>
      <c r="H256" s="2"/>
      <c r="I256" s="1"/>
      <c r="J256" s="2"/>
      <c r="K256" s="1"/>
      <c r="L256" s="1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>
      <c r="A257" s="1"/>
      <c r="B257" s="2"/>
      <c r="C257" s="1"/>
      <c r="D257" s="2"/>
      <c r="E257" s="1"/>
      <c r="F257" s="2"/>
      <c r="G257" s="1"/>
      <c r="H257" s="2"/>
      <c r="I257" s="1"/>
      <c r="J257" s="2"/>
      <c r="K257" s="1"/>
      <c r="L257" s="1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>
      <c r="A258" s="1"/>
      <c r="B258" s="2"/>
      <c r="C258" s="1"/>
      <c r="D258" s="2"/>
      <c r="E258" s="1"/>
      <c r="F258" s="2"/>
      <c r="G258" s="1"/>
      <c r="H258" s="2"/>
      <c r="I258" s="1"/>
      <c r="J258" s="2"/>
      <c r="K258" s="1"/>
      <c r="L258" s="1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>
      <c r="A259" s="1"/>
      <c r="B259" s="2"/>
      <c r="C259" s="1"/>
      <c r="D259" s="2"/>
      <c r="E259" s="1"/>
      <c r="F259" s="2"/>
      <c r="G259" s="1"/>
      <c r="H259" s="2"/>
      <c r="I259" s="1"/>
      <c r="J259" s="2"/>
      <c r="K259" s="1"/>
      <c r="L259" s="1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>
      <c r="A260" s="1"/>
      <c r="B260" s="2"/>
      <c r="C260" s="1"/>
      <c r="D260" s="2"/>
      <c r="E260" s="1"/>
      <c r="F260" s="2"/>
      <c r="G260" s="1"/>
      <c r="H260" s="2"/>
      <c r="I260" s="1"/>
      <c r="J260" s="2"/>
      <c r="K260" s="1"/>
      <c r="L260" s="1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>
      <c r="A261" s="1"/>
      <c r="B261" s="2"/>
      <c r="C261" s="1"/>
      <c r="D261" s="2"/>
      <c r="E261" s="1"/>
      <c r="F261" s="2"/>
      <c r="G261" s="1"/>
      <c r="H261" s="2"/>
      <c r="I261" s="1"/>
      <c r="J261" s="2"/>
      <c r="K261" s="1"/>
      <c r="L261" s="1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>
      <c r="A262" s="1"/>
      <c r="B262" s="2"/>
      <c r="C262" s="1"/>
      <c r="D262" s="2"/>
      <c r="E262" s="1"/>
      <c r="F262" s="2"/>
      <c r="G262" s="1"/>
      <c r="H262" s="2"/>
      <c r="I262" s="1"/>
      <c r="J262" s="2"/>
      <c r="K262" s="1"/>
      <c r="L262" s="1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>
      <c r="A263" s="1"/>
      <c r="B263" s="2"/>
      <c r="C263" s="1"/>
      <c r="D263" s="2"/>
      <c r="E263" s="1"/>
      <c r="F263" s="2"/>
      <c r="G263" s="1"/>
      <c r="H263" s="2"/>
      <c r="I263" s="1"/>
      <c r="J263" s="2"/>
      <c r="K263" s="1"/>
      <c r="L263" s="1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>
      <c r="A264" s="1"/>
      <c r="B264" s="2"/>
      <c r="C264" s="1"/>
      <c r="D264" s="2"/>
      <c r="E264" s="1"/>
      <c r="F264" s="2"/>
      <c r="G264" s="1"/>
      <c r="H264" s="2"/>
      <c r="I264" s="1"/>
      <c r="J264" s="2"/>
      <c r="K264" s="1"/>
      <c r="L264" s="1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>
      <c r="A265" s="1"/>
      <c r="B265" s="2"/>
      <c r="C265" s="1"/>
      <c r="D265" s="2"/>
      <c r="E265" s="1"/>
      <c r="F265" s="2"/>
      <c r="G265" s="1"/>
      <c r="H265" s="2"/>
      <c r="I265" s="1"/>
      <c r="J265" s="2"/>
      <c r="K265" s="1"/>
      <c r="L265" s="1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>
      <c r="A266" s="1"/>
      <c r="B266" s="2"/>
      <c r="C266" s="1"/>
      <c r="D266" s="2"/>
      <c r="E266" s="1"/>
      <c r="F266" s="2"/>
      <c r="G266" s="1"/>
      <c r="H266" s="2"/>
      <c r="I266" s="1"/>
      <c r="J266" s="2"/>
      <c r="K266" s="1"/>
      <c r="L266" s="1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>
      <c r="A267" s="1"/>
      <c r="B267" s="2"/>
      <c r="C267" s="1"/>
      <c r="D267" s="2"/>
      <c r="E267" s="1"/>
      <c r="F267" s="2"/>
      <c r="G267" s="1"/>
      <c r="H267" s="2"/>
      <c r="I267" s="1"/>
      <c r="J267" s="2"/>
      <c r="K267" s="1"/>
      <c r="L267" s="1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>
      <c r="A268" s="1"/>
      <c r="B268" s="2"/>
      <c r="C268" s="1"/>
      <c r="D268" s="2"/>
      <c r="E268" s="1"/>
      <c r="F268" s="2"/>
      <c r="G268" s="1"/>
      <c r="H268" s="2"/>
      <c r="I268" s="1"/>
      <c r="J268" s="2"/>
      <c r="K268" s="1"/>
      <c r="L268" s="1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>
      <c r="A269" s="1"/>
      <c r="B269" s="2"/>
      <c r="C269" s="1"/>
      <c r="D269" s="2"/>
      <c r="E269" s="1"/>
      <c r="F269" s="2"/>
      <c r="G269" s="1"/>
      <c r="H269" s="2"/>
      <c r="I269" s="1"/>
      <c r="J269" s="2"/>
      <c r="K269" s="1"/>
      <c r="L269" s="1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>
      <c r="A270" s="1"/>
      <c r="B270" s="2"/>
      <c r="C270" s="1"/>
      <c r="D270" s="2"/>
      <c r="E270" s="1"/>
      <c r="F270" s="2"/>
      <c r="G270" s="1"/>
      <c r="H270" s="2"/>
      <c r="I270" s="1"/>
      <c r="J270" s="2"/>
      <c r="K270" s="1"/>
      <c r="L270" s="1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>
      <c r="A271" s="1"/>
      <c r="B271" s="2"/>
      <c r="C271" s="1"/>
      <c r="D271" s="2"/>
      <c r="E271" s="1"/>
      <c r="F271" s="2"/>
      <c r="G271" s="1"/>
      <c r="H271" s="2"/>
      <c r="I271" s="1"/>
      <c r="J271" s="2"/>
      <c r="K271" s="1"/>
      <c r="L271" s="1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>
      <c r="A272" s="1"/>
      <c r="B272" s="2"/>
      <c r="C272" s="1"/>
      <c r="D272" s="2"/>
      <c r="E272" s="1"/>
      <c r="F272" s="2"/>
      <c r="G272" s="1"/>
      <c r="H272" s="2"/>
      <c r="I272" s="1"/>
      <c r="J272" s="2"/>
      <c r="K272" s="1"/>
      <c r="L272" s="1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>
      <c r="A273" s="1"/>
      <c r="B273" s="2"/>
      <c r="C273" s="1"/>
      <c r="D273" s="2"/>
      <c r="E273" s="1"/>
      <c r="F273" s="2"/>
      <c r="G273" s="1"/>
      <c r="H273" s="2"/>
      <c r="I273" s="1"/>
      <c r="J273" s="2"/>
      <c r="K273" s="1"/>
      <c r="L273" s="1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>
      <c r="A274" s="1"/>
      <c r="B274" s="2"/>
      <c r="C274" s="1"/>
      <c r="D274" s="2"/>
      <c r="E274" s="1"/>
      <c r="F274" s="2"/>
      <c r="G274" s="1"/>
      <c r="H274" s="2"/>
      <c r="I274" s="1"/>
      <c r="J274" s="2"/>
      <c r="K274" s="1"/>
      <c r="L274" s="1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>
      <c r="A275" s="1"/>
      <c r="B275" s="2"/>
      <c r="C275" s="1"/>
      <c r="D275" s="2"/>
      <c r="E275" s="1"/>
      <c r="F275" s="2"/>
      <c r="G275" s="1"/>
      <c r="H275" s="2"/>
      <c r="I275" s="1"/>
      <c r="J275" s="2"/>
      <c r="K275" s="1"/>
      <c r="L275" s="1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>
      <c r="A276" s="1"/>
      <c r="B276" s="2"/>
      <c r="C276" s="1"/>
      <c r="D276" s="2"/>
      <c r="E276" s="1"/>
      <c r="F276" s="2"/>
      <c r="G276" s="1"/>
      <c r="H276" s="2"/>
      <c r="I276" s="1"/>
      <c r="J276" s="2"/>
      <c r="K276" s="1"/>
      <c r="L276" s="1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>
      <c r="A277" s="1"/>
      <c r="B277" s="2"/>
      <c r="C277" s="1"/>
      <c r="D277" s="2"/>
      <c r="E277" s="1"/>
      <c r="F277" s="2"/>
      <c r="G277" s="1"/>
      <c r="H277" s="2"/>
      <c r="I277" s="1"/>
      <c r="J277" s="2"/>
      <c r="K277" s="1"/>
      <c r="L277" s="1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>
      <c r="A278" s="1"/>
      <c r="B278" s="2"/>
      <c r="C278" s="1"/>
      <c r="D278" s="2"/>
      <c r="E278" s="1"/>
      <c r="F278" s="2"/>
      <c r="G278" s="1"/>
      <c r="H278" s="2"/>
      <c r="I278" s="1"/>
      <c r="J278" s="2"/>
      <c r="K278" s="1"/>
      <c r="L278" s="1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>
      <c r="A279" s="1"/>
      <c r="B279" s="2"/>
      <c r="C279" s="1"/>
      <c r="D279" s="2"/>
      <c r="E279" s="1"/>
      <c r="F279" s="2"/>
      <c r="G279" s="1"/>
      <c r="H279" s="2"/>
      <c r="I279" s="1"/>
      <c r="J279" s="2"/>
      <c r="K279" s="1"/>
      <c r="L279" s="1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>
      <c r="A280" s="1"/>
      <c r="B280" s="2"/>
      <c r="C280" s="1"/>
      <c r="D280" s="2"/>
      <c r="E280" s="1"/>
      <c r="F280" s="2"/>
      <c r="G280" s="1"/>
      <c r="H280" s="2"/>
      <c r="I280" s="1"/>
      <c r="J280" s="2"/>
      <c r="K280" s="1"/>
      <c r="L280" s="1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>
      <c r="A281" s="1"/>
      <c r="B281" s="2"/>
      <c r="C281" s="1"/>
      <c r="D281" s="2"/>
      <c r="E281" s="1"/>
      <c r="F281" s="2"/>
      <c r="G281" s="1"/>
      <c r="H281" s="2"/>
      <c r="I281" s="1"/>
      <c r="J281" s="2"/>
      <c r="K281" s="1"/>
      <c r="L281" s="1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>
      <c r="A282" s="1"/>
      <c r="B282" s="2"/>
      <c r="C282" s="1"/>
      <c r="D282" s="2"/>
      <c r="E282" s="1"/>
      <c r="F282" s="2"/>
      <c r="G282" s="1"/>
      <c r="H282" s="2"/>
      <c r="I282" s="1"/>
      <c r="J282" s="2"/>
      <c r="K282" s="1"/>
      <c r="L282" s="1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>
      <c r="A283" s="1"/>
      <c r="B283" s="2"/>
      <c r="C283" s="1"/>
      <c r="D283" s="2"/>
      <c r="E283" s="1"/>
      <c r="F283" s="2"/>
      <c r="G283" s="1"/>
      <c r="H283" s="2"/>
      <c r="I283" s="1"/>
      <c r="J283" s="2"/>
      <c r="K283" s="1"/>
      <c r="L283" s="1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>
      <c r="A284" s="1"/>
      <c r="B284" s="2"/>
      <c r="C284" s="1"/>
      <c r="D284" s="2"/>
      <c r="E284" s="1"/>
      <c r="F284" s="2"/>
      <c r="G284" s="1"/>
      <c r="H284" s="2"/>
      <c r="I284" s="1"/>
      <c r="J284" s="2"/>
      <c r="K284" s="1"/>
      <c r="L284" s="1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>
      <c r="A285" s="1"/>
      <c r="B285" s="2"/>
      <c r="C285" s="1"/>
      <c r="D285" s="2"/>
      <c r="E285" s="1"/>
      <c r="F285" s="2"/>
      <c r="G285" s="1"/>
      <c r="H285" s="2"/>
      <c r="I285" s="1"/>
      <c r="J285" s="2"/>
      <c r="K285" s="1"/>
      <c r="L285" s="1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>
      <c r="A286" s="1"/>
      <c r="B286" s="2"/>
      <c r="C286" s="1"/>
      <c r="D286" s="2"/>
      <c r="E286" s="1"/>
      <c r="F286" s="2"/>
      <c r="G286" s="1"/>
      <c r="H286" s="2"/>
      <c r="I286" s="1"/>
      <c r="J286" s="2"/>
      <c r="K286" s="1"/>
      <c r="L286" s="1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>
      <c r="A287" s="1"/>
      <c r="B287" s="2"/>
      <c r="C287" s="1"/>
      <c r="D287" s="2"/>
      <c r="E287" s="1"/>
      <c r="F287" s="2"/>
      <c r="G287" s="1"/>
      <c r="H287" s="2"/>
      <c r="I287" s="1"/>
      <c r="J287" s="2"/>
      <c r="K287" s="1"/>
      <c r="L287" s="1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>
      <c r="A288" s="1"/>
      <c r="B288" s="2"/>
      <c r="C288" s="1"/>
      <c r="D288" s="2"/>
      <c r="E288" s="1"/>
      <c r="F288" s="2"/>
      <c r="G288" s="1"/>
      <c r="H288" s="2"/>
      <c r="I288" s="1"/>
      <c r="J288" s="2"/>
      <c r="K288" s="1"/>
      <c r="L288" s="1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>
      <c r="A289" s="1"/>
      <c r="B289" s="2"/>
      <c r="C289" s="1"/>
      <c r="D289" s="2"/>
      <c r="E289" s="1"/>
      <c r="F289" s="2"/>
      <c r="G289" s="1"/>
      <c r="H289" s="2"/>
      <c r="I289" s="1"/>
      <c r="J289" s="2"/>
      <c r="K289" s="1"/>
      <c r="L289" s="1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>
      <c r="A290" s="1"/>
      <c r="B290" s="2"/>
      <c r="C290" s="1"/>
      <c r="D290" s="2"/>
      <c r="E290" s="1"/>
      <c r="F290" s="2"/>
      <c r="G290" s="1"/>
      <c r="H290" s="2"/>
      <c r="I290" s="1"/>
      <c r="J290" s="2"/>
      <c r="K290" s="1"/>
      <c r="L290" s="1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>
      <c r="A291" s="1"/>
      <c r="B291" s="2"/>
      <c r="C291" s="1"/>
      <c r="D291" s="2"/>
      <c r="E291" s="1"/>
      <c r="F291" s="2"/>
      <c r="G291" s="1"/>
      <c r="H291" s="2"/>
      <c r="I291" s="1"/>
      <c r="J291" s="2"/>
      <c r="K291" s="1"/>
      <c r="L291" s="1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>
      <c r="A292" s="1"/>
      <c r="B292" s="2"/>
      <c r="C292" s="1"/>
      <c r="D292" s="2"/>
      <c r="E292" s="1"/>
      <c r="F292" s="2"/>
      <c r="G292" s="1"/>
      <c r="H292" s="2"/>
      <c r="I292" s="1"/>
      <c r="J292" s="2"/>
      <c r="K292" s="1"/>
      <c r="L292" s="1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>
      <c r="A293" s="1"/>
      <c r="B293" s="2"/>
      <c r="C293" s="1"/>
      <c r="D293" s="2"/>
      <c r="E293" s="1"/>
      <c r="F293" s="2"/>
      <c r="G293" s="1"/>
      <c r="H293" s="2"/>
      <c r="I293" s="1"/>
      <c r="J293" s="2"/>
      <c r="K293" s="1"/>
      <c r="L293" s="1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>
      <c r="A294" s="1"/>
      <c r="B294" s="2"/>
      <c r="C294" s="1"/>
      <c r="D294" s="2"/>
      <c r="E294" s="1"/>
      <c r="F294" s="2"/>
      <c r="G294" s="1"/>
      <c r="H294" s="2"/>
      <c r="I294" s="1"/>
      <c r="J294" s="2"/>
      <c r="K294" s="1"/>
      <c r="L294" s="1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>
      <c r="A295" s="1"/>
      <c r="B295" s="2"/>
      <c r="C295" s="1"/>
      <c r="D295" s="2"/>
      <c r="E295" s="1"/>
      <c r="F295" s="2"/>
      <c r="G295" s="1"/>
      <c r="H295" s="2"/>
      <c r="I295" s="1"/>
      <c r="J295" s="2"/>
      <c r="K295" s="1"/>
      <c r="L295" s="1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>
      <c r="A296" s="1"/>
      <c r="B296" s="2"/>
      <c r="C296" s="1"/>
      <c r="D296" s="2"/>
      <c r="E296" s="1"/>
      <c r="F296" s="2"/>
      <c r="G296" s="1"/>
      <c r="H296" s="2"/>
      <c r="I296" s="1"/>
      <c r="J296" s="2"/>
      <c r="K296" s="1"/>
      <c r="L296" s="1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>
      <c r="A297" s="1"/>
      <c r="B297" s="2"/>
      <c r="C297" s="1"/>
      <c r="D297" s="2"/>
      <c r="E297" s="1"/>
      <c r="F297" s="2"/>
      <c r="G297" s="1"/>
      <c r="H297" s="2"/>
      <c r="I297" s="1"/>
      <c r="J297" s="2"/>
      <c r="K297" s="1"/>
      <c r="L297" s="1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>
      <c r="A298" s="1"/>
      <c r="B298" s="2"/>
      <c r="C298" s="1"/>
      <c r="D298" s="2"/>
      <c r="E298" s="1"/>
      <c r="F298" s="2"/>
      <c r="G298" s="1"/>
      <c r="H298" s="2"/>
      <c r="I298" s="1"/>
      <c r="J298" s="2"/>
      <c r="K298" s="1"/>
      <c r="L298" s="1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>
      <c r="A299" s="1"/>
      <c r="B299" s="2"/>
      <c r="C299" s="1"/>
      <c r="D299" s="2"/>
      <c r="E299" s="1"/>
      <c r="F299" s="2"/>
      <c r="G299" s="1"/>
      <c r="H299" s="2"/>
      <c r="I299" s="1"/>
      <c r="J299" s="2"/>
      <c r="K299" s="1"/>
      <c r="L299" s="1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>
      <c r="A300" s="1"/>
      <c r="B300" s="2"/>
      <c r="C300" s="1"/>
      <c r="D300" s="2"/>
      <c r="E300" s="1"/>
      <c r="F300" s="2"/>
      <c r="G300" s="1"/>
      <c r="H300" s="2"/>
      <c r="I300" s="1"/>
      <c r="J300" s="2"/>
      <c r="K300" s="1"/>
      <c r="L300" s="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>
      <c r="A301" s="1"/>
      <c r="B301" s="2"/>
      <c r="C301" s="1"/>
      <c r="D301" s="2"/>
      <c r="E301" s="1"/>
      <c r="F301" s="2"/>
      <c r="G301" s="1"/>
      <c r="H301" s="2"/>
      <c r="I301" s="1"/>
      <c r="J301" s="2"/>
      <c r="K301" s="1"/>
      <c r="L301" s="1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>
      <c r="A302" s="1"/>
      <c r="B302" s="2"/>
      <c r="C302" s="1"/>
      <c r="D302" s="2"/>
      <c r="E302" s="1"/>
      <c r="F302" s="2"/>
      <c r="G302" s="1"/>
      <c r="H302" s="2"/>
      <c r="I302" s="1"/>
      <c r="J302" s="2"/>
      <c r="K302" s="1"/>
      <c r="L302" s="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>
      <c r="A303" s="1"/>
      <c r="B303" s="2"/>
      <c r="C303" s="1"/>
      <c r="D303" s="2"/>
      <c r="E303" s="1"/>
      <c r="F303" s="2"/>
      <c r="G303" s="1"/>
      <c r="H303" s="2"/>
      <c r="I303" s="1"/>
      <c r="J303" s="2"/>
      <c r="K303" s="1"/>
      <c r="L303" s="1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>
      <c r="A304" s="1"/>
      <c r="B304" s="2"/>
      <c r="C304" s="1"/>
      <c r="D304" s="2"/>
      <c r="E304" s="1"/>
      <c r="F304" s="2"/>
      <c r="G304" s="1"/>
      <c r="H304" s="2"/>
      <c r="I304" s="1"/>
      <c r="J304" s="2"/>
      <c r="K304" s="1"/>
      <c r="L304" s="1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>
      <c r="A305" s="1"/>
      <c r="B305" s="2"/>
      <c r="C305" s="1"/>
      <c r="D305" s="2"/>
      <c r="E305" s="1"/>
      <c r="F305" s="2"/>
      <c r="G305" s="1"/>
      <c r="H305" s="2"/>
      <c r="I305" s="1"/>
      <c r="J305" s="2"/>
      <c r="K305" s="1"/>
      <c r="L305" s="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>
      <c r="A306" s="1"/>
      <c r="B306" s="2"/>
      <c r="C306" s="1"/>
      <c r="D306" s="2"/>
      <c r="E306" s="1"/>
      <c r="F306" s="2"/>
      <c r="G306" s="1"/>
      <c r="H306" s="2"/>
      <c r="I306" s="1"/>
      <c r="J306" s="2"/>
      <c r="K306" s="1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>
      <c r="A307" s="1"/>
      <c r="B307" s="2"/>
      <c r="C307" s="1"/>
      <c r="D307" s="2"/>
      <c r="E307" s="1"/>
      <c r="F307" s="2"/>
      <c r="G307" s="1"/>
      <c r="H307" s="2"/>
      <c r="I307" s="1"/>
      <c r="J307" s="2"/>
      <c r="K307" s="1"/>
      <c r="L307" s="1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>
      <c r="A308" s="1"/>
      <c r="B308" s="2"/>
      <c r="C308" s="1"/>
      <c r="D308" s="2"/>
      <c r="E308" s="1"/>
      <c r="F308" s="2"/>
      <c r="G308" s="1"/>
      <c r="H308" s="2"/>
      <c r="I308" s="1"/>
      <c r="J308" s="2"/>
      <c r="K308" s="1"/>
      <c r="L308" s="1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>
      <c r="A309" s="1"/>
      <c r="B309" s="2"/>
      <c r="C309" s="1"/>
      <c r="D309" s="2"/>
      <c r="E309" s="1"/>
      <c r="F309" s="2"/>
      <c r="G309" s="1"/>
      <c r="H309" s="2"/>
      <c r="I309" s="1"/>
      <c r="J309" s="2"/>
      <c r="K309" s="1"/>
      <c r="L309" s="1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>
      <c r="A310" s="1"/>
      <c r="B310" s="2"/>
      <c r="C310" s="1"/>
      <c r="D310" s="2"/>
      <c r="E310" s="1"/>
      <c r="F310" s="2"/>
      <c r="G310" s="1"/>
      <c r="H310" s="2"/>
      <c r="I310" s="1"/>
      <c r="J310" s="2"/>
      <c r="K310" s="1"/>
      <c r="L310" s="1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>
      <c r="A311" s="1"/>
      <c r="B311" s="2"/>
      <c r="C311" s="1"/>
      <c r="D311" s="2"/>
      <c r="E311" s="1"/>
      <c r="F311" s="2"/>
      <c r="G311" s="1"/>
      <c r="H311" s="2"/>
      <c r="I311" s="1"/>
      <c r="J311" s="2"/>
      <c r="K311" s="1"/>
      <c r="L311" s="1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>
      <c r="A312" s="1"/>
      <c r="B312" s="2"/>
      <c r="C312" s="1"/>
      <c r="D312" s="2"/>
      <c r="E312" s="1"/>
      <c r="F312" s="2"/>
      <c r="G312" s="1"/>
      <c r="H312" s="2"/>
      <c r="I312" s="1"/>
      <c r="J312" s="2"/>
      <c r="K312" s="1"/>
      <c r="L312" s="1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>
      <c r="A313" s="1"/>
      <c r="B313" s="2"/>
      <c r="C313" s="1"/>
      <c r="D313" s="2"/>
      <c r="E313" s="1"/>
      <c r="F313" s="2"/>
      <c r="G313" s="1"/>
      <c r="H313" s="2"/>
      <c r="I313" s="1"/>
      <c r="J313" s="2"/>
      <c r="K313" s="1"/>
      <c r="L313" s="1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>
      <c r="A314" s="1"/>
      <c r="B314" s="2"/>
      <c r="C314" s="1"/>
      <c r="D314" s="2"/>
      <c r="E314" s="1"/>
      <c r="F314" s="2"/>
      <c r="G314" s="1"/>
      <c r="H314" s="2"/>
      <c r="I314" s="1"/>
      <c r="J314" s="2"/>
      <c r="K314" s="1"/>
      <c r="L314" s="1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>
      <c r="A315" s="1"/>
      <c r="B315" s="2"/>
      <c r="C315" s="1"/>
      <c r="D315" s="2"/>
      <c r="E315" s="1"/>
      <c r="F315" s="2"/>
      <c r="G315" s="1"/>
      <c r="H315" s="2"/>
      <c r="I315" s="1"/>
      <c r="J315" s="2"/>
      <c r="K315" s="1"/>
      <c r="L315" s="1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>
      <c r="A316" s="1"/>
      <c r="B316" s="2"/>
      <c r="C316" s="1"/>
      <c r="D316" s="2"/>
      <c r="E316" s="1"/>
      <c r="F316" s="2"/>
      <c r="G316" s="1"/>
      <c r="H316" s="2"/>
      <c r="I316" s="1"/>
      <c r="J316" s="2"/>
      <c r="K316" s="1"/>
      <c r="L316" s="1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>
      <c r="A317" s="1"/>
      <c r="B317" s="2"/>
      <c r="C317" s="1"/>
      <c r="D317" s="2"/>
      <c r="E317" s="1"/>
      <c r="F317" s="2"/>
      <c r="G317" s="1"/>
      <c r="H317" s="2"/>
      <c r="I317" s="1"/>
      <c r="J317" s="2"/>
      <c r="K317" s="1"/>
      <c r="L317" s="1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>
      <c r="A318" s="1"/>
      <c r="B318" s="2"/>
      <c r="C318" s="1"/>
      <c r="D318" s="2"/>
      <c r="E318" s="1"/>
      <c r="F318" s="2"/>
      <c r="G318" s="1"/>
      <c r="H318" s="2"/>
      <c r="I318" s="1"/>
      <c r="J318" s="2"/>
      <c r="K318" s="1"/>
      <c r="L318" s="1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>
      <c r="A319" s="1"/>
      <c r="B319" s="2"/>
      <c r="C319" s="1"/>
      <c r="D319" s="2"/>
      <c r="E319" s="1"/>
      <c r="F319" s="2"/>
      <c r="G319" s="1"/>
      <c r="H319" s="2"/>
      <c r="I319" s="1"/>
      <c r="J319" s="2"/>
      <c r="K319" s="1"/>
      <c r="L319" s="1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>
      <c r="A320" s="1"/>
      <c r="B320" s="2"/>
      <c r="C320" s="1"/>
      <c r="D320" s="2"/>
      <c r="E320" s="1"/>
      <c r="F320" s="2"/>
      <c r="G320" s="1"/>
      <c r="H320" s="2"/>
      <c r="I320" s="1"/>
      <c r="J320" s="2"/>
      <c r="K320" s="1"/>
      <c r="L320" s="1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>
      <c r="A321" s="1"/>
      <c r="B321" s="2"/>
      <c r="C321" s="1"/>
      <c r="D321" s="2"/>
      <c r="E321" s="1"/>
      <c r="F321" s="2"/>
      <c r="G321" s="1"/>
      <c r="H321" s="2"/>
      <c r="I321" s="1"/>
      <c r="J321" s="2"/>
      <c r="K321" s="1"/>
      <c r="L321" s="1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>
      <c r="A322" s="1"/>
      <c r="B322" s="2"/>
      <c r="C322" s="1"/>
      <c r="D322" s="2"/>
      <c r="E322" s="1"/>
      <c r="F322" s="2"/>
      <c r="G322" s="1"/>
      <c r="H322" s="2"/>
      <c r="I322" s="1"/>
      <c r="J322" s="2"/>
      <c r="K322" s="1"/>
      <c r="L322" s="1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>
      <c r="A323" s="1"/>
      <c r="B323" s="2"/>
      <c r="C323" s="1"/>
      <c r="D323" s="2"/>
      <c r="E323" s="1"/>
      <c r="F323" s="2"/>
      <c r="G323" s="1"/>
      <c r="H323" s="2"/>
      <c r="I323" s="1"/>
      <c r="J323" s="2"/>
      <c r="K323" s="1"/>
      <c r="L323" s="1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>
      <c r="A324" s="1"/>
      <c r="B324" s="2"/>
      <c r="C324" s="1"/>
      <c r="D324" s="2"/>
      <c r="E324" s="1"/>
      <c r="F324" s="2"/>
      <c r="G324" s="1"/>
      <c r="H324" s="2"/>
      <c r="I324" s="1"/>
      <c r="J324" s="2"/>
      <c r="K324" s="1"/>
      <c r="L324" s="1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>
      <c r="A325" s="1"/>
      <c r="B325" s="2"/>
      <c r="C325" s="1"/>
      <c r="D325" s="2"/>
      <c r="E325" s="1"/>
      <c r="F325" s="2"/>
      <c r="G325" s="1"/>
      <c r="H325" s="2"/>
      <c r="I325" s="1"/>
      <c r="J325" s="2"/>
      <c r="K325" s="1"/>
      <c r="L325" s="1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>
      <c r="A326" s="1"/>
      <c r="B326" s="2"/>
      <c r="C326" s="1"/>
      <c r="D326" s="2"/>
      <c r="E326" s="1"/>
      <c r="F326" s="2"/>
      <c r="G326" s="1"/>
      <c r="H326" s="2"/>
      <c r="I326" s="1"/>
      <c r="J326" s="2"/>
      <c r="K326" s="1"/>
      <c r="L326" s="1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>
      <c r="A327" s="1"/>
      <c r="B327" s="2"/>
      <c r="C327" s="1"/>
      <c r="D327" s="2"/>
      <c r="E327" s="1"/>
      <c r="F327" s="2"/>
      <c r="G327" s="1"/>
      <c r="H327" s="2"/>
      <c r="I327" s="1"/>
      <c r="J327" s="2"/>
      <c r="K327" s="1"/>
      <c r="L327" s="1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>
      <c r="A328" s="1"/>
      <c r="B328" s="2"/>
      <c r="C328" s="1"/>
      <c r="D328" s="2"/>
      <c r="E328" s="1"/>
      <c r="F328" s="2"/>
      <c r="G328" s="1"/>
      <c r="H328" s="2"/>
      <c r="I328" s="1"/>
      <c r="J328" s="2"/>
      <c r="K328" s="1"/>
      <c r="L328" s="1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>
      <c r="A329" s="1"/>
      <c r="B329" s="2"/>
      <c r="C329" s="1"/>
      <c r="D329" s="2"/>
      <c r="E329" s="1"/>
      <c r="F329" s="2"/>
      <c r="G329" s="1"/>
      <c r="H329" s="2"/>
      <c r="I329" s="1"/>
      <c r="J329" s="2"/>
      <c r="K329" s="1"/>
      <c r="L329" s="1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>
      <c r="A330" s="1"/>
      <c r="B330" s="2"/>
      <c r="C330" s="1"/>
      <c r="D330" s="2"/>
      <c r="E330" s="1"/>
      <c r="F330" s="2"/>
      <c r="G330" s="1"/>
      <c r="H330" s="2"/>
      <c r="I330" s="1"/>
      <c r="J330" s="2"/>
      <c r="K330" s="1"/>
      <c r="L330" s="1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>
      <c r="A331" s="1"/>
      <c r="B331" s="2"/>
      <c r="C331" s="1"/>
      <c r="D331" s="2"/>
      <c r="E331" s="1"/>
      <c r="F331" s="2"/>
      <c r="G331" s="1"/>
      <c r="H331" s="2"/>
      <c r="I331" s="1"/>
      <c r="J331" s="2"/>
      <c r="K331" s="1"/>
      <c r="L331" s="1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>
      <c r="A332" s="1"/>
      <c r="B332" s="2"/>
      <c r="C332" s="1"/>
      <c r="D332" s="2"/>
      <c r="E332" s="1"/>
      <c r="F332" s="2"/>
      <c r="G332" s="1"/>
      <c r="H332" s="2"/>
      <c r="I332" s="1"/>
      <c r="J332" s="2"/>
      <c r="K332" s="1"/>
      <c r="L332" s="1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>
      <c r="A333" s="1"/>
      <c r="B333" s="2"/>
      <c r="C333" s="1"/>
      <c r="D333" s="2"/>
      <c r="E333" s="1"/>
      <c r="F333" s="2"/>
      <c r="G333" s="1"/>
      <c r="H333" s="2"/>
      <c r="I333" s="1"/>
      <c r="J333" s="2"/>
      <c r="K333" s="1"/>
      <c r="L333" s="1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>
      <c r="A334" s="1"/>
      <c r="B334" s="2"/>
      <c r="C334" s="1"/>
      <c r="D334" s="2"/>
      <c r="E334" s="1"/>
      <c r="F334" s="2"/>
      <c r="G334" s="1"/>
      <c r="H334" s="2"/>
      <c r="I334" s="1"/>
      <c r="J334" s="2"/>
      <c r="K334" s="1"/>
      <c r="L334" s="1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>
      <c r="A335" s="1"/>
      <c r="B335" s="2"/>
      <c r="C335" s="1"/>
      <c r="D335" s="2"/>
      <c r="E335" s="1"/>
      <c r="F335" s="2"/>
      <c r="G335" s="1"/>
      <c r="H335" s="2"/>
      <c r="I335" s="1"/>
      <c r="J335" s="2"/>
      <c r="K335" s="1"/>
      <c r="L335" s="1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>
      <c r="A336" s="1"/>
      <c r="B336" s="2"/>
      <c r="C336" s="1"/>
      <c r="D336" s="2"/>
      <c r="E336" s="1"/>
      <c r="F336" s="2"/>
      <c r="G336" s="1"/>
      <c r="H336" s="2"/>
      <c r="I336" s="1"/>
      <c r="J336" s="2"/>
      <c r="K336" s="1"/>
      <c r="L336" s="1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>
      <c r="A337" s="1"/>
      <c r="B337" s="2"/>
      <c r="C337" s="1"/>
      <c r="D337" s="2"/>
      <c r="E337" s="1"/>
      <c r="F337" s="2"/>
      <c r="G337" s="1"/>
      <c r="H337" s="2"/>
      <c r="I337" s="1"/>
      <c r="J337" s="2"/>
      <c r="K337" s="1"/>
      <c r="L337" s="1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>
      <c r="A338" s="1"/>
      <c r="B338" s="2"/>
      <c r="C338" s="1"/>
      <c r="D338" s="2"/>
      <c r="E338" s="1"/>
      <c r="F338" s="2"/>
      <c r="G338" s="1"/>
      <c r="H338" s="2"/>
      <c r="I338" s="1"/>
      <c r="J338" s="2"/>
      <c r="K338" s="1"/>
      <c r="L338" s="1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>
      <c r="A339" s="1"/>
      <c r="B339" s="2"/>
      <c r="C339" s="1"/>
      <c r="D339" s="2"/>
      <c r="E339" s="1"/>
      <c r="F339" s="2"/>
      <c r="G339" s="1"/>
      <c r="H339" s="2"/>
      <c r="I339" s="1"/>
      <c r="J339" s="2"/>
      <c r="K339" s="1"/>
      <c r="L339" s="1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>
      <c r="A340" s="1"/>
      <c r="B340" s="2"/>
      <c r="C340" s="1"/>
      <c r="D340" s="2"/>
      <c r="E340" s="1"/>
      <c r="F340" s="2"/>
      <c r="G340" s="1"/>
      <c r="H340" s="2"/>
      <c r="I340" s="1"/>
      <c r="J340" s="2"/>
      <c r="K340" s="1"/>
      <c r="L340" s="1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>
      <c r="A341" s="1"/>
      <c r="B341" s="2"/>
      <c r="C341" s="1"/>
      <c r="D341" s="2"/>
      <c r="E341" s="1"/>
      <c r="F341" s="2"/>
      <c r="G341" s="1"/>
      <c r="H341" s="2"/>
      <c r="I341" s="1"/>
      <c r="J341" s="2"/>
      <c r="K341" s="1"/>
      <c r="L341" s="1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>
      <c r="A342" s="1"/>
      <c r="B342" s="2"/>
      <c r="C342" s="1"/>
      <c r="D342" s="2"/>
      <c r="E342" s="1"/>
      <c r="F342" s="2"/>
      <c r="G342" s="1"/>
      <c r="H342" s="2"/>
      <c r="I342" s="1"/>
      <c r="J342" s="2"/>
      <c r="K342" s="1"/>
      <c r="L342" s="1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>
      <c r="A343" s="1"/>
      <c r="B343" s="2"/>
      <c r="C343" s="1"/>
      <c r="D343" s="2"/>
      <c r="E343" s="1"/>
      <c r="F343" s="2"/>
      <c r="G343" s="1"/>
      <c r="H343" s="2"/>
      <c r="I343" s="1"/>
      <c r="J343" s="2"/>
      <c r="K343" s="1"/>
      <c r="L343" s="1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>
      <c r="A344" s="1"/>
      <c r="B344" s="2"/>
      <c r="C344" s="1"/>
      <c r="D344" s="2"/>
      <c r="E344" s="1"/>
      <c r="F344" s="2"/>
      <c r="G344" s="1"/>
      <c r="H344" s="2"/>
      <c r="I344" s="1"/>
      <c r="J344" s="2"/>
      <c r="K344" s="1"/>
      <c r="L344" s="1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>
      <c r="A345" s="1"/>
      <c r="B345" s="2"/>
      <c r="C345" s="1"/>
      <c r="D345" s="2"/>
      <c r="E345" s="1"/>
      <c r="F345" s="2"/>
      <c r="G345" s="1"/>
      <c r="H345" s="2"/>
      <c r="I345" s="1"/>
      <c r="J345" s="2"/>
      <c r="K345" s="1"/>
      <c r="L345" s="1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>
      <c r="A346" s="1"/>
      <c r="B346" s="2"/>
      <c r="C346" s="1"/>
      <c r="D346" s="2"/>
      <c r="E346" s="1"/>
      <c r="F346" s="2"/>
      <c r="G346" s="1"/>
      <c r="H346" s="2"/>
      <c r="I346" s="1"/>
      <c r="J346" s="2"/>
      <c r="K346" s="1"/>
      <c r="L346" s="1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>
      <c r="A347" s="1"/>
      <c r="B347" s="2"/>
      <c r="C347" s="1"/>
      <c r="D347" s="2"/>
      <c r="E347" s="1"/>
      <c r="F347" s="2"/>
      <c r="G347" s="1"/>
      <c r="H347" s="2"/>
      <c r="I347" s="1"/>
      <c r="J347" s="2"/>
      <c r="K347" s="1"/>
      <c r="L347" s="1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>
      <c r="A348" s="1"/>
      <c r="B348" s="2"/>
      <c r="C348" s="1"/>
      <c r="D348" s="2"/>
      <c r="E348" s="1"/>
      <c r="F348" s="2"/>
      <c r="G348" s="1"/>
      <c r="H348" s="2"/>
      <c r="I348" s="1"/>
      <c r="J348" s="2"/>
      <c r="K348" s="1"/>
      <c r="L348" s="1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>
      <c r="A349" s="1"/>
      <c r="B349" s="2"/>
      <c r="C349" s="1"/>
      <c r="D349" s="2"/>
      <c r="E349" s="1"/>
      <c r="F349" s="2"/>
      <c r="G349" s="1"/>
      <c r="H349" s="2"/>
      <c r="I349" s="1"/>
      <c r="J349" s="2"/>
      <c r="K349" s="1"/>
      <c r="L349" s="1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>
      <c r="A350" s="1"/>
      <c r="B350" s="2"/>
      <c r="C350" s="1"/>
      <c r="D350" s="2"/>
      <c r="E350" s="1"/>
      <c r="F350" s="2"/>
      <c r="G350" s="1"/>
      <c r="H350" s="2"/>
      <c r="I350" s="1"/>
      <c r="J350" s="2"/>
      <c r="K350" s="1"/>
      <c r="L350" s="1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>
      <c r="A351" s="1"/>
      <c r="B351" s="2"/>
      <c r="C351" s="1"/>
      <c r="D351" s="2"/>
      <c r="E351" s="1"/>
      <c r="F351" s="2"/>
      <c r="G351" s="1"/>
      <c r="H351" s="2"/>
      <c r="I351" s="1"/>
      <c r="J351" s="2"/>
      <c r="K351" s="1"/>
      <c r="L351" s="1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>
      <c r="A352" s="1"/>
      <c r="B352" s="2"/>
      <c r="C352" s="1"/>
      <c r="D352" s="2"/>
      <c r="E352" s="1"/>
      <c r="F352" s="2"/>
      <c r="G352" s="1"/>
      <c r="H352" s="2"/>
      <c r="I352" s="1"/>
      <c r="J352" s="2"/>
      <c r="K352" s="1"/>
      <c r="L352" s="1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>
      <c r="A353" s="1"/>
      <c r="B353" s="2"/>
      <c r="C353" s="1"/>
      <c r="D353" s="2"/>
      <c r="E353" s="1"/>
      <c r="F353" s="2"/>
      <c r="G353" s="1"/>
      <c r="H353" s="2"/>
      <c r="I353" s="1"/>
      <c r="J353" s="2"/>
      <c r="K353" s="1"/>
      <c r="L353" s="1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>
      <c r="A354" s="1"/>
      <c r="B354" s="2"/>
      <c r="C354" s="1"/>
      <c r="D354" s="2"/>
      <c r="E354" s="1"/>
      <c r="F354" s="2"/>
      <c r="G354" s="1"/>
      <c r="H354" s="2"/>
      <c r="I354" s="1"/>
      <c r="J354" s="2"/>
      <c r="K354" s="1"/>
      <c r="L354" s="1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>
      <c r="A355" s="1"/>
      <c r="B355" s="2"/>
      <c r="C355" s="1"/>
      <c r="D355" s="2"/>
      <c r="E355" s="1"/>
      <c r="F355" s="2"/>
      <c r="G355" s="1"/>
      <c r="H355" s="2"/>
      <c r="I355" s="1"/>
      <c r="J355" s="2"/>
      <c r="K355" s="1"/>
      <c r="L355" s="1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>
      <c r="A356" s="1"/>
      <c r="B356" s="2"/>
      <c r="C356" s="1"/>
      <c r="D356" s="2"/>
      <c r="E356" s="1"/>
      <c r="F356" s="2"/>
      <c r="G356" s="1"/>
      <c r="H356" s="2"/>
      <c r="I356" s="1"/>
      <c r="J356" s="2"/>
      <c r="K356" s="1"/>
      <c r="L356" s="1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>
      <c r="A357" s="1"/>
      <c r="B357" s="2"/>
      <c r="C357" s="1"/>
      <c r="D357" s="2"/>
      <c r="E357" s="1"/>
      <c r="F357" s="2"/>
      <c r="G357" s="1"/>
      <c r="H357" s="2"/>
      <c r="I357" s="1"/>
      <c r="J357" s="2"/>
      <c r="K357" s="1"/>
      <c r="L357" s="1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>
      <c r="A358" s="1"/>
      <c r="B358" s="2"/>
      <c r="C358" s="1"/>
      <c r="D358" s="2"/>
      <c r="E358" s="1"/>
      <c r="F358" s="2"/>
      <c r="G358" s="1"/>
      <c r="H358" s="2"/>
      <c r="I358" s="1"/>
      <c r="J358" s="2"/>
      <c r="K358" s="1"/>
      <c r="L358" s="1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>
      <c r="A359" s="1"/>
      <c r="B359" s="2"/>
      <c r="C359" s="1"/>
      <c r="D359" s="2"/>
      <c r="E359" s="1"/>
      <c r="F359" s="2"/>
      <c r="G359" s="1"/>
      <c r="H359" s="2"/>
      <c r="I359" s="1"/>
      <c r="J359" s="2"/>
      <c r="K359" s="1"/>
      <c r="L359" s="1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>
      <c r="A360" s="1"/>
      <c r="B360" s="2"/>
      <c r="C360" s="1"/>
      <c r="D360" s="2"/>
      <c r="E360" s="1"/>
      <c r="F360" s="2"/>
      <c r="G360" s="1"/>
      <c r="H360" s="2"/>
      <c r="I360" s="1"/>
      <c r="J360" s="2"/>
      <c r="K360" s="1"/>
      <c r="L360" s="1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>
      <c r="A361" s="1"/>
      <c r="B361" s="2"/>
      <c r="C361" s="1"/>
      <c r="D361" s="2"/>
      <c r="E361" s="1"/>
      <c r="F361" s="2"/>
      <c r="G361" s="1"/>
      <c r="H361" s="2"/>
      <c r="I361" s="1"/>
      <c r="J361" s="2"/>
      <c r="K361" s="1"/>
      <c r="L361" s="1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>
      <c r="A362" s="1"/>
      <c r="B362" s="2"/>
      <c r="C362" s="1"/>
      <c r="D362" s="2"/>
      <c r="E362" s="1"/>
      <c r="F362" s="2"/>
      <c r="G362" s="1"/>
      <c r="H362" s="2"/>
      <c r="I362" s="1"/>
      <c r="J362" s="2"/>
      <c r="K362" s="1"/>
      <c r="L362" s="1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>
      <c r="A363" s="1"/>
      <c r="B363" s="2"/>
      <c r="C363" s="1"/>
      <c r="D363" s="2"/>
      <c r="E363" s="1"/>
      <c r="F363" s="2"/>
      <c r="G363" s="1"/>
      <c r="H363" s="2"/>
      <c r="I363" s="1"/>
      <c r="J363" s="2"/>
      <c r="K363" s="1"/>
      <c r="L363" s="1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>
      <c r="A364" s="1"/>
      <c r="B364" s="2"/>
      <c r="C364" s="1"/>
      <c r="D364" s="2"/>
      <c r="E364" s="1"/>
      <c r="F364" s="2"/>
      <c r="G364" s="1"/>
      <c r="H364" s="2"/>
      <c r="I364" s="1"/>
      <c r="J364" s="2"/>
      <c r="K364" s="1"/>
      <c r="L364" s="1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>
      <c r="A365" s="1"/>
      <c r="B365" s="2"/>
      <c r="C365" s="1"/>
      <c r="D365" s="2"/>
      <c r="E365" s="1"/>
      <c r="F365" s="2"/>
      <c r="G365" s="1"/>
      <c r="H365" s="2"/>
      <c r="I365" s="1"/>
      <c r="J365" s="2"/>
      <c r="K365" s="1"/>
      <c r="L365" s="1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>
      <c r="A366" s="1"/>
      <c r="B366" s="2"/>
      <c r="C366" s="1"/>
      <c r="D366" s="2"/>
      <c r="E366" s="1"/>
      <c r="F366" s="2"/>
      <c r="G366" s="1"/>
      <c r="H366" s="2"/>
      <c r="I366" s="1"/>
      <c r="J366" s="2"/>
      <c r="K366" s="1"/>
      <c r="L366" s="1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>
      <c r="A367" s="1"/>
      <c r="B367" s="2"/>
      <c r="C367" s="1"/>
      <c r="D367" s="2"/>
      <c r="E367" s="1"/>
      <c r="F367" s="2"/>
      <c r="G367" s="1"/>
      <c r="H367" s="2"/>
      <c r="I367" s="1"/>
      <c r="J367" s="2"/>
      <c r="K367" s="1"/>
      <c r="L367" s="1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>
      <c r="A368" s="1"/>
      <c r="B368" s="2"/>
      <c r="C368" s="1"/>
      <c r="D368" s="2"/>
      <c r="E368" s="1"/>
      <c r="F368" s="2"/>
      <c r="G368" s="1"/>
      <c r="H368" s="2"/>
      <c r="I368" s="1"/>
      <c r="J368" s="2"/>
      <c r="K368" s="1"/>
      <c r="L368" s="1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>
      <c r="A369" s="1"/>
      <c r="B369" s="2"/>
      <c r="C369" s="1"/>
      <c r="D369" s="2"/>
      <c r="E369" s="1"/>
      <c r="F369" s="2"/>
      <c r="G369" s="1"/>
      <c r="H369" s="2"/>
      <c r="I369" s="1"/>
      <c r="J369" s="2"/>
      <c r="K369" s="1"/>
      <c r="L369" s="1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>
      <c r="A370" s="1"/>
      <c r="B370" s="2"/>
      <c r="C370" s="1"/>
      <c r="D370" s="2"/>
      <c r="E370" s="1"/>
      <c r="F370" s="2"/>
      <c r="G370" s="1"/>
      <c r="H370" s="2"/>
      <c r="I370" s="1"/>
      <c r="J370" s="2"/>
      <c r="K370" s="1"/>
      <c r="L370" s="1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>
      <c r="A371" s="1"/>
      <c r="B371" s="2"/>
      <c r="C371" s="1"/>
      <c r="D371" s="2"/>
      <c r="E371" s="1"/>
      <c r="F371" s="2"/>
      <c r="G371" s="1"/>
      <c r="H371" s="2"/>
      <c r="I371" s="1"/>
      <c r="J371" s="2"/>
      <c r="K371" s="1"/>
      <c r="L371" s="1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>
      <c r="A372" s="1"/>
      <c r="B372" s="2"/>
      <c r="C372" s="1"/>
      <c r="D372" s="2"/>
      <c r="E372" s="1"/>
      <c r="F372" s="2"/>
      <c r="G372" s="1"/>
      <c r="H372" s="2"/>
      <c r="I372" s="1"/>
      <c r="J372" s="2"/>
      <c r="K372" s="1"/>
      <c r="L372" s="1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>
      <c r="A373" s="1"/>
      <c r="B373" s="2"/>
      <c r="C373" s="1"/>
      <c r="D373" s="2"/>
      <c r="E373" s="1"/>
      <c r="F373" s="2"/>
      <c r="G373" s="1"/>
      <c r="H373" s="2"/>
      <c r="I373" s="1"/>
      <c r="J373" s="2"/>
      <c r="K373" s="1"/>
      <c r="L373" s="1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>
      <c r="A374" s="1"/>
      <c r="B374" s="2"/>
      <c r="C374" s="1"/>
      <c r="D374" s="2"/>
      <c r="E374" s="1"/>
      <c r="F374" s="2"/>
      <c r="G374" s="1"/>
      <c r="H374" s="2"/>
      <c r="I374" s="1"/>
      <c r="J374" s="2"/>
      <c r="K374" s="1"/>
      <c r="L374" s="1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>
      <c r="A375" s="1"/>
      <c r="B375" s="2"/>
      <c r="C375" s="1"/>
      <c r="D375" s="2"/>
      <c r="E375" s="1"/>
      <c r="F375" s="2"/>
      <c r="G375" s="1"/>
      <c r="H375" s="2"/>
      <c r="I375" s="1"/>
      <c r="J375" s="2"/>
      <c r="K375" s="1"/>
      <c r="L375" s="1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>
      <c r="A376" s="1"/>
      <c r="B376" s="2"/>
      <c r="C376" s="1"/>
      <c r="D376" s="2"/>
      <c r="E376" s="1"/>
      <c r="F376" s="2"/>
      <c r="G376" s="1"/>
      <c r="H376" s="2"/>
      <c r="I376" s="1"/>
      <c r="J376" s="2"/>
      <c r="K376" s="1"/>
      <c r="L376" s="1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>
      <c r="A377" s="1"/>
      <c r="B377" s="2"/>
      <c r="C377" s="1"/>
      <c r="D377" s="2"/>
      <c r="E377" s="1"/>
      <c r="F377" s="2"/>
      <c r="G377" s="1"/>
      <c r="H377" s="2"/>
      <c r="I377" s="1"/>
      <c r="J377" s="2"/>
      <c r="K377" s="1"/>
      <c r="L377" s="1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>
      <c r="A378" s="1"/>
      <c r="B378" s="2"/>
      <c r="C378" s="1"/>
      <c r="D378" s="2"/>
      <c r="E378" s="1"/>
      <c r="F378" s="2"/>
      <c r="G378" s="1"/>
      <c r="H378" s="2"/>
      <c r="I378" s="1"/>
      <c r="J378" s="2"/>
      <c r="K378" s="1"/>
      <c r="L378" s="1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>
      <c r="A379" s="1"/>
      <c r="B379" s="2"/>
      <c r="C379" s="1"/>
      <c r="D379" s="2"/>
      <c r="E379" s="1"/>
      <c r="F379" s="2"/>
      <c r="G379" s="1"/>
      <c r="H379" s="2"/>
      <c r="I379" s="1"/>
      <c r="J379" s="2"/>
      <c r="K379" s="1"/>
      <c r="L379" s="1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>
      <c r="A380" s="1"/>
      <c r="B380" s="2"/>
      <c r="C380" s="1"/>
      <c r="D380" s="2"/>
      <c r="E380" s="1"/>
      <c r="F380" s="2"/>
      <c r="G380" s="1"/>
      <c r="H380" s="2"/>
      <c r="I380" s="1"/>
      <c r="J380" s="2"/>
      <c r="K380" s="1"/>
      <c r="L380" s="1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>
      <c r="A381" s="1"/>
      <c r="B381" s="2"/>
      <c r="C381" s="1"/>
      <c r="D381" s="2"/>
      <c r="E381" s="1"/>
      <c r="F381" s="2"/>
      <c r="G381" s="1"/>
      <c r="H381" s="2"/>
      <c r="I381" s="1"/>
      <c r="J381" s="2"/>
      <c r="K381" s="1"/>
      <c r="L381" s="1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>
      <c r="A382" s="1"/>
      <c r="B382" s="2"/>
      <c r="C382" s="1"/>
      <c r="D382" s="2"/>
      <c r="E382" s="1"/>
      <c r="F382" s="2"/>
      <c r="G382" s="1"/>
      <c r="H382" s="2"/>
      <c r="I382" s="1"/>
      <c r="J382" s="2"/>
      <c r="K382" s="1"/>
      <c r="L382" s="1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>
      <c r="A383" s="1"/>
      <c r="B383" s="2"/>
      <c r="C383" s="1"/>
      <c r="D383" s="2"/>
      <c r="E383" s="1"/>
      <c r="F383" s="2"/>
      <c r="G383" s="1"/>
      <c r="H383" s="2"/>
      <c r="I383" s="1"/>
      <c r="J383" s="2"/>
      <c r="K383" s="1"/>
      <c r="L383" s="1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>
      <c r="A384" s="1"/>
      <c r="B384" s="2"/>
      <c r="C384" s="1"/>
      <c r="D384" s="2"/>
      <c r="E384" s="1"/>
      <c r="F384" s="2"/>
      <c r="G384" s="1"/>
      <c r="H384" s="2"/>
      <c r="I384" s="1"/>
      <c r="J384" s="2"/>
      <c r="K384" s="1"/>
      <c r="L384" s="1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>
      <c r="A385" s="1"/>
      <c r="B385" s="2"/>
      <c r="C385" s="1"/>
      <c r="D385" s="2"/>
      <c r="E385" s="1"/>
      <c r="F385" s="2"/>
      <c r="G385" s="1"/>
      <c r="H385" s="2"/>
      <c r="I385" s="1"/>
      <c r="J385" s="2"/>
      <c r="K385" s="1"/>
      <c r="L385" s="1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>
      <c r="A386" s="1"/>
      <c r="B386" s="2"/>
      <c r="C386" s="1"/>
      <c r="D386" s="2"/>
      <c r="E386" s="1"/>
      <c r="F386" s="2"/>
      <c r="G386" s="1"/>
      <c r="H386" s="2"/>
      <c r="I386" s="1"/>
      <c r="J386" s="2"/>
      <c r="K386" s="1"/>
      <c r="L386" s="1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>
      <c r="A387" s="1"/>
      <c r="B387" s="2"/>
      <c r="C387" s="1"/>
      <c r="D387" s="2"/>
      <c r="E387" s="1"/>
      <c r="F387" s="2"/>
      <c r="G387" s="1"/>
      <c r="H387" s="2"/>
      <c r="I387" s="1"/>
      <c r="J387" s="2"/>
      <c r="K387" s="1"/>
      <c r="L387" s="1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>
      <c r="A388" s="1"/>
      <c r="B388" s="2"/>
      <c r="C388" s="1"/>
      <c r="D388" s="2"/>
      <c r="E388" s="1"/>
      <c r="F388" s="2"/>
      <c r="G388" s="1"/>
      <c r="H388" s="2"/>
      <c r="I388" s="1"/>
      <c r="J388" s="2"/>
      <c r="K388" s="1"/>
      <c r="L388" s="1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>
      <c r="A389" s="1"/>
      <c r="B389" s="2"/>
      <c r="C389" s="1"/>
      <c r="D389" s="2"/>
      <c r="E389" s="1"/>
      <c r="F389" s="2"/>
      <c r="G389" s="1"/>
      <c r="H389" s="2"/>
      <c r="I389" s="1"/>
      <c r="J389" s="2"/>
      <c r="K389" s="1"/>
      <c r="L389" s="1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>
      <c r="A390" s="1"/>
      <c r="B390" s="2"/>
      <c r="C390" s="1"/>
      <c r="D390" s="2"/>
      <c r="E390" s="1"/>
      <c r="F390" s="2"/>
      <c r="G390" s="1"/>
      <c r="H390" s="2"/>
      <c r="I390" s="1"/>
      <c r="J390" s="2"/>
      <c r="K390" s="1"/>
      <c r="L390" s="1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>
      <c r="A391" s="1"/>
      <c r="B391" s="2"/>
      <c r="C391" s="1"/>
      <c r="D391" s="2"/>
      <c r="E391" s="1"/>
      <c r="F391" s="2"/>
      <c r="G391" s="1"/>
      <c r="H391" s="2"/>
      <c r="I391" s="1"/>
      <c r="J391" s="2"/>
      <c r="K391" s="1"/>
      <c r="L391" s="1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>
      <c r="A392" s="1"/>
      <c r="B392" s="2"/>
      <c r="C392" s="1"/>
      <c r="D392" s="2"/>
      <c r="E392" s="1"/>
      <c r="F392" s="2"/>
      <c r="G392" s="1"/>
      <c r="H392" s="2"/>
      <c r="I392" s="1"/>
      <c r="J392" s="2"/>
      <c r="K392" s="1"/>
      <c r="L392" s="1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>
      <c r="A393" s="1"/>
      <c r="B393" s="2"/>
      <c r="C393" s="1"/>
      <c r="D393" s="2"/>
      <c r="E393" s="1"/>
      <c r="F393" s="2"/>
      <c r="G393" s="1"/>
      <c r="H393" s="2"/>
      <c r="I393" s="1"/>
      <c r="J393" s="2"/>
      <c r="K393" s="1"/>
      <c r="L393" s="1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>
      <c r="A394" s="1"/>
      <c r="B394" s="2"/>
      <c r="C394" s="1"/>
      <c r="D394" s="2"/>
      <c r="E394" s="1"/>
      <c r="F394" s="2"/>
      <c r="G394" s="1"/>
      <c r="H394" s="2"/>
      <c r="I394" s="1"/>
      <c r="J394" s="2"/>
      <c r="K394" s="1"/>
      <c r="L394" s="1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>
      <c r="A395" s="1"/>
      <c r="B395" s="2"/>
      <c r="C395" s="1"/>
      <c r="D395" s="2"/>
      <c r="E395" s="1"/>
      <c r="F395" s="2"/>
      <c r="G395" s="1"/>
      <c r="H395" s="2"/>
      <c r="I395" s="1"/>
      <c r="J395" s="2"/>
      <c r="K395" s="1"/>
      <c r="L395" s="1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>
      <c r="A396" s="1"/>
      <c r="B396" s="2"/>
      <c r="C396" s="1"/>
      <c r="D396" s="2"/>
      <c r="E396" s="1"/>
      <c r="F396" s="2"/>
      <c r="G396" s="1"/>
      <c r="H396" s="2"/>
      <c r="I396" s="1"/>
      <c r="J396" s="2"/>
      <c r="K396" s="1"/>
      <c r="L396" s="1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>
      <c r="A397" s="1"/>
      <c r="B397" s="2"/>
      <c r="C397" s="1"/>
      <c r="D397" s="2"/>
      <c r="E397" s="1"/>
      <c r="F397" s="2"/>
      <c r="G397" s="1"/>
      <c r="H397" s="2"/>
      <c r="I397" s="1"/>
      <c r="J397" s="2"/>
      <c r="K397" s="1"/>
      <c r="L397" s="1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>
      <c r="A398" s="1"/>
      <c r="B398" s="2"/>
      <c r="C398" s="1"/>
      <c r="D398" s="2"/>
      <c r="E398" s="1"/>
      <c r="F398" s="2"/>
      <c r="G398" s="1"/>
      <c r="H398" s="2"/>
      <c r="I398" s="1"/>
      <c r="J398" s="2"/>
      <c r="K398" s="1"/>
      <c r="L398" s="1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>
      <c r="A399" s="1"/>
      <c r="B399" s="2"/>
      <c r="C399" s="1"/>
      <c r="D399" s="2"/>
      <c r="E399" s="1"/>
      <c r="F399" s="2"/>
      <c r="G399" s="1"/>
      <c r="H399" s="2"/>
      <c r="I399" s="1"/>
      <c r="J399" s="2"/>
      <c r="K399" s="1"/>
      <c r="L399" s="1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>
      <c r="A400" s="1"/>
      <c r="B400" s="2"/>
      <c r="C400" s="1"/>
      <c r="D400" s="2"/>
      <c r="E400" s="1"/>
      <c r="F400" s="2"/>
      <c r="G400" s="1"/>
      <c r="H400" s="2"/>
      <c r="I400" s="1"/>
      <c r="J400" s="2"/>
      <c r="K400" s="1"/>
      <c r="L400" s="1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>
      <c r="A401" s="1"/>
      <c r="B401" s="2"/>
      <c r="C401" s="1"/>
      <c r="D401" s="2"/>
      <c r="E401" s="1"/>
      <c r="F401" s="2"/>
      <c r="G401" s="1"/>
      <c r="H401" s="2"/>
      <c r="I401" s="1"/>
      <c r="J401" s="2"/>
      <c r="K401" s="1"/>
      <c r="L401" s="1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>
      <c r="A402" s="1"/>
      <c r="B402" s="2"/>
      <c r="C402" s="1"/>
      <c r="D402" s="2"/>
      <c r="E402" s="1"/>
      <c r="F402" s="2"/>
      <c r="G402" s="1"/>
      <c r="H402" s="2"/>
      <c r="I402" s="1"/>
      <c r="J402" s="2"/>
      <c r="K402" s="1"/>
      <c r="L402" s="1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>
      <c r="A403" s="1"/>
      <c r="B403" s="2"/>
      <c r="C403" s="1"/>
      <c r="D403" s="2"/>
      <c r="E403" s="1"/>
      <c r="F403" s="2"/>
      <c r="G403" s="1"/>
      <c r="H403" s="2"/>
      <c r="I403" s="1"/>
      <c r="J403" s="2"/>
      <c r="K403" s="1"/>
      <c r="L403" s="1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>
      <c r="A404" s="1"/>
      <c r="B404" s="2"/>
      <c r="C404" s="1"/>
      <c r="D404" s="2"/>
      <c r="E404" s="1"/>
      <c r="F404" s="2"/>
      <c r="G404" s="1"/>
      <c r="H404" s="2"/>
      <c r="I404" s="1"/>
      <c r="J404" s="2"/>
      <c r="K404" s="1"/>
      <c r="L404" s="1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>
      <c r="A405" s="1"/>
      <c r="B405" s="2"/>
      <c r="C405" s="1"/>
      <c r="D405" s="2"/>
      <c r="E405" s="1"/>
      <c r="F405" s="2"/>
      <c r="G405" s="1"/>
      <c r="H405" s="2"/>
      <c r="I405" s="1"/>
      <c r="J405" s="2"/>
      <c r="K405" s="1"/>
      <c r="L405" s="1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>
      <c r="A406" s="1"/>
      <c r="B406" s="2"/>
      <c r="C406" s="1"/>
      <c r="D406" s="2"/>
      <c r="E406" s="1"/>
      <c r="F406" s="2"/>
      <c r="G406" s="1"/>
      <c r="H406" s="2"/>
      <c r="I406" s="1"/>
      <c r="J406" s="2"/>
      <c r="K406" s="1"/>
      <c r="L406" s="1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>
      <c r="A407" s="1"/>
      <c r="B407" s="2"/>
      <c r="C407" s="1"/>
      <c r="D407" s="2"/>
      <c r="E407" s="1"/>
      <c r="F407" s="2"/>
      <c r="G407" s="1"/>
      <c r="H407" s="2"/>
      <c r="I407" s="1"/>
      <c r="J407" s="2"/>
      <c r="K407" s="1"/>
      <c r="L407" s="1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>
      <c r="A408" s="1"/>
      <c r="B408" s="2"/>
      <c r="C408" s="1"/>
      <c r="D408" s="2"/>
      <c r="E408" s="1"/>
      <c r="F408" s="2"/>
      <c r="G408" s="1"/>
      <c r="H408" s="2"/>
      <c r="I408" s="1"/>
      <c r="J408" s="2"/>
      <c r="K408" s="1"/>
      <c r="L408" s="1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>
      <c r="A409" s="1"/>
      <c r="B409" s="2"/>
      <c r="C409" s="1"/>
      <c r="D409" s="2"/>
      <c r="E409" s="1"/>
      <c r="F409" s="2"/>
      <c r="G409" s="1"/>
      <c r="H409" s="2"/>
      <c r="I409" s="1"/>
      <c r="J409" s="2"/>
      <c r="K409" s="1"/>
      <c r="L409" s="1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>
      <c r="A410" s="1"/>
      <c r="B410" s="2"/>
      <c r="C410" s="1"/>
      <c r="D410" s="2"/>
      <c r="E410" s="1"/>
      <c r="F410" s="2"/>
      <c r="G410" s="1"/>
      <c r="H410" s="2"/>
      <c r="I410" s="1"/>
      <c r="J410" s="2"/>
      <c r="K410" s="1"/>
      <c r="L410" s="1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>
      <c r="A411" s="1"/>
      <c r="B411" s="2"/>
      <c r="C411" s="1"/>
      <c r="D411" s="2"/>
      <c r="E411" s="1"/>
      <c r="F411" s="2"/>
      <c r="G411" s="1"/>
      <c r="H411" s="2"/>
      <c r="I411" s="1"/>
      <c r="J411" s="2"/>
      <c r="K411" s="1"/>
      <c r="L411" s="1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>
      <c r="A412" s="1"/>
      <c r="B412" s="2"/>
      <c r="C412" s="1"/>
      <c r="D412" s="2"/>
      <c r="E412" s="1"/>
      <c r="F412" s="2"/>
      <c r="G412" s="1"/>
      <c r="H412" s="2"/>
      <c r="I412" s="1"/>
      <c r="J412" s="2"/>
      <c r="K412" s="1"/>
      <c r="L412" s="1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>
      <c r="A413" s="1"/>
      <c r="B413" s="2"/>
      <c r="C413" s="1"/>
      <c r="D413" s="2"/>
      <c r="E413" s="1"/>
      <c r="F413" s="2"/>
      <c r="G413" s="1"/>
      <c r="H413" s="2"/>
      <c r="I413" s="1"/>
      <c r="J413" s="2"/>
      <c r="K413" s="1"/>
      <c r="L413" s="1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>
      <c r="A414" s="1"/>
      <c r="B414" s="2"/>
      <c r="C414" s="1"/>
      <c r="D414" s="2"/>
      <c r="E414" s="1"/>
      <c r="F414" s="2"/>
      <c r="G414" s="1"/>
      <c r="H414" s="2"/>
      <c r="I414" s="1"/>
      <c r="J414" s="2"/>
      <c r="K414" s="1"/>
      <c r="L414" s="1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>
      <c r="A415" s="1"/>
      <c r="B415" s="2"/>
      <c r="C415" s="1"/>
      <c r="D415" s="2"/>
      <c r="E415" s="1"/>
      <c r="F415" s="2"/>
      <c r="G415" s="1"/>
      <c r="H415" s="2"/>
      <c r="I415" s="1"/>
      <c r="J415" s="2"/>
      <c r="K415" s="1"/>
      <c r="L415" s="1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>
      <c r="A416" s="1"/>
      <c r="B416" s="2"/>
      <c r="C416" s="1"/>
      <c r="D416" s="2"/>
      <c r="E416" s="1"/>
      <c r="F416" s="2"/>
      <c r="G416" s="1"/>
      <c r="H416" s="2"/>
      <c r="I416" s="1"/>
      <c r="J416" s="2"/>
      <c r="K416" s="1"/>
      <c r="L416" s="1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>
      <c r="A417" s="1"/>
      <c r="B417" s="2"/>
      <c r="C417" s="1"/>
      <c r="D417" s="2"/>
      <c r="E417" s="1"/>
      <c r="F417" s="2"/>
      <c r="G417" s="1"/>
      <c r="H417" s="2"/>
      <c r="I417" s="1"/>
      <c r="J417" s="2"/>
      <c r="K417" s="1"/>
      <c r="L417" s="1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>
      <c r="A418" s="1"/>
      <c r="B418" s="2"/>
      <c r="C418" s="1"/>
      <c r="D418" s="2"/>
      <c r="E418" s="1"/>
      <c r="F418" s="2"/>
      <c r="G418" s="1"/>
      <c r="H418" s="2"/>
      <c r="I418" s="1"/>
      <c r="J418" s="2"/>
      <c r="K418" s="1"/>
      <c r="L418" s="1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>
      <c r="A419" s="1"/>
      <c r="B419" s="2"/>
      <c r="C419" s="1"/>
      <c r="D419" s="2"/>
      <c r="E419" s="1"/>
      <c r="F419" s="2"/>
      <c r="G419" s="1"/>
      <c r="H419" s="2"/>
      <c r="I419" s="1"/>
      <c r="J419" s="2"/>
      <c r="K419" s="1"/>
      <c r="L419" s="1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>
      <c r="A420" s="1"/>
      <c r="B420" s="2"/>
      <c r="C420" s="1"/>
      <c r="D420" s="2"/>
      <c r="E420" s="1"/>
      <c r="F420" s="2"/>
      <c r="G420" s="1"/>
      <c r="H420" s="2"/>
      <c r="I420" s="1"/>
      <c r="J420" s="2"/>
      <c r="K420" s="1"/>
      <c r="L420" s="1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>
      <c r="A421" s="1"/>
      <c r="B421" s="2"/>
      <c r="C421" s="1"/>
      <c r="D421" s="2"/>
      <c r="E421" s="1"/>
      <c r="F421" s="2"/>
      <c r="G421" s="1"/>
      <c r="H421" s="2"/>
      <c r="I421" s="1"/>
      <c r="J421" s="2"/>
      <c r="K421" s="1"/>
      <c r="L421" s="1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>
      <c r="A422" s="1"/>
      <c r="B422" s="2"/>
      <c r="C422" s="1"/>
      <c r="D422" s="2"/>
      <c r="E422" s="1"/>
      <c r="F422" s="2"/>
      <c r="G422" s="1"/>
      <c r="H422" s="2"/>
      <c r="I422" s="1"/>
      <c r="J422" s="2"/>
      <c r="K422" s="1"/>
      <c r="L422" s="1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>
      <c r="A423" s="1"/>
      <c r="B423" s="2"/>
      <c r="C423" s="1"/>
      <c r="D423" s="2"/>
      <c r="E423" s="1"/>
      <c r="F423" s="2"/>
      <c r="G423" s="1"/>
      <c r="H423" s="2"/>
      <c r="I423" s="1"/>
      <c r="J423" s="2"/>
      <c r="K423" s="1"/>
      <c r="L423" s="1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>
      <c r="A424" s="1"/>
      <c r="B424" s="2"/>
      <c r="C424" s="1"/>
      <c r="D424" s="2"/>
      <c r="E424" s="1"/>
      <c r="F424" s="2"/>
      <c r="G424" s="1"/>
      <c r="H424" s="2"/>
      <c r="I424" s="1"/>
      <c r="J424" s="2"/>
      <c r="K424" s="1"/>
      <c r="L424" s="1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>
      <c r="A425" s="1"/>
      <c r="B425" s="2"/>
      <c r="C425" s="1"/>
      <c r="D425" s="2"/>
      <c r="E425" s="1"/>
      <c r="F425" s="2"/>
      <c r="G425" s="1"/>
      <c r="H425" s="2"/>
      <c r="I425" s="1"/>
      <c r="J425" s="2"/>
      <c r="K425" s="1"/>
      <c r="L425" s="1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>
      <c r="A426" s="1"/>
      <c r="B426" s="2"/>
      <c r="C426" s="1"/>
      <c r="D426" s="2"/>
      <c r="E426" s="1"/>
      <c r="F426" s="2"/>
      <c r="G426" s="1"/>
      <c r="H426" s="2"/>
      <c r="I426" s="1"/>
      <c r="J426" s="2"/>
      <c r="K426" s="1"/>
      <c r="L426" s="1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>
      <c r="A427" s="1"/>
      <c r="B427" s="2"/>
      <c r="C427" s="1"/>
      <c r="D427" s="2"/>
      <c r="E427" s="1"/>
      <c r="F427" s="2"/>
      <c r="G427" s="1"/>
      <c r="H427" s="2"/>
      <c r="I427" s="1"/>
      <c r="J427" s="2"/>
      <c r="K427" s="1"/>
      <c r="L427" s="1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>
      <c r="A428" s="1"/>
      <c r="B428" s="2"/>
      <c r="C428" s="1"/>
      <c r="D428" s="2"/>
      <c r="E428" s="1"/>
      <c r="F428" s="2"/>
      <c r="G428" s="1"/>
      <c r="H428" s="2"/>
      <c r="I428" s="1"/>
      <c r="J428" s="2"/>
      <c r="K428" s="1"/>
      <c r="L428" s="1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>
      <c r="A429" s="1"/>
      <c r="B429" s="2"/>
      <c r="C429" s="1"/>
      <c r="D429" s="2"/>
      <c r="E429" s="1"/>
      <c r="F429" s="2"/>
      <c r="G429" s="1"/>
      <c r="H429" s="2"/>
      <c r="I429" s="1"/>
      <c r="J429" s="2"/>
      <c r="K429" s="1"/>
      <c r="L429" s="1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>
      <c r="A430" s="1"/>
      <c r="B430" s="2"/>
      <c r="C430" s="1"/>
      <c r="D430" s="2"/>
      <c r="E430" s="1"/>
      <c r="F430" s="2"/>
      <c r="G430" s="1"/>
      <c r="H430" s="2"/>
      <c r="I430" s="1"/>
      <c r="J430" s="2"/>
      <c r="K430" s="1"/>
      <c r="L430" s="1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>
      <c r="A431" s="1"/>
      <c r="B431" s="2"/>
      <c r="C431" s="1"/>
      <c r="D431" s="2"/>
      <c r="E431" s="1"/>
      <c r="F431" s="2"/>
      <c r="G431" s="1"/>
      <c r="H431" s="2"/>
      <c r="I431" s="1"/>
      <c r="J431" s="2"/>
      <c r="K431" s="1"/>
      <c r="L431" s="1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>
      <c r="A432" s="1"/>
      <c r="B432" s="2"/>
      <c r="C432" s="1"/>
      <c r="D432" s="2"/>
      <c r="E432" s="1"/>
      <c r="F432" s="2"/>
      <c r="G432" s="1"/>
      <c r="H432" s="2"/>
      <c r="I432" s="1"/>
      <c r="J432" s="2"/>
      <c r="K432" s="1"/>
      <c r="L432" s="1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>
      <c r="A433" s="1"/>
      <c r="B433" s="2"/>
      <c r="C433" s="1"/>
      <c r="D433" s="2"/>
      <c r="E433" s="1"/>
      <c r="F433" s="2"/>
      <c r="G433" s="1"/>
      <c r="H433" s="2"/>
      <c r="I433" s="1"/>
      <c r="J433" s="2"/>
      <c r="K433" s="1"/>
      <c r="L433" s="1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>
      <c r="A434" s="1"/>
      <c r="B434" s="2"/>
      <c r="C434" s="1"/>
      <c r="D434" s="2"/>
      <c r="E434" s="1"/>
      <c r="F434" s="2"/>
      <c r="G434" s="1"/>
      <c r="H434" s="2"/>
      <c r="I434" s="1"/>
      <c r="J434" s="2"/>
      <c r="K434" s="1"/>
      <c r="L434" s="1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>
      <c r="A435" s="1"/>
      <c r="B435" s="2"/>
      <c r="C435" s="1"/>
      <c r="D435" s="2"/>
      <c r="E435" s="1"/>
      <c r="F435" s="2"/>
      <c r="G435" s="1"/>
      <c r="H435" s="2"/>
      <c r="I435" s="1"/>
      <c r="J435" s="2"/>
      <c r="K435" s="1"/>
      <c r="L435" s="1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>
      <c r="A436" s="1"/>
      <c r="B436" s="2"/>
      <c r="C436" s="1"/>
      <c r="D436" s="2"/>
      <c r="E436" s="1"/>
      <c r="F436" s="2"/>
      <c r="G436" s="1"/>
      <c r="H436" s="2"/>
      <c r="I436" s="1"/>
      <c r="J436" s="2"/>
      <c r="K436" s="1"/>
      <c r="L436" s="1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>
      <c r="A437" s="1"/>
      <c r="B437" s="2"/>
      <c r="C437" s="1"/>
      <c r="D437" s="2"/>
      <c r="E437" s="1"/>
      <c r="F437" s="2"/>
      <c r="G437" s="1"/>
      <c r="H437" s="2"/>
      <c r="I437" s="1"/>
      <c r="J437" s="2"/>
      <c r="K437" s="1"/>
      <c r="L437" s="1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>
      <c r="A438" s="1"/>
      <c r="B438" s="2"/>
      <c r="C438" s="1"/>
      <c r="D438" s="2"/>
      <c r="E438" s="1"/>
      <c r="F438" s="2"/>
      <c r="G438" s="1"/>
      <c r="H438" s="2"/>
      <c r="I438" s="1"/>
      <c r="J438" s="2"/>
      <c r="K438" s="1"/>
      <c r="L438" s="1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>
      <c r="A439" s="1"/>
      <c r="B439" s="2"/>
      <c r="C439" s="1"/>
      <c r="D439" s="2"/>
      <c r="E439" s="1"/>
      <c r="F439" s="2"/>
      <c r="G439" s="1"/>
      <c r="H439" s="2"/>
      <c r="I439" s="1"/>
      <c r="J439" s="2"/>
      <c r="K439" s="1"/>
      <c r="L439" s="1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>
      <c r="A440" s="1"/>
      <c r="B440" s="2"/>
      <c r="C440" s="1"/>
      <c r="D440" s="2"/>
      <c r="E440" s="1"/>
      <c r="F440" s="2"/>
      <c r="G440" s="1"/>
      <c r="H440" s="2"/>
      <c r="I440" s="1"/>
      <c r="J440" s="2"/>
      <c r="K440" s="1"/>
      <c r="L440" s="1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>
      <c r="A441" s="1"/>
      <c r="B441" s="2"/>
      <c r="C441" s="1"/>
      <c r="D441" s="2"/>
      <c r="E441" s="1"/>
      <c r="F441" s="2"/>
      <c r="G441" s="1"/>
      <c r="H441" s="2"/>
      <c r="I441" s="1"/>
      <c r="J441" s="2"/>
      <c r="K441" s="1"/>
      <c r="L441" s="1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>
      <c r="A442" s="1"/>
      <c r="B442" s="2"/>
      <c r="C442" s="1"/>
      <c r="D442" s="2"/>
      <c r="E442" s="1"/>
      <c r="F442" s="2"/>
      <c r="G442" s="1"/>
      <c r="H442" s="2"/>
      <c r="I442" s="1"/>
      <c r="J442" s="2"/>
      <c r="K442" s="1"/>
      <c r="L442" s="1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>
      <c r="A443" s="1"/>
      <c r="B443" s="2"/>
      <c r="C443" s="1"/>
      <c r="D443" s="2"/>
      <c r="E443" s="1"/>
      <c r="F443" s="2"/>
      <c r="G443" s="1"/>
      <c r="H443" s="2"/>
      <c r="I443" s="1"/>
      <c r="J443" s="2"/>
      <c r="K443" s="1"/>
      <c r="L443" s="1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>
      <c r="A444" s="1"/>
      <c r="B444" s="2"/>
      <c r="C444" s="1"/>
      <c r="D444" s="2"/>
      <c r="E444" s="1"/>
      <c r="F444" s="2"/>
      <c r="G444" s="1"/>
      <c r="H444" s="2"/>
      <c r="I444" s="1"/>
      <c r="J444" s="2"/>
      <c r="K444" s="1"/>
      <c r="L444" s="1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>
      <c r="A445" s="1"/>
      <c r="B445" s="2"/>
      <c r="C445" s="1"/>
      <c r="D445" s="2"/>
      <c r="E445" s="1"/>
      <c r="F445" s="2"/>
      <c r="G445" s="1"/>
      <c r="H445" s="2"/>
      <c r="I445" s="1"/>
      <c r="J445" s="2"/>
      <c r="K445" s="1"/>
      <c r="L445" s="1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>
      <c r="A446" s="1"/>
      <c r="B446" s="2"/>
      <c r="C446" s="1"/>
      <c r="D446" s="2"/>
      <c r="E446" s="1"/>
      <c r="F446" s="2"/>
      <c r="G446" s="1"/>
      <c r="H446" s="2"/>
      <c r="I446" s="1"/>
      <c r="J446" s="2"/>
      <c r="K446" s="1"/>
      <c r="L446" s="1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>
      <c r="A447" s="1"/>
      <c r="B447" s="2"/>
      <c r="C447" s="1"/>
      <c r="D447" s="2"/>
      <c r="E447" s="1"/>
      <c r="F447" s="2"/>
      <c r="G447" s="1"/>
      <c r="H447" s="2"/>
      <c r="I447" s="1"/>
      <c r="J447" s="2"/>
      <c r="K447" s="1"/>
      <c r="L447" s="1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>
      <c r="A448" s="1"/>
      <c r="B448" s="2"/>
      <c r="C448" s="1"/>
      <c r="D448" s="2"/>
      <c r="E448" s="1"/>
      <c r="F448" s="2"/>
      <c r="G448" s="1"/>
      <c r="H448" s="2"/>
      <c r="I448" s="1"/>
      <c r="J448" s="2"/>
      <c r="K448" s="1"/>
      <c r="L448" s="1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>
      <c r="A449" s="1"/>
      <c r="B449" s="2"/>
      <c r="C449" s="1"/>
      <c r="D449" s="2"/>
      <c r="E449" s="1"/>
      <c r="F449" s="2"/>
      <c r="G449" s="1"/>
      <c r="H449" s="2"/>
      <c r="I449" s="1"/>
      <c r="J449" s="2"/>
      <c r="K449" s="1"/>
      <c r="L449" s="1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>
      <c r="A450" s="1"/>
      <c r="B450" s="2"/>
      <c r="C450" s="1"/>
      <c r="D450" s="2"/>
      <c r="E450" s="1"/>
      <c r="F450" s="2"/>
      <c r="G450" s="1"/>
      <c r="H450" s="2"/>
      <c r="I450" s="1"/>
      <c r="J450" s="2"/>
      <c r="K450" s="1"/>
      <c r="L450" s="1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>
      <c r="A451" s="1"/>
      <c r="B451" s="2"/>
      <c r="C451" s="1"/>
      <c r="D451" s="2"/>
      <c r="E451" s="1"/>
      <c r="F451" s="2"/>
      <c r="G451" s="1"/>
      <c r="H451" s="2"/>
      <c r="I451" s="1"/>
      <c r="J451" s="2"/>
      <c r="K451" s="1"/>
      <c r="L451" s="1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>
      <c r="A452" s="1"/>
      <c r="B452" s="2"/>
      <c r="C452" s="1"/>
      <c r="D452" s="2"/>
      <c r="E452" s="1"/>
      <c r="F452" s="2"/>
      <c r="G452" s="1"/>
      <c r="H452" s="2"/>
      <c r="I452" s="1"/>
      <c r="J452" s="2"/>
      <c r="K452" s="1"/>
      <c r="L452" s="1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>
      <c r="A453" s="1"/>
      <c r="B453" s="2"/>
      <c r="C453" s="1"/>
      <c r="D453" s="2"/>
      <c r="E453" s="1"/>
      <c r="F453" s="2"/>
      <c r="G453" s="1"/>
      <c r="H453" s="2"/>
      <c r="I453" s="1"/>
      <c r="J453" s="2"/>
      <c r="K453" s="1"/>
      <c r="L453" s="1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>
      <c r="A454" s="1"/>
      <c r="B454" s="2"/>
      <c r="C454" s="1"/>
      <c r="D454" s="2"/>
      <c r="E454" s="1"/>
      <c r="F454" s="2"/>
      <c r="G454" s="1"/>
      <c r="H454" s="2"/>
      <c r="I454" s="1"/>
      <c r="J454" s="2"/>
      <c r="K454" s="1"/>
      <c r="L454" s="1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>
      <c r="A455" s="1"/>
      <c r="B455" s="2"/>
      <c r="C455" s="1"/>
      <c r="D455" s="2"/>
      <c r="E455" s="1"/>
      <c r="F455" s="2"/>
      <c r="G455" s="1"/>
      <c r="H455" s="2"/>
      <c r="I455" s="1"/>
      <c r="J455" s="2"/>
      <c r="K455" s="1"/>
      <c r="L455" s="1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>
      <c r="A456" s="1"/>
      <c r="B456" s="2"/>
      <c r="C456" s="1"/>
      <c r="D456" s="2"/>
      <c r="E456" s="1"/>
      <c r="F456" s="2"/>
      <c r="G456" s="1"/>
      <c r="H456" s="2"/>
      <c r="I456" s="1"/>
      <c r="J456" s="2"/>
      <c r="K456" s="1"/>
      <c r="L456" s="1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>
      <c r="A457" s="1"/>
      <c r="B457" s="2"/>
      <c r="C457" s="1"/>
      <c r="D457" s="2"/>
      <c r="E457" s="1"/>
      <c r="F457" s="2"/>
      <c r="G457" s="1"/>
      <c r="H457" s="2"/>
      <c r="I457" s="1"/>
      <c r="J457" s="2"/>
      <c r="K457" s="1"/>
      <c r="L457" s="1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>
      <c r="A458" s="1"/>
      <c r="B458" s="2"/>
      <c r="C458" s="1"/>
      <c r="D458" s="2"/>
      <c r="E458" s="1"/>
      <c r="F458" s="2"/>
      <c r="G458" s="1"/>
      <c r="H458" s="2"/>
      <c r="I458" s="1"/>
      <c r="J458" s="2"/>
      <c r="K458" s="1"/>
      <c r="L458" s="1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>
      <c r="A459" s="1"/>
      <c r="B459" s="2"/>
      <c r="C459" s="1"/>
      <c r="D459" s="2"/>
      <c r="E459" s="1"/>
      <c r="F459" s="2"/>
      <c r="G459" s="1"/>
      <c r="H459" s="2"/>
      <c r="I459" s="1"/>
      <c r="J459" s="2"/>
      <c r="K459" s="1"/>
      <c r="L459" s="1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>
      <c r="A460" s="1"/>
      <c r="B460" s="2"/>
      <c r="C460" s="1"/>
      <c r="D460" s="2"/>
      <c r="E460" s="1"/>
      <c r="F460" s="2"/>
      <c r="G460" s="1"/>
      <c r="H460" s="2"/>
      <c r="I460" s="1"/>
      <c r="J460" s="2"/>
      <c r="K460" s="1"/>
      <c r="L460" s="1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>
      <c r="A461" s="1"/>
      <c r="B461" s="2"/>
      <c r="C461" s="1"/>
      <c r="D461" s="2"/>
      <c r="E461" s="1"/>
      <c r="F461" s="2"/>
      <c r="G461" s="1"/>
      <c r="H461" s="2"/>
      <c r="I461" s="1"/>
      <c r="J461" s="2"/>
      <c r="K461" s="1"/>
      <c r="L461" s="1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>
      <c r="A462" s="1"/>
      <c r="B462" s="2"/>
      <c r="C462" s="1"/>
      <c r="D462" s="2"/>
      <c r="E462" s="1"/>
      <c r="F462" s="2"/>
      <c r="G462" s="1"/>
      <c r="H462" s="2"/>
      <c r="I462" s="1"/>
      <c r="J462" s="2"/>
      <c r="K462" s="1"/>
      <c r="L462" s="1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>
      <c r="A463" s="1"/>
      <c r="B463" s="2"/>
      <c r="C463" s="1"/>
      <c r="D463" s="2"/>
      <c r="E463" s="1"/>
      <c r="F463" s="2"/>
      <c r="G463" s="1"/>
      <c r="H463" s="2"/>
      <c r="I463" s="1"/>
      <c r="J463" s="2"/>
      <c r="K463" s="1"/>
      <c r="L463" s="1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>
      <c r="A464" s="1"/>
      <c r="B464" s="2"/>
      <c r="C464" s="1"/>
      <c r="D464" s="2"/>
      <c r="E464" s="1"/>
      <c r="F464" s="2"/>
      <c r="G464" s="1"/>
      <c r="H464" s="2"/>
      <c r="I464" s="1"/>
      <c r="J464" s="2"/>
      <c r="K464" s="1"/>
      <c r="L464" s="1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>
      <c r="A465" s="1"/>
      <c r="B465" s="2"/>
      <c r="C465" s="1"/>
      <c r="D465" s="2"/>
      <c r="E465" s="1"/>
      <c r="F465" s="2"/>
      <c r="G465" s="1"/>
      <c r="H465" s="2"/>
      <c r="I465" s="1"/>
      <c r="J465" s="2"/>
      <c r="K465" s="1"/>
      <c r="L465" s="1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>
      <c r="A466" s="1"/>
      <c r="B466" s="2"/>
      <c r="C466" s="1"/>
      <c r="D466" s="2"/>
      <c r="E466" s="1"/>
      <c r="F466" s="2"/>
      <c r="G466" s="1"/>
      <c r="H466" s="2"/>
      <c r="I466" s="1"/>
      <c r="J466" s="2"/>
      <c r="K466" s="1"/>
      <c r="L466" s="1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>
      <c r="A467" s="1"/>
      <c r="B467" s="2"/>
      <c r="C467" s="1"/>
      <c r="D467" s="2"/>
      <c r="E467" s="1"/>
      <c r="F467" s="2"/>
      <c r="G467" s="1"/>
      <c r="H467" s="2"/>
      <c r="I467" s="1"/>
      <c r="J467" s="2"/>
      <c r="K467" s="1"/>
      <c r="L467" s="1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>
      <c r="A468" s="1"/>
      <c r="B468" s="2"/>
      <c r="C468" s="1"/>
      <c r="D468" s="2"/>
      <c r="E468" s="1"/>
      <c r="F468" s="2"/>
      <c r="G468" s="1"/>
      <c r="H468" s="2"/>
      <c r="I468" s="1"/>
      <c r="J468" s="2"/>
      <c r="K468" s="1"/>
      <c r="L468" s="1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>
      <c r="A469" s="1"/>
      <c r="B469" s="2"/>
      <c r="C469" s="1"/>
      <c r="D469" s="2"/>
      <c r="E469" s="1"/>
      <c r="F469" s="2"/>
      <c r="G469" s="1"/>
      <c r="H469" s="2"/>
      <c r="I469" s="1"/>
      <c r="J469" s="2"/>
      <c r="K469" s="1"/>
      <c r="L469" s="1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>
      <c r="A470" s="1"/>
      <c r="B470" s="2"/>
      <c r="C470" s="1"/>
      <c r="D470" s="2"/>
      <c r="E470" s="1"/>
      <c r="F470" s="2"/>
      <c r="G470" s="1"/>
      <c r="H470" s="2"/>
      <c r="I470" s="1"/>
      <c r="J470" s="2"/>
      <c r="K470" s="1"/>
      <c r="L470" s="1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>
      <c r="A471" s="1"/>
      <c r="B471" s="2"/>
      <c r="C471" s="1"/>
      <c r="D471" s="2"/>
      <c r="E471" s="1"/>
      <c r="F471" s="2"/>
      <c r="G471" s="1"/>
      <c r="H471" s="2"/>
      <c r="I471" s="1"/>
      <c r="J471" s="2"/>
      <c r="K471" s="1"/>
      <c r="L471" s="1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>
      <c r="A472" s="1"/>
      <c r="B472" s="2"/>
      <c r="C472" s="1"/>
      <c r="D472" s="2"/>
      <c r="E472" s="1"/>
      <c r="F472" s="2"/>
      <c r="G472" s="1"/>
      <c r="H472" s="2"/>
      <c r="I472" s="1"/>
      <c r="J472" s="2"/>
      <c r="K472" s="1"/>
      <c r="L472" s="1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>
      <c r="A473" s="1"/>
      <c r="B473" s="2"/>
      <c r="C473" s="1"/>
      <c r="D473" s="2"/>
      <c r="E473" s="1"/>
      <c r="F473" s="2"/>
      <c r="G473" s="1"/>
      <c r="H473" s="2"/>
      <c r="I473" s="1"/>
      <c r="J473" s="2"/>
      <c r="K473" s="1"/>
      <c r="L473" s="1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>
      <c r="A474" s="1"/>
      <c r="B474" s="2"/>
      <c r="C474" s="1"/>
      <c r="D474" s="2"/>
      <c r="E474" s="1"/>
      <c r="F474" s="2"/>
      <c r="G474" s="1"/>
      <c r="H474" s="2"/>
      <c r="I474" s="1"/>
      <c r="J474" s="2"/>
      <c r="K474" s="1"/>
      <c r="L474" s="1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>
      <c r="A475" s="1"/>
      <c r="B475" s="2"/>
      <c r="C475" s="1"/>
      <c r="D475" s="2"/>
      <c r="E475" s="1"/>
      <c r="F475" s="2"/>
      <c r="G475" s="1"/>
      <c r="H475" s="2"/>
      <c r="I475" s="1"/>
      <c r="J475" s="2"/>
      <c r="K475" s="1"/>
      <c r="L475" s="1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>
      <c r="A476" s="1"/>
      <c r="B476" s="2"/>
      <c r="C476" s="1"/>
      <c r="D476" s="2"/>
      <c r="E476" s="1"/>
      <c r="F476" s="2"/>
      <c r="G476" s="1"/>
      <c r="H476" s="2"/>
      <c r="I476" s="1"/>
      <c r="J476" s="2"/>
      <c r="K476" s="1"/>
      <c r="L476" s="1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>
      <c r="A477" s="1"/>
      <c r="B477" s="2"/>
      <c r="C477" s="1"/>
      <c r="D477" s="2"/>
      <c r="E477" s="1"/>
      <c r="F477" s="2"/>
      <c r="G477" s="1"/>
      <c r="H477" s="2"/>
      <c r="I477" s="1"/>
      <c r="J477" s="2"/>
      <c r="K477" s="1"/>
      <c r="L477" s="1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>
      <c r="A478" s="1"/>
      <c r="B478" s="2"/>
      <c r="C478" s="1"/>
      <c r="D478" s="2"/>
      <c r="E478" s="1"/>
      <c r="F478" s="2"/>
      <c r="G478" s="1"/>
      <c r="H478" s="2"/>
      <c r="I478" s="1"/>
      <c r="J478" s="2"/>
      <c r="K478" s="1"/>
      <c r="L478" s="1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>
      <c r="A479" s="1"/>
      <c r="B479" s="2"/>
      <c r="C479" s="1"/>
      <c r="D479" s="2"/>
      <c r="E479" s="1"/>
      <c r="F479" s="2"/>
      <c r="G479" s="1"/>
      <c r="H479" s="2"/>
      <c r="I479" s="1"/>
      <c r="J479" s="2"/>
      <c r="K479" s="1"/>
      <c r="L479" s="1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>
      <c r="A480" s="1"/>
      <c r="B480" s="2"/>
      <c r="C480" s="1"/>
      <c r="D480" s="2"/>
      <c r="E480" s="1"/>
      <c r="F480" s="2"/>
      <c r="G480" s="1"/>
      <c r="H480" s="2"/>
      <c r="I480" s="1"/>
      <c r="J480" s="2"/>
      <c r="K480" s="1"/>
      <c r="L480" s="1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>
      <c r="A481" s="1"/>
      <c r="B481" s="2"/>
      <c r="C481" s="1"/>
      <c r="D481" s="2"/>
      <c r="E481" s="1"/>
      <c r="F481" s="2"/>
      <c r="G481" s="1"/>
      <c r="H481" s="2"/>
      <c r="I481" s="1"/>
      <c r="J481" s="2"/>
      <c r="K481" s="1"/>
      <c r="L481" s="1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>
      <c r="A482" s="1"/>
      <c r="B482" s="2"/>
      <c r="C482" s="1"/>
      <c r="D482" s="2"/>
      <c r="E482" s="1"/>
      <c r="F482" s="2"/>
      <c r="G482" s="1"/>
      <c r="H482" s="2"/>
      <c r="I482" s="1"/>
      <c r="J482" s="2"/>
      <c r="K482" s="1"/>
      <c r="L482" s="1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>
      <c r="A483" s="1"/>
      <c r="B483" s="2"/>
      <c r="C483" s="1"/>
      <c r="D483" s="2"/>
      <c r="E483" s="1"/>
      <c r="F483" s="2"/>
      <c r="G483" s="1"/>
      <c r="H483" s="2"/>
      <c r="I483" s="1"/>
      <c r="J483" s="2"/>
      <c r="K483" s="1"/>
      <c r="L483" s="1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>
      <c r="A484" s="1"/>
      <c r="B484" s="2"/>
      <c r="C484" s="1"/>
      <c r="D484" s="2"/>
      <c r="E484" s="1"/>
      <c r="F484" s="2"/>
      <c r="G484" s="1"/>
      <c r="H484" s="2"/>
      <c r="I484" s="1"/>
      <c r="J484" s="2"/>
      <c r="K484" s="1"/>
      <c r="L484" s="1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>
      <c r="A485" s="1"/>
      <c r="B485" s="2"/>
      <c r="C485" s="1"/>
      <c r="D485" s="2"/>
      <c r="E485" s="1"/>
      <c r="F485" s="2"/>
      <c r="G485" s="1"/>
      <c r="H485" s="2"/>
      <c r="I485" s="1"/>
      <c r="J485" s="2"/>
      <c r="K485" s="1"/>
      <c r="L485" s="1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>
      <c r="A486" s="1"/>
      <c r="B486" s="2"/>
      <c r="C486" s="1"/>
      <c r="D486" s="2"/>
      <c r="E486" s="1"/>
      <c r="F486" s="2"/>
      <c r="G486" s="1"/>
      <c r="H486" s="2"/>
      <c r="I486" s="1"/>
      <c r="J486" s="2"/>
      <c r="K486" s="1"/>
      <c r="L486" s="1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>
      <c r="A487" s="1"/>
      <c r="B487" s="2"/>
      <c r="C487" s="1"/>
      <c r="D487" s="2"/>
      <c r="E487" s="1"/>
      <c r="F487" s="2"/>
      <c r="G487" s="1"/>
      <c r="H487" s="2"/>
      <c r="I487" s="1"/>
      <c r="J487" s="2"/>
      <c r="K487" s="1"/>
      <c r="L487" s="1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>
      <c r="A488" s="1"/>
      <c r="B488" s="2"/>
      <c r="C488" s="1"/>
      <c r="D488" s="2"/>
      <c r="E488" s="1"/>
      <c r="F488" s="2"/>
      <c r="G488" s="1"/>
      <c r="H488" s="2"/>
      <c r="I488" s="1"/>
      <c r="J488" s="2"/>
      <c r="K488" s="1"/>
      <c r="L488" s="1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>
      <c r="A489" s="1"/>
      <c r="B489" s="2"/>
      <c r="C489" s="1"/>
      <c r="D489" s="2"/>
      <c r="E489" s="1"/>
      <c r="F489" s="2"/>
      <c r="G489" s="1"/>
      <c r="H489" s="2"/>
      <c r="I489" s="1"/>
      <c r="J489" s="2"/>
      <c r="K489" s="1"/>
      <c r="L489" s="1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>
      <c r="A490" s="1"/>
      <c r="B490" s="2"/>
      <c r="C490" s="1"/>
      <c r="D490" s="2"/>
      <c r="E490" s="1"/>
      <c r="F490" s="2"/>
      <c r="G490" s="1"/>
      <c r="H490" s="2"/>
      <c r="I490" s="1"/>
      <c r="J490" s="2"/>
      <c r="K490" s="1"/>
      <c r="L490" s="1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>
      <c r="A491" s="1"/>
      <c r="B491" s="2"/>
      <c r="C491" s="1"/>
      <c r="D491" s="2"/>
      <c r="E491" s="1"/>
      <c r="F491" s="2"/>
      <c r="G491" s="1"/>
      <c r="H491" s="2"/>
      <c r="I491" s="1"/>
      <c r="J491" s="2"/>
      <c r="K491" s="1"/>
      <c r="L491" s="1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>
      <c r="A492" s="1"/>
      <c r="B492" s="2"/>
      <c r="C492" s="1"/>
      <c r="D492" s="2"/>
      <c r="E492" s="1"/>
      <c r="F492" s="2"/>
      <c r="G492" s="1"/>
      <c r="H492" s="2"/>
      <c r="I492" s="1"/>
      <c r="J492" s="2"/>
      <c r="K492" s="1"/>
      <c r="L492" s="1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>
      <c r="A493" s="1"/>
      <c r="B493" s="2"/>
      <c r="C493" s="1"/>
      <c r="D493" s="2"/>
      <c r="E493" s="1"/>
      <c r="F493" s="2"/>
      <c r="G493" s="1"/>
      <c r="H493" s="2"/>
      <c r="I493" s="1"/>
      <c r="J493" s="2"/>
      <c r="K493" s="1"/>
      <c r="L493" s="1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>
      <c r="A494" s="1"/>
      <c r="B494" s="2"/>
      <c r="C494" s="1"/>
      <c r="D494" s="2"/>
      <c r="E494" s="1"/>
      <c r="F494" s="2"/>
      <c r="G494" s="1"/>
      <c r="H494" s="2"/>
      <c r="I494" s="1"/>
      <c r="J494" s="2"/>
      <c r="K494" s="1"/>
      <c r="L494" s="1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>
      <c r="A495" s="1"/>
      <c r="B495" s="2"/>
      <c r="C495" s="1"/>
      <c r="D495" s="2"/>
      <c r="E495" s="1"/>
      <c r="F495" s="2"/>
      <c r="G495" s="1"/>
      <c r="H495" s="2"/>
      <c r="I495" s="1"/>
      <c r="J495" s="2"/>
      <c r="K495" s="1"/>
      <c r="L495" s="1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>
      <c r="A496" s="1"/>
      <c r="B496" s="2"/>
      <c r="C496" s="1"/>
      <c r="D496" s="2"/>
      <c r="E496" s="1"/>
      <c r="F496" s="2"/>
      <c r="G496" s="1"/>
      <c r="H496" s="2"/>
      <c r="I496" s="1"/>
      <c r="J496" s="2"/>
      <c r="K496" s="1"/>
      <c r="L496" s="1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>
      <c r="A497" s="1"/>
      <c r="B497" s="2"/>
      <c r="C497" s="1"/>
      <c r="D497" s="2"/>
      <c r="E497" s="1"/>
      <c r="F497" s="2"/>
      <c r="G497" s="1"/>
      <c r="H497" s="2"/>
      <c r="I497" s="1"/>
      <c r="J497" s="2"/>
      <c r="K497" s="1"/>
      <c r="L497" s="1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>
      <c r="A498" s="1"/>
      <c r="B498" s="2"/>
      <c r="C498" s="1"/>
      <c r="D498" s="2"/>
      <c r="E498" s="1"/>
      <c r="F498" s="2"/>
      <c r="G498" s="1"/>
      <c r="H498" s="2"/>
      <c r="I498" s="1"/>
      <c r="J498" s="2"/>
      <c r="K498" s="1"/>
      <c r="L498" s="1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>
      <c r="A499" s="1"/>
      <c r="B499" s="2"/>
      <c r="C499" s="1"/>
      <c r="D499" s="2"/>
      <c r="E499" s="1"/>
      <c r="F499" s="2"/>
      <c r="G499" s="1"/>
      <c r="H499" s="2"/>
      <c r="I499" s="1"/>
      <c r="J499" s="2"/>
      <c r="K499" s="1"/>
      <c r="L499" s="1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>
      <c r="A500" s="1"/>
      <c r="B500" s="2"/>
      <c r="C500" s="1"/>
      <c r="D500" s="2"/>
      <c r="E500" s="1"/>
      <c r="F500" s="2"/>
      <c r="G500" s="1"/>
      <c r="H500" s="2"/>
      <c r="I500" s="1"/>
      <c r="J500" s="2"/>
      <c r="K500" s="1"/>
      <c r="L500" s="1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>
      <c r="A501" s="1"/>
      <c r="B501" s="2"/>
      <c r="C501" s="1"/>
      <c r="D501" s="2"/>
      <c r="E501" s="1"/>
      <c r="F501" s="2"/>
      <c r="G501" s="1"/>
      <c r="H501" s="2"/>
      <c r="I501" s="1"/>
      <c r="J501" s="2"/>
      <c r="K501" s="1"/>
      <c r="L501" s="1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>
      <c r="A502" s="1"/>
      <c r="B502" s="2"/>
      <c r="C502" s="1"/>
      <c r="D502" s="2"/>
      <c r="E502" s="1"/>
      <c r="F502" s="2"/>
      <c r="G502" s="1"/>
      <c r="H502" s="2"/>
      <c r="I502" s="1"/>
      <c r="J502" s="2"/>
      <c r="K502" s="1"/>
      <c r="L502" s="1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>
      <c r="A503" s="1"/>
      <c r="B503" s="2"/>
      <c r="C503" s="1"/>
      <c r="D503" s="2"/>
      <c r="E503" s="1"/>
      <c r="F503" s="2"/>
      <c r="G503" s="1"/>
      <c r="H503" s="2"/>
      <c r="I503" s="1"/>
      <c r="J503" s="2"/>
      <c r="K503" s="1"/>
      <c r="L503" s="1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>
      <c r="A504" s="1"/>
      <c r="B504" s="2"/>
      <c r="C504" s="1"/>
      <c r="D504" s="2"/>
      <c r="E504" s="1"/>
      <c r="F504" s="2"/>
      <c r="G504" s="1"/>
      <c r="H504" s="2"/>
      <c r="I504" s="1"/>
      <c r="J504" s="2"/>
      <c r="K504" s="1"/>
      <c r="L504" s="1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>
      <c r="A505" s="1"/>
      <c r="B505" s="2"/>
      <c r="C505" s="1"/>
      <c r="D505" s="2"/>
      <c r="E505" s="1"/>
      <c r="F505" s="2"/>
      <c r="G505" s="1"/>
      <c r="H505" s="2"/>
      <c r="I505" s="1"/>
      <c r="J505" s="2"/>
      <c r="K505" s="1"/>
      <c r="L505" s="1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>
      <c r="A506" s="1"/>
      <c r="B506" s="2"/>
      <c r="C506" s="1"/>
      <c r="D506" s="2"/>
      <c r="E506" s="1"/>
      <c r="F506" s="2"/>
      <c r="G506" s="1"/>
      <c r="H506" s="2"/>
      <c r="I506" s="1"/>
      <c r="J506" s="2"/>
      <c r="K506" s="1"/>
      <c r="L506" s="1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>
      <c r="A507" s="1"/>
      <c r="B507" s="2"/>
      <c r="C507" s="1"/>
      <c r="D507" s="2"/>
      <c r="E507" s="1"/>
      <c r="F507" s="2"/>
      <c r="G507" s="1"/>
      <c r="H507" s="2"/>
      <c r="I507" s="1"/>
      <c r="J507" s="2"/>
      <c r="K507" s="1"/>
      <c r="L507" s="1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>
      <c r="A508" s="1"/>
      <c r="B508" s="2"/>
      <c r="C508" s="1"/>
      <c r="D508" s="2"/>
      <c r="E508" s="1"/>
      <c r="F508" s="2"/>
      <c r="G508" s="1"/>
      <c r="H508" s="2"/>
      <c r="I508" s="1"/>
      <c r="J508" s="2"/>
      <c r="K508" s="1"/>
      <c r="L508" s="1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>
      <c r="A509" s="1"/>
      <c r="B509" s="2"/>
      <c r="C509" s="1"/>
      <c r="D509" s="2"/>
      <c r="E509" s="1"/>
      <c r="F509" s="2"/>
      <c r="G509" s="1"/>
      <c r="H509" s="2"/>
      <c r="I509" s="1"/>
      <c r="J509" s="2"/>
      <c r="K509" s="1"/>
      <c r="L509" s="1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>
      <c r="A510" s="1"/>
      <c r="B510" s="2"/>
      <c r="C510" s="1"/>
      <c r="D510" s="2"/>
      <c r="E510" s="1"/>
      <c r="F510" s="2"/>
      <c r="G510" s="1"/>
      <c r="H510" s="2"/>
      <c r="I510" s="1"/>
      <c r="J510" s="2"/>
      <c r="K510" s="1"/>
      <c r="L510" s="1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>
      <c r="A511" s="1"/>
      <c r="B511" s="2"/>
      <c r="C511" s="1"/>
      <c r="D511" s="2"/>
      <c r="E511" s="1"/>
      <c r="F511" s="2"/>
      <c r="G511" s="1"/>
      <c r="H511" s="2"/>
      <c r="I511" s="1"/>
      <c r="J511" s="2"/>
      <c r="K511" s="1"/>
      <c r="L511" s="1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>
      <c r="A512" s="1"/>
      <c r="B512" s="2"/>
      <c r="C512" s="1"/>
      <c r="D512" s="2"/>
      <c r="E512" s="1"/>
      <c r="F512" s="2"/>
      <c r="G512" s="1"/>
      <c r="H512" s="2"/>
      <c r="I512" s="1"/>
      <c r="J512" s="2"/>
      <c r="K512" s="1"/>
      <c r="L512" s="1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>
      <c r="A513" s="1"/>
      <c r="B513" s="2"/>
      <c r="C513" s="1"/>
      <c r="D513" s="2"/>
      <c r="E513" s="1"/>
      <c r="F513" s="2"/>
      <c r="G513" s="1"/>
      <c r="H513" s="2"/>
      <c r="I513" s="1"/>
      <c r="J513" s="2"/>
      <c r="K513" s="1"/>
      <c r="L513" s="1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>
      <c r="A514" s="1"/>
      <c r="B514" s="2"/>
      <c r="C514" s="1"/>
      <c r="D514" s="2"/>
      <c r="E514" s="1"/>
      <c r="F514" s="2"/>
      <c r="G514" s="1"/>
      <c r="H514" s="2"/>
      <c r="I514" s="1"/>
      <c r="J514" s="2"/>
      <c r="K514" s="1"/>
      <c r="L514" s="1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>
      <c r="A515" s="1"/>
      <c r="B515" s="2"/>
      <c r="C515" s="1"/>
      <c r="D515" s="2"/>
      <c r="E515" s="1"/>
      <c r="F515" s="2"/>
      <c r="G515" s="1"/>
      <c r="H515" s="2"/>
      <c r="I515" s="1"/>
      <c r="J515" s="2"/>
      <c r="K515" s="1"/>
      <c r="L515" s="1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>
      <c r="A516" s="1"/>
      <c r="B516" s="2"/>
      <c r="C516" s="1"/>
      <c r="D516" s="2"/>
      <c r="E516" s="1"/>
      <c r="F516" s="2"/>
      <c r="G516" s="1"/>
      <c r="H516" s="2"/>
      <c r="I516" s="1"/>
      <c r="J516" s="2"/>
      <c r="K516" s="1"/>
      <c r="L516" s="1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>
      <c r="A517" s="1"/>
      <c r="B517" s="2"/>
      <c r="C517" s="1"/>
      <c r="D517" s="2"/>
      <c r="E517" s="1"/>
      <c r="F517" s="2"/>
      <c r="G517" s="1"/>
      <c r="H517" s="2"/>
      <c r="I517" s="1"/>
      <c r="J517" s="2"/>
      <c r="K517" s="1"/>
      <c r="L517" s="1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>
      <c r="A518" s="1"/>
      <c r="B518" s="2"/>
      <c r="C518" s="1"/>
      <c r="D518" s="2"/>
      <c r="E518" s="1"/>
      <c r="F518" s="2"/>
      <c r="G518" s="1"/>
      <c r="H518" s="2"/>
      <c r="I518" s="1"/>
      <c r="J518" s="2"/>
      <c r="K518" s="1"/>
      <c r="L518" s="1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>
      <c r="A519" s="1"/>
      <c r="B519" s="2"/>
      <c r="C519" s="1"/>
      <c r="D519" s="2"/>
      <c r="E519" s="1"/>
      <c r="F519" s="2"/>
      <c r="G519" s="1"/>
      <c r="H519" s="2"/>
      <c r="I519" s="1"/>
      <c r="J519" s="2"/>
      <c r="K519" s="1"/>
      <c r="L519" s="1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>
      <c r="A520" s="1"/>
      <c r="B520" s="2"/>
      <c r="C520" s="1"/>
      <c r="D520" s="2"/>
      <c r="E520" s="1"/>
      <c r="F520" s="2"/>
      <c r="G520" s="1"/>
      <c r="H520" s="2"/>
      <c r="I520" s="1"/>
      <c r="J520" s="2"/>
      <c r="K520" s="1"/>
      <c r="L520" s="1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>
      <c r="A521" s="1"/>
      <c r="B521" s="2"/>
      <c r="C521" s="1"/>
      <c r="D521" s="2"/>
      <c r="E521" s="1"/>
      <c r="F521" s="2"/>
      <c r="G521" s="1"/>
      <c r="H521" s="2"/>
      <c r="I521" s="1"/>
      <c r="J521" s="2"/>
      <c r="K521" s="1"/>
      <c r="L521" s="1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>
      <c r="A522" s="1"/>
      <c r="B522" s="2"/>
      <c r="C522" s="1"/>
      <c r="D522" s="2"/>
      <c r="E522" s="1"/>
      <c r="F522" s="2"/>
      <c r="G522" s="1"/>
      <c r="H522" s="2"/>
      <c r="I522" s="1"/>
      <c r="J522" s="2"/>
      <c r="K522" s="1"/>
      <c r="L522" s="1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>
      <c r="A523" s="1"/>
      <c r="B523" s="2"/>
      <c r="C523" s="1"/>
      <c r="D523" s="2"/>
      <c r="E523" s="1"/>
      <c r="F523" s="2"/>
      <c r="G523" s="1"/>
      <c r="H523" s="2"/>
      <c r="I523" s="1"/>
      <c r="J523" s="2"/>
      <c r="K523" s="1"/>
      <c r="L523" s="1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>
      <c r="A524" s="1"/>
      <c r="B524" s="2"/>
      <c r="C524" s="1"/>
      <c r="D524" s="2"/>
      <c r="E524" s="1"/>
      <c r="F524" s="2"/>
      <c r="G524" s="1"/>
      <c r="H524" s="2"/>
      <c r="I524" s="1"/>
      <c r="J524" s="2"/>
      <c r="K524" s="1"/>
      <c r="L524" s="1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>
      <c r="A525" s="1"/>
      <c r="B525" s="2"/>
      <c r="C525" s="1"/>
      <c r="D525" s="2"/>
      <c r="E525" s="1"/>
      <c r="F525" s="2"/>
      <c r="G525" s="1"/>
      <c r="H525" s="2"/>
      <c r="I525" s="1"/>
      <c r="J525" s="2"/>
      <c r="K525" s="1"/>
      <c r="L525" s="1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>
      <c r="A526" s="1"/>
      <c r="B526" s="2"/>
      <c r="C526" s="1"/>
      <c r="D526" s="2"/>
      <c r="E526" s="1"/>
      <c r="F526" s="2"/>
      <c r="G526" s="1"/>
      <c r="H526" s="2"/>
      <c r="I526" s="1"/>
      <c r="J526" s="2"/>
      <c r="K526" s="1"/>
      <c r="L526" s="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>
      <c r="A527" s="1"/>
      <c r="B527" s="2"/>
      <c r="C527" s="1"/>
      <c r="D527" s="2"/>
      <c r="E527" s="1"/>
      <c r="F527" s="2"/>
      <c r="G527" s="1"/>
      <c r="H527" s="2"/>
      <c r="I527" s="1"/>
      <c r="J527" s="2"/>
      <c r="K527" s="1"/>
      <c r="L527" s="1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>
      <c r="A528" s="1"/>
      <c r="B528" s="2"/>
      <c r="C528" s="1"/>
      <c r="D528" s="2"/>
      <c r="E528" s="1"/>
      <c r="F528" s="2"/>
      <c r="G528" s="1"/>
      <c r="H528" s="2"/>
      <c r="I528" s="1"/>
      <c r="J528" s="2"/>
      <c r="K528" s="1"/>
      <c r="L528" s="1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>
      <c r="A529" s="1"/>
      <c r="B529" s="2"/>
      <c r="C529" s="1"/>
      <c r="D529" s="2"/>
      <c r="E529" s="1"/>
      <c r="F529" s="2"/>
      <c r="G529" s="1"/>
      <c r="H529" s="2"/>
      <c r="I529" s="1"/>
      <c r="J529" s="2"/>
      <c r="K529" s="1"/>
      <c r="L529" s="1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>
      <c r="A530" s="1"/>
      <c r="B530" s="2"/>
      <c r="C530" s="1"/>
      <c r="D530" s="2"/>
      <c r="E530" s="1"/>
      <c r="F530" s="2"/>
      <c r="G530" s="1"/>
      <c r="H530" s="2"/>
      <c r="I530" s="1"/>
      <c r="J530" s="2"/>
      <c r="K530" s="1"/>
      <c r="L530" s="1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>
      <c r="A531" s="1"/>
      <c r="B531" s="2"/>
      <c r="C531" s="1"/>
      <c r="D531" s="2"/>
      <c r="E531" s="1"/>
      <c r="F531" s="2"/>
      <c r="G531" s="1"/>
      <c r="H531" s="2"/>
      <c r="I531" s="1"/>
      <c r="J531" s="2"/>
      <c r="K531" s="1"/>
      <c r="L531" s="1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>
      <c r="A532" s="1"/>
      <c r="B532" s="2"/>
      <c r="C532" s="1"/>
      <c r="D532" s="2"/>
      <c r="E532" s="1"/>
      <c r="F532" s="2"/>
      <c r="G532" s="1"/>
      <c r="H532" s="2"/>
      <c r="I532" s="1"/>
      <c r="J532" s="2"/>
      <c r="K532" s="1"/>
      <c r="L532" s="1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>
      <c r="A533" s="1"/>
      <c r="B533" s="2"/>
      <c r="C533" s="1"/>
      <c r="D533" s="2"/>
      <c r="E533" s="1"/>
      <c r="F533" s="2"/>
      <c r="G533" s="1"/>
      <c r="H533" s="2"/>
      <c r="I533" s="1"/>
      <c r="J533" s="2"/>
      <c r="K533" s="1"/>
      <c r="L533" s="1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>
      <c r="A534" s="1"/>
      <c r="B534" s="2"/>
      <c r="C534" s="1"/>
      <c r="D534" s="2"/>
      <c r="E534" s="1"/>
      <c r="F534" s="2"/>
      <c r="G534" s="1"/>
      <c r="H534" s="2"/>
      <c r="I534" s="1"/>
      <c r="J534" s="2"/>
      <c r="K534" s="1"/>
      <c r="L534" s="1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>
      <c r="A535" s="1"/>
      <c r="B535" s="2"/>
      <c r="C535" s="1"/>
      <c r="D535" s="2"/>
      <c r="E535" s="1"/>
      <c r="F535" s="2"/>
      <c r="G535" s="1"/>
      <c r="H535" s="2"/>
      <c r="I535" s="1"/>
      <c r="J535" s="2"/>
      <c r="K535" s="1"/>
      <c r="L535" s="1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>
      <c r="A536" s="1"/>
      <c r="B536" s="2"/>
      <c r="C536" s="1"/>
      <c r="D536" s="2"/>
      <c r="E536" s="1"/>
      <c r="F536" s="2"/>
      <c r="G536" s="1"/>
      <c r="H536" s="2"/>
      <c r="I536" s="1"/>
      <c r="J536" s="2"/>
      <c r="K536" s="1"/>
      <c r="L536" s="1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>
      <c r="A537" s="1"/>
      <c r="B537" s="2"/>
      <c r="C537" s="1"/>
      <c r="D537" s="2"/>
      <c r="E537" s="1"/>
      <c r="F537" s="2"/>
      <c r="G537" s="1"/>
      <c r="H537" s="2"/>
      <c r="I537" s="1"/>
      <c r="J537" s="2"/>
      <c r="K537" s="1"/>
      <c r="L537" s="1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>
      <c r="A538" s="1"/>
      <c r="B538" s="2"/>
      <c r="C538" s="1"/>
      <c r="D538" s="2"/>
      <c r="E538" s="1"/>
      <c r="F538" s="2"/>
      <c r="G538" s="1"/>
      <c r="H538" s="2"/>
      <c r="I538" s="1"/>
      <c r="J538" s="2"/>
      <c r="K538" s="1"/>
      <c r="L538" s="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>
      <c r="A539" s="1"/>
      <c r="B539" s="2"/>
      <c r="C539" s="1"/>
      <c r="D539" s="2"/>
      <c r="E539" s="1"/>
      <c r="F539" s="2"/>
      <c r="G539" s="1"/>
      <c r="H539" s="2"/>
      <c r="I539" s="1"/>
      <c r="J539" s="2"/>
      <c r="K539" s="1"/>
      <c r="L539" s="1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>
      <c r="A540" s="1"/>
      <c r="B540" s="2"/>
      <c r="C540" s="1"/>
      <c r="D540" s="2"/>
      <c r="E540" s="1"/>
      <c r="F540" s="2"/>
      <c r="G540" s="1"/>
      <c r="H540" s="2"/>
      <c r="I540" s="1"/>
      <c r="J540" s="2"/>
      <c r="K540" s="1"/>
      <c r="L540" s="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>
      <c r="A541" s="1"/>
      <c r="B541" s="2"/>
      <c r="C541" s="1"/>
      <c r="D541" s="2"/>
      <c r="E541" s="1"/>
      <c r="F541" s="2"/>
      <c r="G541" s="1"/>
      <c r="H541" s="2"/>
      <c r="I541" s="1"/>
      <c r="J541" s="2"/>
      <c r="K541" s="1"/>
      <c r="L541" s="1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>
      <c r="A542" s="1"/>
      <c r="B542" s="2"/>
      <c r="C542" s="1"/>
      <c r="D542" s="2"/>
      <c r="E542" s="1"/>
      <c r="F542" s="2"/>
      <c r="G542" s="1"/>
      <c r="H542" s="2"/>
      <c r="I542" s="1"/>
      <c r="J542" s="2"/>
      <c r="K542" s="1"/>
      <c r="L542" s="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>
      <c r="A543" s="1"/>
      <c r="B543" s="2"/>
      <c r="C543" s="1"/>
      <c r="D543" s="2"/>
      <c r="E543" s="1"/>
      <c r="F543" s="2"/>
      <c r="G543" s="1"/>
      <c r="H543" s="2"/>
      <c r="I543" s="1"/>
      <c r="J543" s="2"/>
      <c r="K543" s="1"/>
      <c r="L543" s="1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>
      <c r="A544" s="1"/>
      <c r="B544" s="2"/>
      <c r="C544" s="1"/>
      <c r="D544" s="2"/>
      <c r="E544" s="1"/>
      <c r="F544" s="2"/>
      <c r="G544" s="1"/>
      <c r="H544" s="2"/>
      <c r="I544" s="1"/>
      <c r="J544" s="2"/>
      <c r="K544" s="1"/>
      <c r="L544" s="1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>
      <c r="A545" s="1"/>
      <c r="B545" s="2"/>
      <c r="C545" s="1"/>
      <c r="D545" s="2"/>
      <c r="E545" s="1"/>
      <c r="F545" s="2"/>
      <c r="G545" s="1"/>
      <c r="H545" s="2"/>
      <c r="I545" s="1"/>
      <c r="J545" s="2"/>
      <c r="K545" s="1"/>
      <c r="L545" s="1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>
      <c r="A546" s="1"/>
      <c r="B546" s="2"/>
      <c r="C546" s="1"/>
      <c r="D546" s="2"/>
      <c r="E546" s="1"/>
      <c r="F546" s="2"/>
      <c r="G546" s="1"/>
      <c r="H546" s="2"/>
      <c r="I546" s="1"/>
      <c r="J546" s="2"/>
      <c r="K546" s="1"/>
      <c r="L546" s="1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>
      <c r="A547" s="1"/>
      <c r="B547" s="2"/>
      <c r="C547" s="1"/>
      <c r="D547" s="2"/>
      <c r="E547" s="1"/>
      <c r="F547" s="2"/>
      <c r="G547" s="1"/>
      <c r="H547" s="2"/>
      <c r="I547" s="1"/>
      <c r="J547" s="2"/>
      <c r="K547" s="1"/>
      <c r="L547" s="1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>
      <c r="A548" s="1"/>
      <c r="B548" s="2"/>
      <c r="C548" s="1"/>
      <c r="D548" s="2"/>
      <c r="E548" s="1"/>
      <c r="F548" s="2"/>
      <c r="G548" s="1"/>
      <c r="H548" s="2"/>
      <c r="I548" s="1"/>
      <c r="J548" s="2"/>
      <c r="K548" s="1"/>
      <c r="L548" s="1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>
      <c r="A549" s="1"/>
      <c r="B549" s="2"/>
      <c r="C549" s="1"/>
      <c r="D549" s="2"/>
      <c r="E549" s="1"/>
      <c r="F549" s="2"/>
      <c r="G549" s="1"/>
      <c r="H549" s="2"/>
      <c r="I549" s="1"/>
      <c r="J549" s="2"/>
      <c r="K549" s="1"/>
      <c r="L549" s="1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>
      <c r="A550" s="1"/>
      <c r="B550" s="2"/>
      <c r="C550" s="1"/>
      <c r="D550" s="2"/>
      <c r="E550" s="1"/>
      <c r="F550" s="2"/>
      <c r="G550" s="1"/>
      <c r="H550" s="2"/>
      <c r="I550" s="1"/>
      <c r="J550" s="2"/>
      <c r="K550" s="1"/>
      <c r="L550" s="1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>
      <c r="A551" s="1"/>
      <c r="B551" s="2"/>
      <c r="C551" s="1"/>
      <c r="D551" s="2"/>
      <c r="E551" s="1"/>
      <c r="F551" s="2"/>
      <c r="G551" s="1"/>
      <c r="H551" s="2"/>
      <c r="I551" s="1"/>
      <c r="J551" s="2"/>
      <c r="K551" s="1"/>
      <c r="L551" s="1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>
      <c r="A552" s="1"/>
      <c r="B552" s="2"/>
      <c r="C552" s="1"/>
      <c r="D552" s="2"/>
      <c r="E552" s="1"/>
      <c r="F552" s="2"/>
      <c r="G552" s="1"/>
      <c r="H552" s="2"/>
      <c r="I552" s="1"/>
      <c r="J552" s="2"/>
      <c r="K552" s="1"/>
      <c r="L552" s="1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>
      <c r="A553" s="1"/>
      <c r="B553" s="2"/>
      <c r="C553" s="1"/>
      <c r="D553" s="2"/>
      <c r="E553" s="1"/>
      <c r="F553" s="2"/>
      <c r="G553" s="1"/>
      <c r="H553" s="2"/>
      <c r="I553" s="1"/>
      <c r="J553" s="2"/>
      <c r="K553" s="1"/>
      <c r="L553" s="1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>
      <c r="A554" s="1"/>
      <c r="B554" s="2"/>
      <c r="C554" s="1"/>
      <c r="D554" s="2"/>
      <c r="E554" s="1"/>
      <c r="F554" s="2"/>
      <c r="G554" s="1"/>
      <c r="H554" s="2"/>
      <c r="I554" s="1"/>
      <c r="J554" s="2"/>
      <c r="K554" s="1"/>
      <c r="L554" s="1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>
      <c r="A555" s="1"/>
      <c r="B555" s="2"/>
      <c r="C555" s="1"/>
      <c r="D555" s="2"/>
      <c r="E555" s="1"/>
      <c r="F555" s="2"/>
      <c r="G555" s="1"/>
      <c r="H555" s="2"/>
      <c r="I555" s="1"/>
      <c r="J555" s="2"/>
      <c r="K555" s="1"/>
      <c r="L555" s="1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>
      <c r="A556" s="1"/>
      <c r="B556" s="2"/>
      <c r="C556" s="1"/>
      <c r="D556" s="2"/>
      <c r="E556" s="1"/>
      <c r="F556" s="2"/>
      <c r="G556" s="1"/>
      <c r="H556" s="2"/>
      <c r="I556" s="1"/>
      <c r="J556" s="2"/>
      <c r="K556" s="1"/>
      <c r="L556" s="1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>
      <c r="A557" s="1"/>
      <c r="B557" s="2"/>
      <c r="C557" s="1"/>
      <c r="D557" s="2"/>
      <c r="E557" s="1"/>
      <c r="F557" s="2"/>
      <c r="G557" s="1"/>
      <c r="H557" s="2"/>
      <c r="I557" s="1"/>
      <c r="J557" s="2"/>
      <c r="K557" s="1"/>
      <c r="L557" s="1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>
      <c r="A558" s="1"/>
      <c r="B558" s="2"/>
      <c r="C558" s="1"/>
      <c r="D558" s="2"/>
      <c r="E558" s="1"/>
      <c r="F558" s="2"/>
      <c r="G558" s="1"/>
      <c r="H558" s="2"/>
      <c r="I558" s="1"/>
      <c r="J558" s="2"/>
      <c r="K558" s="1"/>
      <c r="L558" s="1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>
      <c r="A559" s="1"/>
      <c r="B559" s="2"/>
      <c r="C559" s="1"/>
      <c r="D559" s="2"/>
      <c r="E559" s="1"/>
      <c r="F559" s="2"/>
      <c r="G559" s="1"/>
      <c r="H559" s="2"/>
      <c r="I559" s="1"/>
      <c r="J559" s="2"/>
      <c r="K559" s="1"/>
      <c r="L559" s="1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>
      <c r="A560" s="1"/>
      <c r="B560" s="2"/>
      <c r="C560" s="1"/>
      <c r="D560" s="2"/>
      <c r="E560" s="1"/>
      <c r="F560" s="2"/>
      <c r="G560" s="1"/>
      <c r="H560" s="2"/>
      <c r="I560" s="1"/>
      <c r="J560" s="2"/>
      <c r="K560" s="1"/>
      <c r="L560" s="1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>
      <c r="A561" s="1"/>
      <c r="B561" s="2"/>
      <c r="C561" s="1"/>
      <c r="D561" s="2"/>
      <c r="E561" s="1"/>
      <c r="F561" s="2"/>
      <c r="G561" s="1"/>
      <c r="H561" s="2"/>
      <c r="I561" s="1"/>
      <c r="J561" s="2"/>
      <c r="K561" s="1"/>
      <c r="L561" s="1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>
      <c r="A562" s="1"/>
      <c r="B562" s="2"/>
      <c r="C562" s="1"/>
      <c r="D562" s="2"/>
      <c r="E562" s="1"/>
      <c r="F562" s="2"/>
      <c r="G562" s="1"/>
      <c r="H562" s="2"/>
      <c r="I562" s="1"/>
      <c r="J562" s="2"/>
      <c r="K562" s="1"/>
      <c r="L562" s="1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>
      <c r="A563" s="1"/>
      <c r="B563" s="2"/>
      <c r="C563" s="1"/>
      <c r="D563" s="2"/>
      <c r="E563" s="1"/>
      <c r="F563" s="2"/>
      <c r="G563" s="1"/>
      <c r="H563" s="2"/>
      <c r="I563" s="1"/>
      <c r="J563" s="2"/>
      <c r="K563" s="1"/>
      <c r="L563" s="1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>
      <c r="A564" s="1"/>
      <c r="B564" s="2"/>
      <c r="C564" s="1"/>
      <c r="D564" s="2"/>
      <c r="E564" s="1"/>
      <c r="F564" s="2"/>
      <c r="G564" s="1"/>
      <c r="H564" s="2"/>
      <c r="I564" s="1"/>
      <c r="J564" s="2"/>
      <c r="K564" s="1"/>
      <c r="L564" s="1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>
      <c r="A565" s="1"/>
      <c r="B565" s="2"/>
      <c r="C565" s="1"/>
      <c r="D565" s="2"/>
      <c r="E565" s="1"/>
      <c r="F565" s="2"/>
      <c r="G565" s="1"/>
      <c r="H565" s="2"/>
      <c r="I565" s="1"/>
      <c r="J565" s="2"/>
      <c r="K565" s="1"/>
      <c r="L565" s="1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>
      <c r="A566" s="1"/>
      <c r="B566" s="2"/>
      <c r="C566" s="1"/>
      <c r="D566" s="2"/>
      <c r="E566" s="1"/>
      <c r="F566" s="2"/>
      <c r="G566" s="1"/>
      <c r="H566" s="2"/>
      <c r="I566" s="1"/>
      <c r="J566" s="2"/>
      <c r="K566" s="1"/>
      <c r="L566" s="1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>
      <c r="A567" s="1"/>
      <c r="B567" s="2"/>
      <c r="C567" s="1"/>
      <c r="D567" s="2"/>
      <c r="E567" s="1"/>
      <c r="F567" s="2"/>
      <c r="G567" s="1"/>
      <c r="H567" s="2"/>
      <c r="I567" s="1"/>
      <c r="J567" s="2"/>
      <c r="K567" s="1"/>
      <c r="L567" s="1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>
      <c r="A568" s="1"/>
      <c r="B568" s="2"/>
      <c r="C568" s="1"/>
      <c r="D568" s="2"/>
      <c r="E568" s="1"/>
      <c r="F568" s="2"/>
      <c r="G568" s="1"/>
      <c r="H568" s="2"/>
      <c r="I568" s="1"/>
      <c r="J568" s="2"/>
      <c r="K568" s="1"/>
      <c r="L568" s="1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>
      <c r="A569" s="1"/>
      <c r="B569" s="2"/>
      <c r="C569" s="1"/>
      <c r="D569" s="2"/>
      <c r="E569" s="1"/>
      <c r="F569" s="2"/>
      <c r="G569" s="1"/>
      <c r="H569" s="2"/>
      <c r="I569" s="1"/>
      <c r="J569" s="2"/>
      <c r="K569" s="1"/>
      <c r="L569" s="1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>
      <c r="A570" s="1"/>
      <c r="B570" s="2"/>
      <c r="C570" s="1"/>
      <c r="D570" s="2"/>
      <c r="E570" s="1"/>
      <c r="F570" s="2"/>
      <c r="G570" s="1"/>
      <c r="H570" s="2"/>
      <c r="I570" s="1"/>
      <c r="J570" s="2"/>
      <c r="K570" s="1"/>
      <c r="L570" s="1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>
      <c r="A571" s="1"/>
      <c r="B571" s="2"/>
      <c r="C571" s="1"/>
      <c r="D571" s="2"/>
      <c r="E571" s="1"/>
      <c r="F571" s="2"/>
      <c r="G571" s="1"/>
      <c r="H571" s="2"/>
      <c r="I571" s="1"/>
      <c r="J571" s="2"/>
      <c r="K571" s="1"/>
      <c r="L571" s="1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>
      <c r="A572" s="1"/>
      <c r="B572" s="2"/>
      <c r="C572" s="1"/>
      <c r="D572" s="2"/>
      <c r="E572" s="1"/>
      <c r="F572" s="2"/>
      <c r="G572" s="1"/>
      <c r="H572" s="2"/>
      <c r="I572" s="1"/>
      <c r="J572" s="2"/>
      <c r="K572" s="1"/>
      <c r="L572" s="1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>
      <c r="A573" s="1"/>
      <c r="B573" s="2"/>
      <c r="C573" s="1"/>
      <c r="D573" s="2"/>
      <c r="E573" s="1"/>
      <c r="F573" s="2"/>
      <c r="G573" s="1"/>
      <c r="H573" s="2"/>
      <c r="I573" s="1"/>
      <c r="J573" s="2"/>
      <c r="K573" s="1"/>
      <c r="L573" s="1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>
      <c r="A574" s="1"/>
      <c r="B574" s="2"/>
      <c r="C574" s="1"/>
      <c r="D574" s="2"/>
      <c r="E574" s="1"/>
      <c r="F574" s="2"/>
      <c r="G574" s="1"/>
      <c r="H574" s="2"/>
      <c r="I574" s="1"/>
      <c r="J574" s="2"/>
      <c r="K574" s="1"/>
      <c r="L574" s="1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>
      <c r="A575" s="1"/>
      <c r="B575" s="2"/>
      <c r="C575" s="1"/>
      <c r="D575" s="2"/>
      <c r="E575" s="1"/>
      <c r="F575" s="2"/>
      <c r="G575" s="1"/>
      <c r="H575" s="2"/>
      <c r="I575" s="1"/>
      <c r="J575" s="2"/>
      <c r="K575" s="1"/>
      <c r="L575" s="1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>
      <c r="A576" s="1"/>
      <c r="B576" s="2"/>
      <c r="C576" s="1"/>
      <c r="D576" s="2"/>
      <c r="E576" s="1"/>
      <c r="F576" s="2"/>
      <c r="G576" s="1"/>
      <c r="H576" s="2"/>
      <c r="I576" s="1"/>
      <c r="J576" s="2"/>
      <c r="K576" s="1"/>
      <c r="L576" s="1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>
      <c r="A577" s="1"/>
      <c r="B577" s="2"/>
      <c r="C577" s="1"/>
      <c r="D577" s="2"/>
      <c r="E577" s="1"/>
      <c r="F577" s="2"/>
      <c r="G577" s="1"/>
      <c r="H577" s="2"/>
      <c r="I577" s="1"/>
      <c r="J577" s="2"/>
      <c r="K577" s="1"/>
      <c r="L577" s="1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>
      <c r="A578" s="1"/>
      <c r="B578" s="2"/>
      <c r="C578" s="1"/>
      <c r="D578" s="2"/>
      <c r="E578" s="1"/>
      <c r="F578" s="2"/>
      <c r="G578" s="1"/>
      <c r="H578" s="2"/>
      <c r="I578" s="1"/>
      <c r="J578" s="2"/>
      <c r="K578" s="1"/>
      <c r="L578" s="1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>
      <c r="A579" s="1"/>
      <c r="B579" s="2"/>
      <c r="C579" s="1"/>
      <c r="D579" s="2"/>
      <c r="E579" s="1"/>
      <c r="F579" s="2"/>
      <c r="G579" s="1"/>
      <c r="H579" s="2"/>
      <c r="I579" s="1"/>
      <c r="J579" s="2"/>
      <c r="K579" s="1"/>
      <c r="L579" s="1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>
      <c r="A580" s="1"/>
      <c r="B580" s="2"/>
      <c r="C580" s="1"/>
      <c r="D580" s="2"/>
      <c r="E580" s="1"/>
      <c r="F580" s="2"/>
      <c r="G580" s="1"/>
      <c r="H580" s="2"/>
      <c r="I580" s="1"/>
      <c r="J580" s="2"/>
      <c r="K580" s="1"/>
      <c r="L580" s="1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>
      <c r="A581" s="1"/>
      <c r="B581" s="2"/>
      <c r="C581" s="1"/>
      <c r="D581" s="2"/>
      <c r="E581" s="1"/>
      <c r="F581" s="2"/>
      <c r="G581" s="1"/>
      <c r="H581" s="2"/>
      <c r="I581" s="1"/>
      <c r="J581" s="2"/>
      <c r="K581" s="1"/>
      <c r="L581" s="1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>
      <c r="A582" s="1"/>
      <c r="B582" s="2"/>
      <c r="C582" s="1"/>
      <c r="D582" s="2"/>
      <c r="E582" s="1"/>
      <c r="F582" s="2"/>
      <c r="G582" s="1"/>
      <c r="H582" s="2"/>
      <c r="I582" s="1"/>
      <c r="J582" s="2"/>
      <c r="K582" s="1"/>
      <c r="L582" s="1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>
      <c r="A583" s="1"/>
      <c r="B583" s="2"/>
      <c r="C583" s="1"/>
      <c r="D583" s="2"/>
      <c r="E583" s="1"/>
      <c r="F583" s="2"/>
      <c r="G583" s="1"/>
      <c r="H583" s="2"/>
      <c r="I583" s="1"/>
      <c r="J583" s="2"/>
      <c r="K583" s="1"/>
      <c r="L583" s="1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>
      <c r="A584" s="1"/>
      <c r="B584" s="2"/>
      <c r="C584" s="1"/>
      <c r="D584" s="2"/>
      <c r="E584" s="1"/>
      <c r="F584" s="2"/>
      <c r="G584" s="1"/>
      <c r="H584" s="2"/>
      <c r="I584" s="1"/>
      <c r="J584" s="2"/>
      <c r="K584" s="1"/>
      <c r="L584" s="1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>
      <c r="A585" s="1"/>
      <c r="B585" s="2"/>
      <c r="C585" s="1"/>
      <c r="D585" s="2"/>
      <c r="E585" s="1"/>
      <c r="F585" s="2"/>
      <c r="G585" s="1"/>
      <c r="H585" s="2"/>
      <c r="I585" s="1"/>
      <c r="J585" s="2"/>
      <c r="K585" s="1"/>
      <c r="L585" s="1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>
      <c r="A586" s="1"/>
      <c r="B586" s="2"/>
      <c r="C586" s="1"/>
      <c r="D586" s="2"/>
      <c r="E586" s="1"/>
      <c r="F586" s="2"/>
      <c r="G586" s="1"/>
      <c r="H586" s="2"/>
      <c r="I586" s="1"/>
      <c r="J586" s="2"/>
      <c r="K586" s="1"/>
      <c r="L586" s="1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>
      <c r="A587" s="1"/>
      <c r="B587" s="2"/>
      <c r="C587" s="1"/>
      <c r="D587" s="2"/>
      <c r="E587" s="1"/>
      <c r="F587" s="2"/>
      <c r="G587" s="1"/>
      <c r="H587" s="2"/>
      <c r="I587" s="1"/>
      <c r="J587" s="2"/>
      <c r="K587" s="1"/>
      <c r="L587" s="1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>
      <c r="A588" s="1"/>
      <c r="B588" s="2"/>
      <c r="C588" s="1"/>
      <c r="D588" s="2"/>
      <c r="E588" s="1"/>
      <c r="F588" s="2"/>
      <c r="G588" s="1"/>
      <c r="H588" s="2"/>
      <c r="I588" s="1"/>
      <c r="J588" s="2"/>
      <c r="K588" s="1"/>
      <c r="L588" s="1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>
      <c r="A589" s="1"/>
      <c r="B589" s="2"/>
      <c r="C589" s="1"/>
      <c r="D589" s="2"/>
      <c r="E589" s="1"/>
      <c r="F589" s="2"/>
      <c r="G589" s="1"/>
      <c r="H589" s="2"/>
      <c r="I589" s="1"/>
      <c r="J589" s="2"/>
      <c r="K589" s="1"/>
      <c r="L589" s="1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>
      <c r="A590" s="1"/>
      <c r="B590" s="2"/>
      <c r="C590" s="1"/>
      <c r="D590" s="2"/>
      <c r="E590" s="1"/>
      <c r="F590" s="2"/>
      <c r="G590" s="1"/>
      <c r="H590" s="2"/>
      <c r="I590" s="1"/>
      <c r="J590" s="2"/>
      <c r="K590" s="1"/>
      <c r="L590" s="1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>
      <c r="A591" s="1"/>
      <c r="B591" s="2"/>
      <c r="C591" s="1"/>
      <c r="D591" s="2"/>
      <c r="E591" s="1"/>
      <c r="F591" s="2"/>
      <c r="G591" s="1"/>
      <c r="H591" s="2"/>
      <c r="I591" s="1"/>
      <c r="J591" s="2"/>
      <c r="K591" s="1"/>
      <c r="L591" s="1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>
      <c r="A592" s="1"/>
      <c r="B592" s="2"/>
      <c r="C592" s="1"/>
      <c r="D592" s="2"/>
      <c r="E592" s="1"/>
      <c r="F592" s="2"/>
      <c r="G592" s="1"/>
      <c r="H592" s="2"/>
      <c r="I592" s="1"/>
      <c r="J592" s="2"/>
      <c r="K592" s="1"/>
      <c r="L592" s="1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>
      <c r="A593" s="1"/>
      <c r="B593" s="2"/>
      <c r="C593" s="1"/>
      <c r="D593" s="2"/>
      <c r="E593" s="1"/>
      <c r="F593" s="2"/>
      <c r="G593" s="1"/>
      <c r="H593" s="2"/>
      <c r="I593" s="1"/>
      <c r="J593" s="2"/>
      <c r="K593" s="1"/>
      <c r="L593" s="1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>
      <c r="A594" s="1"/>
      <c r="B594" s="2"/>
      <c r="C594" s="1"/>
      <c r="D594" s="2"/>
      <c r="E594" s="1"/>
      <c r="F594" s="2"/>
      <c r="G594" s="1"/>
      <c r="H594" s="2"/>
      <c r="I594" s="1"/>
      <c r="J594" s="2"/>
      <c r="K594" s="1"/>
      <c r="L594" s="1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>
      <c r="A595" s="1"/>
      <c r="B595" s="2"/>
      <c r="C595" s="1"/>
      <c r="D595" s="2"/>
      <c r="E595" s="1"/>
      <c r="F595" s="2"/>
      <c r="G595" s="1"/>
      <c r="H595" s="2"/>
      <c r="I595" s="1"/>
      <c r="J595" s="2"/>
      <c r="K595" s="1"/>
      <c r="L595" s="1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>
      <c r="A596" s="1"/>
      <c r="B596" s="2"/>
      <c r="C596" s="1"/>
      <c r="D596" s="2"/>
      <c r="E596" s="1"/>
      <c r="F596" s="2"/>
      <c r="G596" s="1"/>
      <c r="H596" s="2"/>
      <c r="I596" s="1"/>
      <c r="J596" s="2"/>
      <c r="K596" s="1"/>
      <c r="L596" s="1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>
      <c r="A597" s="1"/>
      <c r="B597" s="2"/>
      <c r="C597" s="1"/>
      <c r="D597" s="2"/>
      <c r="E597" s="1"/>
      <c r="F597" s="2"/>
      <c r="G597" s="1"/>
      <c r="H597" s="2"/>
      <c r="I597" s="1"/>
      <c r="J597" s="2"/>
      <c r="K597" s="1"/>
      <c r="L597" s="1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>
      <c r="A598" s="1"/>
      <c r="B598" s="2"/>
      <c r="C598" s="1"/>
      <c r="D598" s="2"/>
      <c r="E598" s="1"/>
      <c r="F598" s="2"/>
      <c r="G598" s="1"/>
      <c r="H598" s="2"/>
      <c r="I598" s="1"/>
      <c r="J598" s="2"/>
      <c r="K598" s="1"/>
      <c r="L598" s="1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>
      <c r="A599" s="1"/>
      <c r="B599" s="2"/>
      <c r="C599" s="1"/>
      <c r="D599" s="2"/>
      <c r="E599" s="1"/>
      <c r="F599" s="2"/>
      <c r="G599" s="1"/>
      <c r="H599" s="2"/>
      <c r="I599" s="1"/>
      <c r="J599" s="2"/>
      <c r="K599" s="1"/>
      <c r="L599" s="1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>
      <c r="A600" s="1"/>
      <c r="B600" s="2"/>
      <c r="C600" s="1"/>
      <c r="D600" s="2"/>
      <c r="E600" s="1"/>
      <c r="F600" s="2"/>
      <c r="G600" s="1"/>
      <c r="H600" s="2"/>
      <c r="I600" s="1"/>
      <c r="J600" s="2"/>
      <c r="K600" s="1"/>
      <c r="L600" s="1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>
      <c r="A601" s="1"/>
      <c r="B601" s="2"/>
      <c r="C601" s="1"/>
      <c r="D601" s="2"/>
      <c r="E601" s="1"/>
      <c r="F601" s="2"/>
      <c r="G601" s="1"/>
      <c r="H601" s="2"/>
      <c r="I601" s="1"/>
      <c r="J601" s="2"/>
      <c r="K601" s="1"/>
      <c r="L601" s="1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>
      <c r="A602" s="1"/>
      <c r="B602" s="2"/>
      <c r="C602" s="1"/>
      <c r="D602" s="2"/>
      <c r="E602" s="1"/>
      <c r="F602" s="2"/>
      <c r="G602" s="1"/>
      <c r="H602" s="2"/>
      <c r="I602" s="1"/>
      <c r="J602" s="2"/>
      <c r="K602" s="1"/>
      <c r="L602" s="1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>
      <c r="A603" s="1"/>
      <c r="B603" s="2"/>
      <c r="C603" s="1"/>
      <c r="D603" s="2"/>
      <c r="E603" s="1"/>
      <c r="F603" s="2"/>
      <c r="G603" s="1"/>
      <c r="H603" s="2"/>
      <c r="I603" s="1"/>
      <c r="J603" s="2"/>
      <c r="K603" s="1"/>
      <c r="L603" s="1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>
      <c r="A604" s="1"/>
      <c r="B604" s="2"/>
      <c r="C604" s="1"/>
      <c r="D604" s="2"/>
      <c r="E604" s="1"/>
      <c r="F604" s="2"/>
      <c r="G604" s="1"/>
      <c r="H604" s="2"/>
      <c r="I604" s="1"/>
      <c r="J604" s="2"/>
      <c r="K604" s="1"/>
      <c r="L604" s="1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>
      <c r="A605" s="1"/>
      <c r="B605" s="2"/>
      <c r="C605" s="1"/>
      <c r="D605" s="2"/>
      <c r="E605" s="1"/>
      <c r="F605" s="2"/>
      <c r="G605" s="1"/>
      <c r="H605" s="2"/>
      <c r="I605" s="1"/>
      <c r="J605" s="2"/>
      <c r="K605" s="1"/>
      <c r="L605" s="1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>
      <c r="A606" s="1"/>
      <c r="B606" s="2"/>
      <c r="C606" s="1"/>
      <c r="D606" s="2"/>
      <c r="E606" s="1"/>
      <c r="F606" s="2"/>
      <c r="G606" s="1"/>
      <c r="H606" s="2"/>
      <c r="I606" s="1"/>
      <c r="J606" s="2"/>
      <c r="K606" s="1"/>
      <c r="L606" s="1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>
      <c r="A607" s="1"/>
      <c r="B607" s="2"/>
      <c r="C607" s="1"/>
      <c r="D607" s="2"/>
      <c r="E607" s="1"/>
      <c r="F607" s="2"/>
      <c r="G607" s="1"/>
      <c r="H607" s="2"/>
      <c r="I607" s="1"/>
      <c r="J607" s="2"/>
      <c r="K607" s="1"/>
      <c r="L607" s="1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>
      <c r="A608" s="1"/>
      <c r="B608" s="2"/>
      <c r="C608" s="1"/>
      <c r="D608" s="2"/>
      <c r="E608" s="1"/>
      <c r="F608" s="2"/>
      <c r="G608" s="1"/>
      <c r="H608" s="2"/>
      <c r="I608" s="1"/>
      <c r="J608" s="2"/>
      <c r="K608" s="1"/>
      <c r="L608" s="1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>
      <c r="A609" s="1"/>
      <c r="B609" s="2"/>
      <c r="C609" s="1"/>
      <c r="D609" s="2"/>
      <c r="E609" s="1"/>
      <c r="F609" s="2"/>
      <c r="G609" s="1"/>
      <c r="H609" s="2"/>
      <c r="I609" s="1"/>
      <c r="J609" s="2"/>
      <c r="K609" s="1"/>
      <c r="L609" s="1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>
      <c r="A610" s="1"/>
      <c r="B610" s="2"/>
      <c r="C610" s="1"/>
      <c r="D610" s="2"/>
      <c r="E610" s="1"/>
      <c r="F610" s="2"/>
      <c r="G610" s="1"/>
      <c r="H610" s="2"/>
      <c r="I610" s="1"/>
      <c r="J610" s="2"/>
      <c r="K610" s="1"/>
      <c r="L610" s="1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>
      <c r="A611" s="1"/>
      <c r="B611" s="2"/>
      <c r="C611" s="1"/>
      <c r="D611" s="2"/>
      <c r="E611" s="1"/>
      <c r="F611" s="2"/>
      <c r="G611" s="1"/>
      <c r="H611" s="2"/>
      <c r="I611" s="1"/>
      <c r="J611" s="2"/>
      <c r="K611" s="1"/>
      <c r="L611" s="1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>
      <c r="A612" s="1"/>
      <c r="B612" s="2"/>
      <c r="C612" s="1"/>
      <c r="D612" s="2"/>
      <c r="E612" s="1"/>
      <c r="F612" s="2"/>
      <c r="G612" s="1"/>
      <c r="H612" s="2"/>
      <c r="I612" s="1"/>
      <c r="J612" s="2"/>
      <c r="K612" s="1"/>
      <c r="L612" s="1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>
      <c r="A613" s="1"/>
      <c r="B613" s="2"/>
      <c r="C613" s="1"/>
      <c r="D613" s="2"/>
      <c r="E613" s="1"/>
      <c r="F613" s="2"/>
      <c r="G613" s="1"/>
      <c r="H613" s="2"/>
      <c r="I613" s="1"/>
      <c r="J613" s="2"/>
      <c r="K613" s="1"/>
      <c r="L613" s="1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>
      <c r="A614" s="1"/>
      <c r="B614" s="2"/>
      <c r="C614" s="1"/>
      <c r="D614" s="2"/>
      <c r="E614" s="1"/>
      <c r="F614" s="2"/>
      <c r="G614" s="1"/>
      <c r="H614" s="2"/>
      <c r="I614" s="1"/>
      <c r="J614" s="2"/>
      <c r="K614" s="1"/>
      <c r="L614" s="1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>
      <c r="A615" s="1"/>
      <c r="B615" s="2"/>
      <c r="C615" s="1"/>
      <c r="D615" s="2"/>
      <c r="E615" s="1"/>
      <c r="F615" s="2"/>
      <c r="G615" s="1"/>
      <c r="H615" s="2"/>
      <c r="I615" s="1"/>
      <c r="J615" s="2"/>
      <c r="K615" s="1"/>
      <c r="L615" s="1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>
      <c r="A616" s="1"/>
      <c r="B616" s="2"/>
      <c r="C616" s="1"/>
      <c r="D616" s="2"/>
      <c r="E616" s="1"/>
      <c r="F616" s="2"/>
      <c r="G616" s="1"/>
      <c r="H616" s="2"/>
      <c r="I616" s="1"/>
      <c r="J616" s="2"/>
      <c r="K616" s="1"/>
      <c r="L616" s="1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>
      <c r="A617" s="1"/>
      <c r="B617" s="2"/>
      <c r="C617" s="1"/>
      <c r="D617" s="2"/>
      <c r="E617" s="1"/>
      <c r="F617" s="2"/>
      <c r="G617" s="1"/>
      <c r="H617" s="2"/>
      <c r="I617" s="1"/>
      <c r="J617" s="2"/>
      <c r="K617" s="1"/>
      <c r="L617" s="1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>
      <c r="A618" s="1"/>
      <c r="B618" s="2"/>
      <c r="C618" s="1"/>
      <c r="D618" s="2"/>
      <c r="E618" s="1"/>
      <c r="F618" s="2"/>
      <c r="G618" s="1"/>
      <c r="H618" s="2"/>
      <c r="I618" s="1"/>
      <c r="J618" s="2"/>
      <c r="K618" s="1"/>
      <c r="L618" s="1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>
      <c r="A619" s="1"/>
      <c r="B619" s="2"/>
      <c r="C619" s="1"/>
      <c r="D619" s="2"/>
      <c r="E619" s="1"/>
      <c r="F619" s="2"/>
      <c r="G619" s="1"/>
      <c r="H619" s="2"/>
      <c r="I619" s="1"/>
      <c r="J619" s="2"/>
      <c r="K619" s="1"/>
      <c r="L619" s="1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>
      <c r="A620" s="1"/>
      <c r="B620" s="2"/>
      <c r="C620" s="1"/>
      <c r="D620" s="2"/>
      <c r="E620" s="1"/>
      <c r="F620" s="2"/>
      <c r="G620" s="1"/>
      <c r="H620" s="2"/>
      <c r="I620" s="1"/>
      <c r="J620" s="2"/>
      <c r="K620" s="1"/>
      <c r="L620" s="1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>
      <c r="A621" s="1"/>
      <c r="B621" s="2"/>
      <c r="C621" s="1"/>
      <c r="D621" s="2"/>
      <c r="E621" s="1"/>
      <c r="F621" s="2"/>
      <c r="G621" s="1"/>
      <c r="H621" s="2"/>
      <c r="I621" s="1"/>
      <c r="J621" s="2"/>
      <c r="K621" s="1"/>
      <c r="L621" s="1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>
      <c r="A622" s="1"/>
      <c r="B622" s="2"/>
      <c r="C622" s="1"/>
      <c r="D622" s="2"/>
      <c r="E622" s="1"/>
      <c r="F622" s="2"/>
      <c r="G622" s="1"/>
      <c r="H622" s="2"/>
      <c r="I622" s="1"/>
      <c r="J622" s="2"/>
      <c r="K622" s="1"/>
      <c r="L622" s="1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>
      <c r="A623" s="1"/>
      <c r="B623" s="2"/>
      <c r="C623" s="1"/>
      <c r="D623" s="2"/>
      <c r="E623" s="1"/>
      <c r="F623" s="2"/>
      <c r="G623" s="1"/>
      <c r="H623" s="2"/>
      <c r="I623" s="1"/>
      <c r="J623" s="2"/>
      <c r="K623" s="1"/>
      <c r="L623" s="1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>
      <c r="A624" s="1"/>
      <c r="B624" s="2"/>
      <c r="C624" s="1"/>
      <c r="D624" s="2"/>
      <c r="E624" s="1"/>
      <c r="F624" s="2"/>
      <c r="G624" s="1"/>
      <c r="H624" s="2"/>
      <c r="I624" s="1"/>
      <c r="J624" s="2"/>
      <c r="K624" s="1"/>
      <c r="L624" s="1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>
      <c r="A625" s="1"/>
      <c r="B625" s="2"/>
      <c r="C625" s="1"/>
      <c r="D625" s="2"/>
      <c r="E625" s="1"/>
      <c r="F625" s="2"/>
      <c r="G625" s="1"/>
      <c r="H625" s="2"/>
      <c r="I625" s="1"/>
      <c r="J625" s="2"/>
      <c r="K625" s="1"/>
      <c r="L625" s="1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>
      <c r="A626" s="1"/>
      <c r="B626" s="2"/>
      <c r="C626" s="1"/>
      <c r="D626" s="2"/>
      <c r="E626" s="1"/>
      <c r="F626" s="2"/>
      <c r="G626" s="1"/>
      <c r="H626" s="2"/>
      <c r="I626" s="1"/>
      <c r="J626" s="2"/>
      <c r="K626" s="1"/>
      <c r="L626" s="1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>
      <c r="A627" s="1"/>
      <c r="B627" s="2"/>
      <c r="C627" s="1"/>
      <c r="D627" s="2"/>
      <c r="E627" s="1"/>
      <c r="F627" s="2"/>
      <c r="G627" s="1"/>
      <c r="H627" s="2"/>
      <c r="I627" s="1"/>
      <c r="J627" s="2"/>
      <c r="K627" s="1"/>
      <c r="L627" s="1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>
      <c r="A628" s="1"/>
      <c r="B628" s="2"/>
      <c r="C628" s="1"/>
      <c r="D628" s="2"/>
      <c r="E628" s="1"/>
      <c r="F628" s="2"/>
      <c r="G628" s="1"/>
      <c r="H628" s="2"/>
      <c r="I628" s="1"/>
      <c r="J628" s="2"/>
      <c r="K628" s="1"/>
      <c r="L628" s="1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>
      <c r="A629" s="1"/>
      <c r="B629" s="2"/>
      <c r="C629" s="1"/>
      <c r="D629" s="2"/>
      <c r="E629" s="1"/>
      <c r="F629" s="2"/>
      <c r="G629" s="1"/>
      <c r="H629" s="2"/>
      <c r="I629" s="1"/>
      <c r="J629" s="2"/>
      <c r="K629" s="1"/>
      <c r="L629" s="1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>
      <c r="A630" s="1"/>
      <c r="B630" s="2"/>
      <c r="C630" s="1"/>
      <c r="D630" s="2"/>
      <c r="E630" s="1"/>
      <c r="F630" s="2"/>
      <c r="G630" s="1"/>
      <c r="H630" s="2"/>
      <c r="I630" s="1"/>
      <c r="J630" s="2"/>
      <c r="K630" s="1"/>
      <c r="L630" s="1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>
      <c r="A631" s="1"/>
      <c r="B631" s="2"/>
      <c r="C631" s="1"/>
      <c r="D631" s="2"/>
      <c r="E631" s="1"/>
      <c r="F631" s="2"/>
      <c r="G631" s="1"/>
      <c r="H631" s="2"/>
      <c r="I631" s="1"/>
      <c r="J631" s="2"/>
      <c r="K631" s="1"/>
      <c r="L631" s="1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>
      <c r="A632" s="1"/>
      <c r="B632" s="2"/>
      <c r="C632" s="1"/>
      <c r="D632" s="2"/>
      <c r="E632" s="1"/>
      <c r="F632" s="2"/>
      <c r="G632" s="1"/>
      <c r="H632" s="2"/>
      <c r="I632" s="1"/>
      <c r="J632" s="2"/>
      <c r="K632" s="1"/>
      <c r="L632" s="1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>
      <c r="A633" s="1"/>
      <c r="B633" s="2"/>
      <c r="C633" s="1"/>
      <c r="D633" s="2"/>
      <c r="E633" s="1"/>
      <c r="F633" s="2"/>
      <c r="G633" s="1"/>
      <c r="H633" s="2"/>
      <c r="I633" s="1"/>
      <c r="J633" s="2"/>
      <c r="K633" s="1"/>
      <c r="L633" s="1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>
      <c r="A634" s="1"/>
      <c r="B634" s="2"/>
      <c r="C634" s="1"/>
      <c r="D634" s="2"/>
      <c r="E634" s="1"/>
      <c r="F634" s="2"/>
      <c r="G634" s="1"/>
      <c r="H634" s="2"/>
      <c r="I634" s="1"/>
      <c r="J634" s="2"/>
      <c r="K634" s="1"/>
      <c r="L634" s="1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>
      <c r="A635" s="1"/>
      <c r="B635" s="2"/>
      <c r="C635" s="1"/>
      <c r="D635" s="2"/>
      <c r="E635" s="1"/>
      <c r="F635" s="2"/>
      <c r="G635" s="1"/>
      <c r="H635" s="2"/>
      <c r="I635" s="1"/>
      <c r="J635" s="2"/>
      <c r="K635" s="1"/>
      <c r="L635" s="1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>
      <c r="A636" s="1"/>
      <c r="B636" s="2"/>
      <c r="C636" s="1"/>
      <c r="D636" s="2"/>
      <c r="E636" s="1"/>
      <c r="F636" s="2"/>
      <c r="G636" s="1"/>
      <c r="H636" s="2"/>
      <c r="I636" s="1"/>
      <c r="J636" s="2"/>
      <c r="K636" s="1"/>
      <c r="L636" s="1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>
      <c r="A637" s="1"/>
      <c r="B637" s="2"/>
      <c r="C637" s="1"/>
      <c r="D637" s="2"/>
      <c r="E637" s="1"/>
      <c r="F637" s="2"/>
      <c r="G637" s="1"/>
      <c r="H637" s="2"/>
      <c r="I637" s="1"/>
      <c r="J637" s="2"/>
      <c r="K637" s="1"/>
      <c r="L637" s="1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>
      <c r="A638" s="1"/>
      <c r="B638" s="2"/>
      <c r="C638" s="1"/>
      <c r="D638" s="2"/>
      <c r="E638" s="1"/>
      <c r="F638" s="2"/>
      <c r="G638" s="1"/>
      <c r="H638" s="2"/>
      <c r="I638" s="1"/>
      <c r="J638" s="2"/>
      <c r="K638" s="1"/>
      <c r="L638" s="1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>
      <c r="A639" s="1"/>
      <c r="B639" s="2"/>
      <c r="C639" s="1"/>
      <c r="D639" s="2"/>
      <c r="E639" s="1"/>
      <c r="F639" s="2"/>
      <c r="G639" s="1"/>
      <c r="H639" s="2"/>
      <c r="I639" s="1"/>
      <c r="J639" s="2"/>
      <c r="K639" s="1"/>
      <c r="L639" s="1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>
      <c r="A640" s="1"/>
      <c r="B640" s="2"/>
      <c r="C640" s="1"/>
      <c r="D640" s="2"/>
      <c r="E640" s="1"/>
      <c r="F640" s="2"/>
      <c r="G640" s="1"/>
      <c r="H640" s="2"/>
      <c r="I640" s="1"/>
      <c r="J640" s="2"/>
      <c r="K640" s="1"/>
      <c r="L640" s="1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>
      <c r="A641" s="1"/>
      <c r="B641" s="2"/>
      <c r="C641" s="1"/>
      <c r="D641" s="2"/>
      <c r="E641" s="1"/>
      <c r="F641" s="2"/>
      <c r="G641" s="1"/>
      <c r="H641" s="2"/>
      <c r="I641" s="1"/>
      <c r="J641" s="2"/>
      <c r="K641" s="1"/>
      <c r="L641" s="1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>
      <c r="A642" s="1"/>
      <c r="B642" s="2"/>
      <c r="C642" s="1"/>
      <c r="D642" s="2"/>
      <c r="E642" s="1"/>
      <c r="F642" s="2"/>
      <c r="G642" s="1"/>
      <c r="H642" s="2"/>
      <c r="I642" s="1"/>
      <c r="J642" s="2"/>
      <c r="K642" s="1"/>
      <c r="L642" s="1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>
      <c r="A643" s="1"/>
      <c r="B643" s="2"/>
      <c r="C643" s="1"/>
      <c r="D643" s="2"/>
      <c r="E643" s="1"/>
      <c r="F643" s="2"/>
      <c r="G643" s="1"/>
      <c r="H643" s="2"/>
      <c r="I643" s="1"/>
      <c r="J643" s="2"/>
      <c r="K643" s="1"/>
      <c r="L643" s="1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>
      <c r="A644" s="1"/>
      <c r="B644" s="2"/>
      <c r="C644" s="1"/>
      <c r="D644" s="2"/>
      <c r="E644" s="1"/>
      <c r="F644" s="2"/>
      <c r="G644" s="1"/>
      <c r="H644" s="2"/>
      <c r="I644" s="1"/>
      <c r="J644" s="2"/>
      <c r="K644" s="1"/>
      <c r="L644" s="1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>
      <c r="A645" s="1"/>
      <c r="B645" s="2"/>
      <c r="C645" s="1"/>
      <c r="D645" s="2"/>
      <c r="E645" s="1"/>
      <c r="F645" s="2"/>
      <c r="G645" s="1"/>
      <c r="H645" s="2"/>
      <c r="I645" s="1"/>
      <c r="J645" s="2"/>
      <c r="K645" s="1"/>
      <c r="L645" s="1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>
      <c r="A646" s="1"/>
      <c r="B646" s="2"/>
      <c r="C646" s="1"/>
      <c r="D646" s="2"/>
      <c r="E646" s="1"/>
      <c r="F646" s="2"/>
      <c r="G646" s="1"/>
      <c r="H646" s="2"/>
      <c r="I646" s="1"/>
      <c r="J646" s="2"/>
      <c r="K646" s="1"/>
      <c r="L646" s="1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>
      <c r="A647" s="1"/>
      <c r="B647" s="2"/>
      <c r="C647" s="1"/>
      <c r="D647" s="2"/>
      <c r="E647" s="1"/>
      <c r="F647" s="2"/>
      <c r="G647" s="1"/>
      <c r="H647" s="2"/>
      <c r="I647" s="1"/>
      <c r="J647" s="2"/>
      <c r="K647" s="1"/>
      <c r="L647" s="1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>
      <c r="A648" s="1"/>
      <c r="B648" s="2"/>
      <c r="C648" s="1"/>
      <c r="D648" s="2"/>
      <c r="E648" s="1"/>
      <c r="F648" s="2"/>
      <c r="G648" s="1"/>
      <c r="H648" s="2"/>
      <c r="I648" s="1"/>
      <c r="J648" s="2"/>
      <c r="K648" s="1"/>
      <c r="L648" s="1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>
      <c r="A649" s="1"/>
      <c r="B649" s="2"/>
      <c r="C649" s="1"/>
      <c r="D649" s="2"/>
      <c r="E649" s="1"/>
      <c r="F649" s="2"/>
      <c r="G649" s="1"/>
      <c r="H649" s="2"/>
      <c r="I649" s="1"/>
      <c r="J649" s="2"/>
      <c r="K649" s="1"/>
      <c r="L649" s="1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>
      <c r="A650" s="1"/>
      <c r="B650" s="2"/>
      <c r="C650" s="1"/>
      <c r="D650" s="2"/>
      <c r="E650" s="1"/>
      <c r="F650" s="2"/>
      <c r="G650" s="1"/>
      <c r="H650" s="2"/>
      <c r="I650" s="1"/>
      <c r="J650" s="2"/>
      <c r="K650" s="1"/>
      <c r="L650" s="1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>
      <c r="A651" s="1"/>
      <c r="B651" s="2"/>
      <c r="C651" s="1"/>
      <c r="D651" s="2"/>
      <c r="E651" s="1"/>
      <c r="F651" s="2"/>
      <c r="G651" s="1"/>
      <c r="H651" s="2"/>
      <c r="I651" s="1"/>
      <c r="J651" s="2"/>
      <c r="K651" s="1"/>
      <c r="L651" s="1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>
      <c r="A652" s="1"/>
      <c r="B652" s="2"/>
      <c r="C652" s="1"/>
      <c r="D652" s="2"/>
      <c r="E652" s="1"/>
      <c r="F652" s="2"/>
      <c r="G652" s="1"/>
      <c r="H652" s="2"/>
      <c r="I652" s="1"/>
      <c r="J652" s="2"/>
      <c r="K652" s="1"/>
      <c r="L652" s="1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>
      <c r="A653" s="1"/>
      <c r="B653" s="2"/>
      <c r="C653" s="1"/>
      <c r="D653" s="2"/>
      <c r="E653" s="1"/>
      <c r="F653" s="2"/>
      <c r="G653" s="1"/>
      <c r="H653" s="2"/>
      <c r="I653" s="1"/>
      <c r="J653" s="2"/>
      <c r="K653" s="1"/>
      <c r="L653" s="1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>
      <c r="A654" s="1"/>
      <c r="B654" s="2"/>
      <c r="C654" s="1"/>
      <c r="D654" s="2"/>
      <c r="E654" s="1"/>
      <c r="F654" s="2"/>
      <c r="G654" s="1"/>
      <c r="H654" s="2"/>
      <c r="I654" s="1"/>
      <c r="J654" s="2"/>
      <c r="K654" s="1"/>
      <c r="L654" s="1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>
      <c r="A655" s="1"/>
      <c r="B655" s="2"/>
      <c r="C655" s="1"/>
      <c r="D655" s="2"/>
      <c r="E655" s="1"/>
      <c r="F655" s="2"/>
      <c r="G655" s="1"/>
      <c r="H655" s="2"/>
      <c r="I655" s="1"/>
      <c r="J655" s="2"/>
      <c r="K655" s="1"/>
      <c r="L655" s="1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>
      <c r="A656" s="1"/>
      <c r="B656" s="2"/>
      <c r="C656" s="1"/>
      <c r="D656" s="2"/>
      <c r="E656" s="1"/>
      <c r="F656" s="2"/>
      <c r="G656" s="1"/>
      <c r="H656" s="2"/>
      <c r="I656" s="1"/>
      <c r="J656" s="2"/>
      <c r="K656" s="1"/>
      <c r="L656" s="1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>
      <c r="A657" s="1"/>
      <c r="B657" s="2"/>
      <c r="C657" s="1"/>
      <c r="D657" s="2"/>
      <c r="E657" s="1"/>
      <c r="F657" s="2"/>
      <c r="G657" s="1"/>
      <c r="H657" s="2"/>
      <c r="I657" s="1"/>
      <c r="J657" s="2"/>
      <c r="K657" s="1"/>
      <c r="L657" s="1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>
      <c r="A658" s="1"/>
      <c r="B658" s="2"/>
      <c r="C658" s="1"/>
      <c r="D658" s="2"/>
      <c r="E658" s="1"/>
      <c r="F658" s="2"/>
      <c r="G658" s="1"/>
      <c r="H658" s="2"/>
      <c r="I658" s="1"/>
      <c r="J658" s="2"/>
      <c r="K658" s="1"/>
      <c r="L658" s="1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>
      <c r="A659" s="1"/>
      <c r="B659" s="2"/>
      <c r="C659" s="1"/>
      <c r="D659" s="2"/>
      <c r="E659" s="1"/>
      <c r="F659" s="2"/>
      <c r="G659" s="1"/>
      <c r="H659" s="2"/>
      <c r="I659" s="1"/>
      <c r="J659" s="2"/>
      <c r="K659" s="1"/>
      <c r="L659" s="1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>
      <c r="A660" s="1"/>
      <c r="B660" s="2"/>
      <c r="C660" s="1"/>
      <c r="D660" s="2"/>
      <c r="E660" s="1"/>
      <c r="F660" s="2"/>
      <c r="G660" s="1"/>
      <c r="H660" s="2"/>
      <c r="I660" s="1"/>
      <c r="J660" s="2"/>
      <c r="K660" s="1"/>
      <c r="L660" s="1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>
      <c r="A661" s="1"/>
      <c r="B661" s="2"/>
      <c r="C661" s="1"/>
      <c r="D661" s="2"/>
      <c r="E661" s="1"/>
      <c r="F661" s="2"/>
      <c r="G661" s="1"/>
      <c r="H661" s="2"/>
      <c r="I661" s="1"/>
      <c r="J661" s="2"/>
      <c r="K661" s="1"/>
      <c r="L661" s="1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>
      <c r="A662" s="1"/>
      <c r="B662" s="2"/>
      <c r="C662" s="1"/>
      <c r="D662" s="2"/>
      <c r="E662" s="1"/>
      <c r="F662" s="2"/>
      <c r="G662" s="1"/>
      <c r="H662" s="2"/>
      <c r="I662" s="1"/>
      <c r="J662" s="2"/>
      <c r="K662" s="1"/>
      <c r="L662" s="1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>
      <c r="A663" s="1"/>
      <c r="B663" s="2"/>
      <c r="C663" s="1"/>
      <c r="D663" s="2"/>
      <c r="E663" s="1"/>
      <c r="F663" s="2"/>
      <c r="G663" s="1"/>
      <c r="H663" s="2"/>
      <c r="I663" s="1"/>
      <c r="J663" s="2"/>
      <c r="K663" s="1"/>
      <c r="L663" s="1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>
      <c r="A664" s="1"/>
      <c r="B664" s="2"/>
      <c r="C664" s="1"/>
      <c r="D664" s="2"/>
      <c r="E664" s="1"/>
      <c r="F664" s="2"/>
      <c r="G664" s="1"/>
      <c r="H664" s="2"/>
      <c r="I664" s="1"/>
      <c r="J664" s="2"/>
      <c r="K664" s="1"/>
      <c r="L664" s="1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>
      <c r="A665" s="1"/>
      <c r="B665" s="2"/>
      <c r="C665" s="1"/>
      <c r="D665" s="2"/>
      <c r="E665" s="1"/>
      <c r="F665" s="2"/>
      <c r="G665" s="1"/>
      <c r="H665" s="2"/>
      <c r="I665" s="1"/>
      <c r="J665" s="2"/>
      <c r="K665" s="1"/>
      <c r="L665" s="1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>
      <c r="A666" s="1"/>
      <c r="B666" s="2"/>
      <c r="C666" s="1"/>
      <c r="D666" s="2"/>
      <c r="E666" s="1"/>
      <c r="F666" s="2"/>
      <c r="G666" s="1"/>
      <c r="H666" s="2"/>
      <c r="I666" s="1"/>
      <c r="J666" s="2"/>
      <c r="K666" s="1"/>
      <c r="L666" s="1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>
      <c r="A667" s="1"/>
      <c r="B667" s="2"/>
      <c r="C667" s="1"/>
      <c r="D667" s="2"/>
      <c r="E667" s="1"/>
      <c r="F667" s="2"/>
      <c r="G667" s="1"/>
      <c r="H667" s="2"/>
      <c r="I667" s="1"/>
      <c r="J667" s="2"/>
      <c r="K667" s="1"/>
      <c r="L667" s="1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>
      <c r="A668" s="1"/>
      <c r="B668" s="2"/>
      <c r="C668" s="1"/>
      <c r="D668" s="2"/>
      <c r="E668" s="1"/>
      <c r="F668" s="2"/>
      <c r="G668" s="1"/>
      <c r="H668" s="2"/>
      <c r="I668" s="1"/>
      <c r="J668" s="2"/>
      <c r="K668" s="1"/>
      <c r="L668" s="1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>
      <c r="A669" s="1"/>
      <c r="B669" s="2"/>
      <c r="C669" s="1"/>
      <c r="D669" s="2"/>
      <c r="E669" s="1"/>
      <c r="F669" s="2"/>
      <c r="G669" s="1"/>
      <c r="H669" s="2"/>
      <c r="I669" s="1"/>
      <c r="J669" s="2"/>
      <c r="K669" s="1"/>
      <c r="L669" s="1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>
      <c r="A670" s="1"/>
      <c r="B670" s="2"/>
      <c r="C670" s="1"/>
      <c r="D670" s="2"/>
      <c r="E670" s="1"/>
      <c r="F670" s="2"/>
      <c r="G670" s="1"/>
      <c r="H670" s="2"/>
      <c r="I670" s="1"/>
      <c r="J670" s="2"/>
      <c r="K670" s="1"/>
      <c r="L670" s="1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>
      <c r="A671" s="1"/>
      <c r="B671" s="2"/>
      <c r="C671" s="1"/>
      <c r="D671" s="2"/>
      <c r="E671" s="1"/>
      <c r="F671" s="2"/>
      <c r="G671" s="1"/>
      <c r="H671" s="2"/>
      <c r="I671" s="1"/>
      <c r="J671" s="2"/>
      <c r="K671" s="1"/>
      <c r="L671" s="1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>
      <c r="A672" s="1"/>
      <c r="B672" s="2"/>
      <c r="C672" s="1"/>
      <c r="D672" s="2"/>
      <c r="E672" s="1"/>
      <c r="F672" s="2"/>
      <c r="G672" s="1"/>
      <c r="H672" s="2"/>
      <c r="I672" s="1"/>
      <c r="J672" s="2"/>
      <c r="K672" s="1"/>
      <c r="L672" s="1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>
      <c r="A673" s="1"/>
      <c r="B673" s="2"/>
      <c r="C673" s="1"/>
      <c r="D673" s="2"/>
      <c r="E673" s="1"/>
      <c r="F673" s="2"/>
      <c r="G673" s="1"/>
      <c r="H673" s="2"/>
      <c r="I673" s="1"/>
      <c r="J673" s="2"/>
      <c r="K673" s="1"/>
      <c r="L673" s="1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>
      <c r="A674" s="1"/>
      <c r="B674" s="2"/>
      <c r="C674" s="1"/>
      <c r="D674" s="2"/>
      <c r="E674" s="1"/>
      <c r="F674" s="2"/>
      <c r="G674" s="1"/>
      <c r="H674" s="2"/>
      <c r="I674" s="1"/>
      <c r="J674" s="2"/>
      <c r="K674" s="1"/>
      <c r="L674" s="1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>
      <c r="A675" s="1"/>
      <c r="B675" s="2"/>
      <c r="C675" s="1"/>
      <c r="D675" s="2"/>
      <c r="E675" s="1"/>
      <c r="F675" s="2"/>
      <c r="G675" s="1"/>
      <c r="H675" s="2"/>
      <c r="I675" s="1"/>
      <c r="J675" s="2"/>
      <c r="K675" s="1"/>
      <c r="L675" s="1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>
      <c r="A676" s="1"/>
      <c r="B676" s="2"/>
      <c r="C676" s="1"/>
      <c r="D676" s="2"/>
      <c r="E676" s="1"/>
      <c r="F676" s="2"/>
      <c r="G676" s="1"/>
      <c r="H676" s="2"/>
      <c r="I676" s="1"/>
      <c r="J676" s="2"/>
      <c r="K676" s="1"/>
      <c r="L676" s="1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>
      <c r="A677" s="1"/>
      <c r="B677" s="2"/>
      <c r="C677" s="1"/>
      <c r="D677" s="2"/>
      <c r="E677" s="1"/>
      <c r="F677" s="2"/>
      <c r="G677" s="1"/>
      <c r="H677" s="2"/>
      <c r="I677" s="1"/>
      <c r="J677" s="2"/>
      <c r="K677" s="1"/>
      <c r="L677" s="1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>
      <c r="A678" s="1"/>
      <c r="B678" s="2"/>
      <c r="C678" s="1"/>
      <c r="D678" s="2"/>
      <c r="E678" s="1"/>
      <c r="F678" s="2"/>
      <c r="G678" s="1"/>
      <c r="H678" s="2"/>
      <c r="I678" s="1"/>
      <c r="J678" s="2"/>
      <c r="K678" s="1"/>
      <c r="L678" s="1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>
      <c r="A679" s="1"/>
      <c r="B679" s="2"/>
      <c r="C679" s="1"/>
      <c r="D679" s="2"/>
      <c r="E679" s="1"/>
      <c r="F679" s="2"/>
      <c r="G679" s="1"/>
      <c r="H679" s="2"/>
      <c r="I679" s="1"/>
      <c r="J679" s="2"/>
      <c r="K679" s="1"/>
      <c r="L679" s="1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>
      <c r="A680" s="1"/>
      <c r="B680" s="2"/>
      <c r="C680" s="1"/>
      <c r="D680" s="2"/>
      <c r="E680" s="1"/>
      <c r="F680" s="2"/>
      <c r="G680" s="1"/>
      <c r="H680" s="2"/>
      <c r="I680" s="1"/>
      <c r="J680" s="2"/>
      <c r="K680" s="1"/>
      <c r="L680" s="1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>
      <c r="A681" s="1"/>
      <c r="B681" s="2"/>
      <c r="C681" s="1"/>
      <c r="D681" s="2"/>
      <c r="E681" s="1"/>
      <c r="F681" s="2"/>
      <c r="G681" s="1"/>
      <c r="H681" s="2"/>
      <c r="I681" s="1"/>
      <c r="J681" s="2"/>
      <c r="K681" s="1"/>
      <c r="L681" s="1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>
      <c r="A682" s="1"/>
      <c r="B682" s="2"/>
      <c r="C682" s="1"/>
      <c r="D682" s="2"/>
      <c r="E682" s="1"/>
      <c r="F682" s="2"/>
      <c r="G682" s="1"/>
      <c r="H682" s="2"/>
      <c r="I682" s="1"/>
      <c r="J682" s="2"/>
      <c r="K682" s="1"/>
      <c r="L682" s="1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>
      <c r="A683" s="1"/>
      <c r="B683" s="2"/>
      <c r="C683" s="1"/>
      <c r="D683" s="2"/>
      <c r="E683" s="1"/>
      <c r="F683" s="2"/>
      <c r="G683" s="1"/>
      <c r="H683" s="2"/>
      <c r="I683" s="1"/>
      <c r="J683" s="2"/>
      <c r="K683" s="1"/>
      <c r="L683" s="1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>
      <c r="A684" s="1"/>
      <c r="B684" s="2"/>
      <c r="C684" s="1"/>
      <c r="D684" s="2"/>
      <c r="E684" s="1"/>
      <c r="F684" s="2"/>
      <c r="G684" s="1"/>
      <c r="H684" s="2"/>
      <c r="I684" s="1"/>
      <c r="J684" s="2"/>
      <c r="K684" s="1"/>
      <c r="L684" s="1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>
      <c r="A685" s="1"/>
      <c r="B685" s="2"/>
      <c r="C685" s="1"/>
      <c r="D685" s="2"/>
      <c r="E685" s="1"/>
      <c r="F685" s="2"/>
      <c r="G685" s="1"/>
      <c r="H685" s="2"/>
      <c r="I685" s="1"/>
      <c r="J685" s="2"/>
      <c r="K685" s="1"/>
      <c r="L685" s="1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>
      <c r="A686" s="1"/>
      <c r="B686" s="2"/>
      <c r="C686" s="1"/>
      <c r="D686" s="2"/>
      <c r="E686" s="1"/>
      <c r="F686" s="2"/>
      <c r="G686" s="1"/>
      <c r="H686" s="2"/>
      <c r="I686" s="1"/>
      <c r="J686" s="2"/>
      <c r="K686" s="1"/>
      <c r="L686" s="1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>
      <c r="A687" s="1"/>
      <c r="B687" s="2"/>
      <c r="C687" s="1"/>
      <c r="D687" s="2"/>
      <c r="E687" s="1"/>
      <c r="F687" s="2"/>
      <c r="G687" s="1"/>
      <c r="H687" s="2"/>
      <c r="I687" s="1"/>
      <c r="J687" s="2"/>
      <c r="K687" s="1"/>
      <c r="L687" s="1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>
      <c r="A688" s="1"/>
      <c r="B688" s="2"/>
      <c r="C688" s="1"/>
      <c r="D688" s="2"/>
      <c r="E688" s="1"/>
      <c r="F688" s="2"/>
      <c r="G688" s="1"/>
      <c r="H688" s="2"/>
      <c r="I688" s="1"/>
      <c r="J688" s="2"/>
      <c r="K688" s="1"/>
      <c r="L688" s="1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>
      <c r="A689" s="1"/>
      <c r="B689" s="2"/>
      <c r="C689" s="1"/>
      <c r="D689" s="2"/>
      <c r="E689" s="1"/>
      <c r="F689" s="2"/>
      <c r="G689" s="1"/>
      <c r="H689" s="2"/>
      <c r="I689" s="1"/>
      <c r="J689" s="2"/>
      <c r="K689" s="1"/>
      <c r="L689" s="1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>
      <c r="A690" s="1"/>
      <c r="B690" s="2"/>
      <c r="C690" s="1"/>
      <c r="D690" s="2"/>
      <c r="E690" s="1"/>
      <c r="F690" s="2"/>
      <c r="G690" s="1"/>
      <c r="H690" s="2"/>
      <c r="I690" s="1"/>
      <c r="J690" s="2"/>
      <c r="K690" s="1"/>
      <c r="L690" s="1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>
      <c r="A691" s="1"/>
      <c r="B691" s="2"/>
      <c r="C691" s="1"/>
      <c r="D691" s="2"/>
      <c r="E691" s="1"/>
      <c r="F691" s="2"/>
      <c r="G691" s="1"/>
      <c r="H691" s="2"/>
      <c r="I691" s="1"/>
      <c r="J691" s="2"/>
      <c r="K691" s="1"/>
      <c r="L691" s="1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>
      <c r="A692" s="1"/>
      <c r="B692" s="2"/>
      <c r="C692" s="1"/>
      <c r="D692" s="2"/>
      <c r="E692" s="1"/>
      <c r="F692" s="2"/>
      <c r="G692" s="1"/>
      <c r="H692" s="2"/>
      <c r="I692" s="1"/>
      <c r="J692" s="2"/>
      <c r="K692" s="1"/>
      <c r="L692" s="1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>
      <c r="A693" s="1"/>
      <c r="B693" s="2"/>
      <c r="C693" s="1"/>
      <c r="D693" s="2"/>
      <c r="E693" s="1"/>
      <c r="F693" s="2"/>
      <c r="G693" s="1"/>
      <c r="H693" s="2"/>
      <c r="I693" s="1"/>
      <c r="J693" s="2"/>
      <c r="K693" s="1"/>
      <c r="L693" s="1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>
      <c r="A694" s="1"/>
      <c r="B694" s="2"/>
      <c r="C694" s="1"/>
      <c r="D694" s="2"/>
      <c r="E694" s="1"/>
      <c r="F694" s="2"/>
      <c r="G694" s="1"/>
      <c r="H694" s="2"/>
      <c r="I694" s="1"/>
      <c r="J694" s="2"/>
      <c r="K694" s="1"/>
      <c r="L694" s="1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>
      <c r="A695" s="1"/>
      <c r="B695" s="2"/>
      <c r="C695" s="1"/>
      <c r="D695" s="2"/>
      <c r="E695" s="1"/>
      <c r="F695" s="2"/>
      <c r="G695" s="1"/>
      <c r="H695" s="2"/>
      <c r="I695" s="1"/>
      <c r="J695" s="2"/>
      <c r="K695" s="1"/>
      <c r="L695" s="1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>
      <c r="A696" s="1"/>
      <c r="B696" s="2"/>
      <c r="C696" s="1"/>
      <c r="D696" s="2"/>
      <c r="E696" s="1"/>
      <c r="F696" s="2"/>
      <c r="G696" s="1"/>
      <c r="H696" s="2"/>
      <c r="I696" s="1"/>
      <c r="J696" s="2"/>
      <c r="K696" s="1"/>
      <c r="L696" s="1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>
      <c r="A697" s="1"/>
      <c r="B697" s="2"/>
      <c r="C697" s="1"/>
      <c r="D697" s="2"/>
      <c r="E697" s="1"/>
      <c r="F697" s="2"/>
      <c r="G697" s="1"/>
      <c r="H697" s="2"/>
      <c r="I697" s="1"/>
      <c r="J697" s="2"/>
      <c r="K697" s="1"/>
      <c r="L697" s="1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>
      <c r="A698" s="1"/>
      <c r="B698" s="2"/>
      <c r="C698" s="1"/>
      <c r="D698" s="2"/>
      <c r="E698" s="1"/>
      <c r="F698" s="2"/>
      <c r="G698" s="1"/>
      <c r="H698" s="2"/>
      <c r="I698" s="1"/>
      <c r="J698" s="2"/>
      <c r="K698" s="1"/>
      <c r="L698" s="1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>
      <c r="A699" s="1"/>
      <c r="B699" s="2"/>
      <c r="C699" s="1"/>
      <c r="D699" s="2"/>
      <c r="E699" s="1"/>
      <c r="F699" s="2"/>
      <c r="G699" s="1"/>
      <c r="H699" s="2"/>
      <c r="I699" s="1"/>
      <c r="J699" s="2"/>
      <c r="K699" s="1"/>
      <c r="L699" s="1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>
      <c r="A700" s="1"/>
      <c r="B700" s="2"/>
      <c r="C700" s="1"/>
      <c r="D700" s="2"/>
      <c r="E700" s="1"/>
      <c r="F700" s="2"/>
      <c r="G700" s="1"/>
      <c r="H700" s="2"/>
      <c r="I700" s="1"/>
      <c r="J700" s="2"/>
      <c r="K700" s="1"/>
      <c r="L700" s="1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>
      <c r="A701" s="1"/>
      <c r="B701" s="2"/>
      <c r="C701" s="1"/>
      <c r="D701" s="2"/>
      <c r="E701" s="1"/>
      <c r="F701" s="2"/>
      <c r="G701" s="1"/>
      <c r="H701" s="2"/>
      <c r="I701" s="1"/>
      <c r="J701" s="2"/>
      <c r="K701" s="1"/>
      <c r="L701" s="1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>
      <c r="A702" s="1"/>
      <c r="B702" s="2"/>
      <c r="C702" s="1"/>
      <c r="D702" s="2"/>
      <c r="E702" s="1"/>
      <c r="F702" s="2"/>
      <c r="G702" s="1"/>
      <c r="H702" s="2"/>
      <c r="I702" s="1"/>
      <c r="J702" s="2"/>
      <c r="K702" s="1"/>
      <c r="L702" s="1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>
      <c r="A703" s="1"/>
      <c r="B703" s="2"/>
      <c r="C703" s="1"/>
      <c r="D703" s="2"/>
      <c r="E703" s="1"/>
      <c r="F703" s="2"/>
      <c r="G703" s="1"/>
      <c r="H703" s="2"/>
      <c r="I703" s="1"/>
      <c r="J703" s="2"/>
      <c r="K703" s="1"/>
      <c r="L703" s="1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>
      <c r="A704" s="1"/>
      <c r="B704" s="2"/>
      <c r="C704" s="1"/>
      <c r="D704" s="2"/>
      <c r="E704" s="1"/>
      <c r="F704" s="2"/>
      <c r="G704" s="1"/>
      <c r="H704" s="2"/>
      <c r="I704" s="1"/>
      <c r="J704" s="2"/>
      <c r="K704" s="1"/>
      <c r="L704" s="1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>
      <c r="A705" s="1"/>
      <c r="B705" s="2"/>
      <c r="C705" s="1"/>
      <c r="D705" s="2"/>
      <c r="E705" s="1"/>
      <c r="F705" s="2"/>
      <c r="G705" s="1"/>
      <c r="H705" s="2"/>
      <c r="I705" s="1"/>
      <c r="J705" s="2"/>
      <c r="K705" s="1"/>
      <c r="L705" s="1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>
      <c r="A706" s="1"/>
      <c r="B706" s="2"/>
      <c r="C706" s="1"/>
      <c r="D706" s="2"/>
      <c r="E706" s="1"/>
      <c r="F706" s="2"/>
      <c r="G706" s="1"/>
      <c r="H706" s="2"/>
      <c r="I706" s="1"/>
      <c r="J706" s="2"/>
      <c r="K706" s="1"/>
      <c r="L706" s="1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>
      <c r="A707" s="1"/>
      <c r="B707" s="2"/>
      <c r="C707" s="1"/>
      <c r="D707" s="2"/>
      <c r="E707" s="1"/>
      <c r="F707" s="2"/>
      <c r="G707" s="1"/>
      <c r="H707" s="2"/>
      <c r="I707" s="1"/>
      <c r="J707" s="2"/>
      <c r="K707" s="1"/>
      <c r="L707" s="1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>
      <c r="A708" s="1"/>
      <c r="B708" s="2"/>
      <c r="C708" s="1"/>
      <c r="D708" s="2"/>
      <c r="E708" s="1"/>
      <c r="F708" s="2"/>
      <c r="G708" s="1"/>
      <c r="H708" s="2"/>
      <c r="I708" s="1"/>
      <c r="J708" s="2"/>
      <c r="K708" s="1"/>
      <c r="L708" s="1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>
      <c r="A709" s="1"/>
      <c r="B709" s="2"/>
      <c r="C709" s="1"/>
      <c r="D709" s="2"/>
      <c r="E709" s="1"/>
      <c r="F709" s="2"/>
      <c r="G709" s="1"/>
      <c r="H709" s="2"/>
      <c r="I709" s="1"/>
      <c r="J709" s="2"/>
      <c r="K709" s="1"/>
      <c r="L709" s="1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>
      <c r="A710" s="1"/>
      <c r="B710" s="2"/>
      <c r="C710" s="1"/>
      <c r="D710" s="2"/>
      <c r="E710" s="1"/>
      <c r="F710" s="2"/>
      <c r="G710" s="1"/>
      <c r="H710" s="2"/>
      <c r="I710" s="1"/>
      <c r="J710" s="2"/>
      <c r="K710" s="1"/>
      <c r="L710" s="1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>
      <c r="A711" s="1"/>
      <c r="B711" s="2"/>
      <c r="C711" s="1"/>
      <c r="D711" s="2"/>
      <c r="E711" s="1"/>
      <c r="F711" s="2"/>
      <c r="G711" s="1"/>
      <c r="H711" s="2"/>
      <c r="I711" s="1"/>
      <c r="J711" s="2"/>
      <c r="K711" s="1"/>
      <c r="L711" s="1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>
      <c r="A712" s="1"/>
      <c r="B712" s="2"/>
      <c r="C712" s="1"/>
      <c r="D712" s="2"/>
      <c r="E712" s="1"/>
      <c r="F712" s="2"/>
      <c r="G712" s="1"/>
      <c r="H712" s="2"/>
      <c r="I712" s="1"/>
      <c r="J712" s="2"/>
      <c r="K712" s="1"/>
      <c r="L712" s="1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>
      <c r="A713" s="1"/>
      <c r="B713" s="2"/>
      <c r="C713" s="1"/>
      <c r="D713" s="2"/>
      <c r="E713" s="1"/>
      <c r="F713" s="2"/>
      <c r="G713" s="1"/>
      <c r="H713" s="2"/>
      <c r="I713" s="1"/>
      <c r="J713" s="2"/>
      <c r="K713" s="1"/>
      <c r="L713" s="1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>
      <c r="A714" s="1"/>
      <c r="B714" s="2"/>
      <c r="C714" s="1"/>
      <c r="D714" s="2"/>
      <c r="E714" s="1"/>
      <c r="F714" s="2"/>
      <c r="G714" s="1"/>
      <c r="H714" s="2"/>
      <c r="I714" s="1"/>
      <c r="J714" s="2"/>
      <c r="K714" s="1"/>
      <c r="L714" s="1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>
      <c r="A715" s="1"/>
      <c r="B715" s="2"/>
      <c r="C715" s="1"/>
      <c r="D715" s="2"/>
      <c r="E715" s="1"/>
      <c r="F715" s="2"/>
      <c r="G715" s="1"/>
      <c r="H715" s="2"/>
      <c r="I715" s="1"/>
      <c r="J715" s="2"/>
      <c r="K715" s="1"/>
      <c r="L715" s="1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>
      <c r="A716" s="1"/>
      <c r="B716" s="2"/>
      <c r="C716" s="1"/>
      <c r="D716" s="2"/>
      <c r="E716" s="1"/>
      <c r="F716" s="2"/>
      <c r="G716" s="1"/>
      <c r="H716" s="2"/>
      <c r="I716" s="1"/>
      <c r="J716" s="2"/>
      <c r="K716" s="1"/>
      <c r="L716" s="1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>
      <c r="A717" s="1"/>
      <c r="B717" s="2"/>
      <c r="C717" s="1"/>
      <c r="D717" s="2"/>
      <c r="E717" s="1"/>
      <c r="F717" s="2"/>
      <c r="G717" s="1"/>
      <c r="H717" s="2"/>
      <c r="I717" s="1"/>
      <c r="J717" s="2"/>
      <c r="K717" s="1"/>
      <c r="L717" s="1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>
      <c r="A718" s="1"/>
      <c r="B718" s="2"/>
      <c r="C718" s="1"/>
      <c r="D718" s="2"/>
      <c r="E718" s="1"/>
      <c r="F718" s="2"/>
      <c r="G718" s="1"/>
      <c r="H718" s="2"/>
      <c r="I718" s="1"/>
      <c r="J718" s="2"/>
      <c r="K718" s="1"/>
      <c r="L718" s="1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>
      <c r="A719" s="1"/>
      <c r="B719" s="2"/>
      <c r="C719" s="1"/>
      <c r="D719" s="2"/>
      <c r="E719" s="1"/>
      <c r="F719" s="2"/>
      <c r="G719" s="1"/>
      <c r="H719" s="2"/>
      <c r="I719" s="1"/>
      <c r="J719" s="2"/>
      <c r="K719" s="1"/>
      <c r="L719" s="1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>
      <c r="A720" s="1"/>
      <c r="B720" s="2"/>
      <c r="C720" s="1"/>
      <c r="D720" s="2"/>
      <c r="E720" s="1"/>
      <c r="F720" s="2"/>
      <c r="G720" s="1"/>
      <c r="H720" s="2"/>
      <c r="I720" s="1"/>
      <c r="J720" s="2"/>
      <c r="K720" s="1"/>
      <c r="L720" s="1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>
      <c r="A721" s="1"/>
      <c r="B721" s="2"/>
      <c r="C721" s="1"/>
      <c r="D721" s="2"/>
      <c r="E721" s="1"/>
      <c r="F721" s="2"/>
      <c r="G721" s="1"/>
      <c r="H721" s="2"/>
      <c r="I721" s="1"/>
      <c r="J721" s="2"/>
      <c r="K721" s="1"/>
      <c r="L721" s="1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>
      <c r="A722" s="1"/>
      <c r="B722" s="2"/>
      <c r="C722" s="1"/>
      <c r="D722" s="2"/>
      <c r="E722" s="1"/>
      <c r="F722" s="2"/>
      <c r="G722" s="1"/>
      <c r="H722" s="2"/>
      <c r="I722" s="1"/>
      <c r="J722" s="2"/>
      <c r="K722" s="1"/>
      <c r="L722" s="1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>
      <c r="A723" s="1"/>
      <c r="B723" s="2"/>
      <c r="C723" s="1"/>
      <c r="D723" s="2"/>
      <c r="E723" s="1"/>
      <c r="F723" s="2"/>
      <c r="G723" s="1"/>
      <c r="H723" s="2"/>
      <c r="I723" s="1"/>
      <c r="J723" s="2"/>
      <c r="K723" s="1"/>
      <c r="L723" s="1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>
      <c r="A724" s="1"/>
      <c r="B724" s="2"/>
      <c r="C724" s="1"/>
      <c r="D724" s="2"/>
      <c r="E724" s="1"/>
      <c r="F724" s="2"/>
      <c r="G724" s="1"/>
      <c r="H724" s="2"/>
      <c r="I724" s="1"/>
      <c r="J724" s="2"/>
      <c r="K724" s="1"/>
      <c r="L724" s="1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>
      <c r="A725" s="1"/>
      <c r="B725" s="2"/>
      <c r="C725" s="1"/>
      <c r="D725" s="2"/>
      <c r="E725" s="1"/>
      <c r="F725" s="2"/>
      <c r="G725" s="1"/>
      <c r="H725" s="2"/>
      <c r="I725" s="1"/>
      <c r="J725" s="2"/>
      <c r="K725" s="1"/>
      <c r="L725" s="1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>
      <c r="A726" s="1"/>
      <c r="B726" s="2"/>
      <c r="C726" s="1"/>
      <c r="D726" s="2"/>
      <c r="E726" s="1"/>
      <c r="F726" s="2"/>
      <c r="G726" s="1"/>
      <c r="H726" s="2"/>
      <c r="I726" s="1"/>
      <c r="J726" s="2"/>
      <c r="K726" s="1"/>
      <c r="L726" s="1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>
      <c r="A727" s="1"/>
      <c r="B727" s="2"/>
      <c r="C727" s="1"/>
      <c r="D727" s="2"/>
      <c r="E727" s="1"/>
      <c r="F727" s="2"/>
      <c r="G727" s="1"/>
      <c r="H727" s="2"/>
      <c r="I727" s="1"/>
      <c r="J727" s="2"/>
      <c r="K727" s="1"/>
      <c r="L727" s="1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>
      <c r="A728" s="1"/>
      <c r="B728" s="2"/>
      <c r="C728" s="1"/>
      <c r="D728" s="2"/>
      <c r="E728" s="1"/>
      <c r="F728" s="2"/>
      <c r="G728" s="1"/>
      <c r="H728" s="2"/>
      <c r="I728" s="1"/>
      <c r="J728" s="2"/>
      <c r="K728" s="1"/>
      <c r="L728" s="1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>
      <c r="A729" s="1"/>
      <c r="B729" s="2"/>
      <c r="C729" s="1"/>
      <c r="D729" s="2"/>
      <c r="E729" s="1"/>
      <c r="F729" s="2"/>
      <c r="G729" s="1"/>
      <c r="H729" s="2"/>
      <c r="I729" s="1"/>
      <c r="J729" s="2"/>
      <c r="K729" s="1"/>
      <c r="L729" s="1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>
      <c r="A730" s="1"/>
      <c r="B730" s="2"/>
      <c r="C730" s="1"/>
      <c r="D730" s="2"/>
      <c r="E730" s="1"/>
      <c r="F730" s="2"/>
      <c r="G730" s="1"/>
      <c r="H730" s="2"/>
      <c r="I730" s="1"/>
      <c r="J730" s="2"/>
      <c r="K730" s="1"/>
      <c r="L730" s="1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>
      <c r="A731" s="1"/>
      <c r="B731" s="2"/>
      <c r="C731" s="1"/>
      <c r="D731" s="2"/>
      <c r="E731" s="1"/>
      <c r="F731" s="2"/>
      <c r="G731" s="1"/>
      <c r="H731" s="2"/>
      <c r="I731" s="1"/>
      <c r="J731" s="2"/>
      <c r="K731" s="1"/>
      <c r="L731" s="1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>
      <c r="A732" s="1"/>
      <c r="B732" s="2"/>
      <c r="C732" s="1"/>
      <c r="D732" s="2"/>
      <c r="E732" s="1"/>
      <c r="F732" s="2"/>
      <c r="G732" s="1"/>
      <c r="H732" s="2"/>
      <c r="I732" s="1"/>
      <c r="J732" s="2"/>
      <c r="K732" s="1"/>
      <c r="L732" s="1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>
      <c r="A733" s="1"/>
      <c r="B733" s="2"/>
      <c r="C733" s="1"/>
      <c r="D733" s="2"/>
      <c r="E733" s="1"/>
      <c r="F733" s="2"/>
      <c r="G733" s="1"/>
      <c r="H733" s="2"/>
      <c r="I733" s="1"/>
      <c r="J733" s="2"/>
      <c r="K733" s="1"/>
      <c r="L733" s="1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>
      <c r="A734" s="1"/>
      <c r="B734" s="2"/>
      <c r="C734" s="1"/>
      <c r="D734" s="2"/>
      <c r="E734" s="1"/>
      <c r="F734" s="2"/>
      <c r="G734" s="1"/>
      <c r="H734" s="2"/>
      <c r="I734" s="1"/>
      <c r="J734" s="2"/>
      <c r="K734" s="1"/>
      <c r="L734" s="1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>
      <c r="A735" s="1"/>
      <c r="B735" s="2"/>
      <c r="C735" s="1"/>
      <c r="D735" s="2"/>
      <c r="E735" s="1"/>
      <c r="F735" s="2"/>
      <c r="G735" s="1"/>
      <c r="H735" s="2"/>
      <c r="I735" s="1"/>
      <c r="J735" s="2"/>
      <c r="K735" s="1"/>
      <c r="L735" s="1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>
      <c r="A736" s="1"/>
      <c r="B736" s="2"/>
      <c r="C736" s="1"/>
      <c r="D736" s="2"/>
      <c r="E736" s="1"/>
      <c r="F736" s="2"/>
      <c r="G736" s="1"/>
      <c r="H736" s="2"/>
      <c r="I736" s="1"/>
      <c r="J736" s="2"/>
      <c r="K736" s="1"/>
      <c r="L736" s="1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>
      <c r="A737" s="1"/>
      <c r="B737" s="2"/>
      <c r="C737" s="1"/>
      <c r="D737" s="2"/>
      <c r="E737" s="1"/>
      <c r="F737" s="2"/>
      <c r="G737" s="1"/>
      <c r="H737" s="2"/>
      <c r="I737" s="1"/>
      <c r="J737" s="2"/>
      <c r="K737" s="1"/>
      <c r="L737" s="1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>
      <c r="A738" s="1"/>
      <c r="B738" s="2"/>
      <c r="C738" s="1"/>
      <c r="D738" s="2"/>
      <c r="E738" s="1"/>
      <c r="F738" s="2"/>
      <c r="G738" s="1"/>
      <c r="H738" s="2"/>
      <c r="I738" s="1"/>
      <c r="J738" s="2"/>
      <c r="K738" s="1"/>
      <c r="L738" s="1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>
      <c r="A739" s="1"/>
      <c r="B739" s="2"/>
      <c r="C739" s="1"/>
      <c r="D739" s="2"/>
      <c r="E739" s="1"/>
      <c r="F739" s="2"/>
      <c r="G739" s="1"/>
      <c r="H739" s="2"/>
      <c r="I739" s="1"/>
      <c r="J739" s="2"/>
      <c r="K739" s="1"/>
      <c r="L739" s="1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>
      <c r="A740" s="1"/>
      <c r="B740" s="2"/>
      <c r="C740" s="1"/>
      <c r="D740" s="2"/>
      <c r="E740" s="1"/>
      <c r="F740" s="2"/>
      <c r="G740" s="1"/>
      <c r="H740" s="2"/>
      <c r="I740" s="1"/>
      <c r="J740" s="2"/>
      <c r="K740" s="1"/>
      <c r="L740" s="1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>
      <c r="A741" s="1"/>
      <c r="B741" s="2"/>
      <c r="C741" s="1"/>
      <c r="D741" s="2"/>
      <c r="E741" s="1"/>
      <c r="F741" s="2"/>
      <c r="G741" s="1"/>
      <c r="H741" s="2"/>
      <c r="I741" s="1"/>
      <c r="J741" s="2"/>
      <c r="K741" s="1"/>
      <c r="L741" s="1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>
      <c r="A742" s="1"/>
      <c r="B742" s="2"/>
      <c r="C742" s="1"/>
      <c r="D742" s="2"/>
      <c r="E742" s="1"/>
      <c r="F742" s="2"/>
      <c r="G742" s="1"/>
      <c r="H742" s="2"/>
      <c r="I742" s="1"/>
      <c r="J742" s="2"/>
      <c r="K742" s="1"/>
      <c r="L742" s="1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>
      <c r="A743" s="1"/>
      <c r="B743" s="2"/>
      <c r="C743" s="1"/>
      <c r="D743" s="2"/>
      <c r="E743" s="1"/>
      <c r="F743" s="2"/>
      <c r="G743" s="1"/>
      <c r="H743" s="2"/>
      <c r="I743" s="1"/>
      <c r="J743" s="2"/>
      <c r="K743" s="1"/>
      <c r="L743" s="1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>
      <c r="A744" s="1"/>
      <c r="B744" s="2"/>
      <c r="C744" s="1"/>
      <c r="D744" s="2"/>
      <c r="E744" s="1"/>
      <c r="F744" s="2"/>
      <c r="G744" s="1"/>
      <c r="H744" s="2"/>
      <c r="I744" s="1"/>
      <c r="J744" s="2"/>
      <c r="K744" s="1"/>
      <c r="L744" s="1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>
      <c r="A745" s="1"/>
      <c r="B745" s="2"/>
      <c r="C745" s="1"/>
      <c r="D745" s="2"/>
      <c r="E745" s="1"/>
      <c r="F745" s="2"/>
      <c r="G745" s="1"/>
      <c r="H745" s="2"/>
      <c r="I745" s="1"/>
      <c r="J745" s="2"/>
      <c r="K745" s="1"/>
      <c r="L745" s="1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>
      <c r="A746" s="1"/>
      <c r="B746" s="2"/>
      <c r="C746" s="1"/>
      <c r="D746" s="2"/>
      <c r="E746" s="1"/>
      <c r="F746" s="2"/>
      <c r="G746" s="1"/>
      <c r="H746" s="2"/>
      <c r="I746" s="1"/>
      <c r="J746" s="2"/>
      <c r="K746" s="1"/>
      <c r="L746" s="1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>
      <c r="A747" s="1"/>
      <c r="B747" s="2"/>
      <c r="C747" s="1"/>
      <c r="D747" s="2"/>
      <c r="E747" s="1"/>
      <c r="F747" s="2"/>
      <c r="G747" s="1"/>
      <c r="H747" s="2"/>
      <c r="I747" s="1"/>
      <c r="J747" s="2"/>
      <c r="K747" s="1"/>
      <c r="L747" s="1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>
      <c r="A748" s="1"/>
      <c r="B748" s="2"/>
      <c r="C748" s="1"/>
      <c r="D748" s="2"/>
      <c r="E748" s="1"/>
      <c r="F748" s="2"/>
      <c r="G748" s="1"/>
      <c r="H748" s="2"/>
      <c r="I748" s="1"/>
      <c r="J748" s="2"/>
      <c r="K748" s="1"/>
      <c r="L748" s="1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>
      <c r="A749" s="1"/>
      <c r="B749" s="2"/>
      <c r="C749" s="1"/>
      <c r="D749" s="2"/>
      <c r="E749" s="1"/>
      <c r="F749" s="2"/>
      <c r="G749" s="1"/>
      <c r="H749" s="2"/>
      <c r="I749" s="1"/>
      <c r="J749" s="2"/>
      <c r="K749" s="1"/>
      <c r="L749" s="1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>
      <c r="A750" s="1"/>
      <c r="B750" s="2"/>
      <c r="C750" s="1"/>
      <c r="D750" s="2"/>
      <c r="E750" s="1"/>
      <c r="F750" s="2"/>
      <c r="G750" s="1"/>
      <c r="H750" s="2"/>
      <c r="I750" s="1"/>
      <c r="J750" s="2"/>
      <c r="K750" s="1"/>
      <c r="L750" s="1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>
      <c r="A751" s="1"/>
      <c r="B751" s="2"/>
      <c r="C751" s="1"/>
      <c r="D751" s="2"/>
      <c r="E751" s="1"/>
      <c r="F751" s="2"/>
      <c r="G751" s="1"/>
      <c r="H751" s="2"/>
      <c r="I751" s="1"/>
      <c r="J751" s="2"/>
      <c r="K751" s="1"/>
      <c r="L751" s="1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>
      <c r="A752" s="1"/>
      <c r="B752" s="2"/>
      <c r="C752" s="1"/>
      <c r="D752" s="2"/>
      <c r="E752" s="1"/>
      <c r="F752" s="2"/>
      <c r="G752" s="1"/>
      <c r="H752" s="2"/>
      <c r="I752" s="1"/>
      <c r="J752" s="2"/>
      <c r="K752" s="1"/>
      <c r="L752" s="1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>
      <c r="A753" s="1"/>
      <c r="B753" s="2"/>
      <c r="C753" s="1"/>
      <c r="D753" s="2"/>
      <c r="E753" s="1"/>
      <c r="F753" s="2"/>
      <c r="G753" s="1"/>
      <c r="H753" s="2"/>
      <c r="I753" s="1"/>
      <c r="J753" s="2"/>
      <c r="K753" s="1"/>
      <c r="L753" s="1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>
      <c r="A754" s="1"/>
      <c r="B754" s="2"/>
      <c r="C754" s="1"/>
      <c r="D754" s="2"/>
      <c r="E754" s="1"/>
      <c r="F754" s="2"/>
      <c r="G754" s="1"/>
      <c r="H754" s="2"/>
      <c r="I754" s="1"/>
      <c r="J754" s="2"/>
      <c r="K754" s="1"/>
      <c r="L754" s="1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>
      <c r="A755" s="1"/>
      <c r="B755" s="2"/>
      <c r="C755" s="1"/>
      <c r="D755" s="2"/>
      <c r="E755" s="1"/>
      <c r="F755" s="2"/>
      <c r="G755" s="1"/>
      <c r="H755" s="2"/>
      <c r="I755" s="1"/>
      <c r="J755" s="2"/>
      <c r="K755" s="1"/>
      <c r="L755" s="1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>
      <c r="A756" s="1"/>
      <c r="B756" s="2"/>
      <c r="C756" s="1"/>
      <c r="D756" s="2"/>
      <c r="E756" s="1"/>
      <c r="F756" s="2"/>
      <c r="G756" s="1"/>
      <c r="H756" s="2"/>
      <c r="I756" s="1"/>
      <c r="J756" s="2"/>
      <c r="K756" s="1"/>
      <c r="L756" s="1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>
      <c r="A757" s="1"/>
      <c r="B757" s="2"/>
      <c r="C757" s="1"/>
      <c r="D757" s="2"/>
      <c r="E757" s="1"/>
      <c r="F757" s="2"/>
      <c r="G757" s="1"/>
      <c r="H757" s="2"/>
      <c r="I757" s="1"/>
      <c r="J757" s="2"/>
      <c r="K757" s="1"/>
      <c r="L757" s="1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>
      <c r="A758" s="1"/>
      <c r="B758" s="2"/>
      <c r="C758" s="1"/>
      <c r="D758" s="2"/>
      <c r="E758" s="1"/>
      <c r="F758" s="2"/>
      <c r="G758" s="1"/>
      <c r="H758" s="2"/>
      <c r="I758" s="1"/>
      <c r="J758" s="2"/>
      <c r="K758" s="1"/>
      <c r="L758" s="1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>
      <c r="A759" s="1"/>
      <c r="B759" s="2"/>
      <c r="C759" s="1"/>
      <c r="D759" s="2"/>
      <c r="E759" s="1"/>
      <c r="F759" s="2"/>
      <c r="G759" s="1"/>
      <c r="H759" s="2"/>
      <c r="I759" s="1"/>
      <c r="J759" s="2"/>
      <c r="K759" s="1"/>
      <c r="L759" s="1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>
      <c r="A760" s="1"/>
      <c r="B760" s="2"/>
      <c r="C760" s="1"/>
      <c r="D760" s="2"/>
      <c r="E760" s="1"/>
      <c r="F760" s="2"/>
      <c r="G760" s="1"/>
      <c r="H760" s="2"/>
      <c r="I760" s="1"/>
      <c r="J760" s="2"/>
      <c r="K760" s="1"/>
      <c r="L760" s="1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>
      <c r="A761" s="1"/>
      <c r="B761" s="2"/>
      <c r="C761" s="1"/>
      <c r="D761" s="2"/>
      <c r="E761" s="1"/>
      <c r="F761" s="2"/>
      <c r="G761" s="1"/>
      <c r="H761" s="2"/>
      <c r="I761" s="1"/>
      <c r="J761" s="2"/>
      <c r="K761" s="1"/>
      <c r="L761" s="1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>
      <c r="A762" s="1"/>
      <c r="B762" s="2"/>
      <c r="C762" s="1"/>
      <c r="D762" s="2"/>
      <c r="E762" s="1"/>
      <c r="F762" s="2"/>
      <c r="G762" s="1"/>
      <c r="H762" s="2"/>
      <c r="I762" s="1"/>
      <c r="J762" s="2"/>
      <c r="K762" s="1"/>
      <c r="L762" s="1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>
      <c r="A763" s="1"/>
      <c r="B763" s="2"/>
      <c r="C763" s="1"/>
      <c r="D763" s="2"/>
      <c r="E763" s="1"/>
      <c r="F763" s="2"/>
      <c r="G763" s="1"/>
      <c r="H763" s="2"/>
      <c r="I763" s="1"/>
      <c r="J763" s="2"/>
      <c r="K763" s="1"/>
      <c r="L763" s="1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>
      <c r="A764" s="1"/>
      <c r="B764" s="2"/>
      <c r="C764" s="1"/>
      <c r="D764" s="2"/>
      <c r="E764" s="1"/>
      <c r="F764" s="2"/>
      <c r="G764" s="1"/>
      <c r="H764" s="2"/>
      <c r="I764" s="1"/>
      <c r="J764" s="2"/>
      <c r="K764" s="1"/>
      <c r="L764" s="1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>
      <c r="A765" s="1"/>
      <c r="B765" s="2"/>
      <c r="C765" s="1"/>
      <c r="D765" s="2"/>
      <c r="E765" s="1"/>
      <c r="F765" s="2"/>
      <c r="G765" s="1"/>
      <c r="H765" s="2"/>
      <c r="I765" s="1"/>
      <c r="J765" s="2"/>
      <c r="K765" s="1"/>
      <c r="L765" s="1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>
      <c r="A766" s="1"/>
      <c r="B766" s="2"/>
      <c r="C766" s="1"/>
      <c r="D766" s="2"/>
      <c r="E766" s="1"/>
      <c r="F766" s="2"/>
      <c r="G766" s="1"/>
      <c r="H766" s="2"/>
      <c r="I766" s="1"/>
      <c r="J766" s="2"/>
      <c r="K766" s="1"/>
      <c r="L766" s="1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>
      <c r="A767" s="1"/>
      <c r="B767" s="2"/>
      <c r="C767" s="1"/>
      <c r="D767" s="2"/>
      <c r="E767" s="1"/>
      <c r="F767" s="2"/>
      <c r="G767" s="1"/>
      <c r="H767" s="2"/>
      <c r="I767" s="1"/>
      <c r="J767" s="2"/>
      <c r="K767" s="1"/>
      <c r="L767" s="1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>
      <c r="A768" s="1"/>
      <c r="B768" s="2"/>
      <c r="C768" s="1"/>
      <c r="D768" s="2"/>
      <c r="E768" s="1"/>
      <c r="F768" s="2"/>
      <c r="G768" s="1"/>
      <c r="H768" s="2"/>
      <c r="I768" s="1"/>
      <c r="J768" s="2"/>
      <c r="K768" s="1"/>
      <c r="L768" s="1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>
      <c r="A769" s="1"/>
      <c r="B769" s="2"/>
      <c r="C769" s="1"/>
      <c r="D769" s="2"/>
      <c r="E769" s="1"/>
      <c r="F769" s="2"/>
      <c r="G769" s="1"/>
      <c r="H769" s="2"/>
      <c r="I769" s="1"/>
      <c r="J769" s="2"/>
      <c r="K769" s="1"/>
      <c r="L769" s="1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>
      <c r="A770" s="1"/>
      <c r="B770" s="2"/>
      <c r="C770" s="1"/>
      <c r="D770" s="2"/>
      <c r="E770" s="1"/>
      <c r="F770" s="2"/>
      <c r="G770" s="1"/>
      <c r="H770" s="2"/>
      <c r="I770" s="1"/>
      <c r="J770" s="2"/>
      <c r="K770" s="1"/>
      <c r="L770" s="1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>
      <c r="A771" s="1"/>
      <c r="B771" s="2"/>
      <c r="C771" s="1"/>
      <c r="D771" s="2"/>
      <c r="E771" s="1"/>
      <c r="F771" s="2"/>
      <c r="G771" s="1"/>
      <c r="H771" s="2"/>
      <c r="I771" s="1"/>
      <c r="J771" s="2"/>
      <c r="K771" s="1"/>
      <c r="L771" s="1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>
      <c r="A772" s="1"/>
      <c r="B772" s="2"/>
      <c r="C772" s="1"/>
      <c r="D772" s="2"/>
      <c r="E772" s="1"/>
      <c r="F772" s="2"/>
      <c r="G772" s="1"/>
      <c r="H772" s="2"/>
      <c r="I772" s="1"/>
      <c r="J772" s="2"/>
      <c r="K772" s="1"/>
      <c r="L772" s="1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>
      <c r="A773" s="1"/>
      <c r="B773" s="2"/>
      <c r="C773" s="1"/>
      <c r="D773" s="2"/>
      <c r="E773" s="1"/>
      <c r="F773" s="2"/>
      <c r="G773" s="1"/>
      <c r="H773" s="2"/>
      <c r="I773" s="1"/>
      <c r="J773" s="2"/>
      <c r="K773" s="1"/>
      <c r="L773" s="1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>
      <c r="A774" s="1"/>
      <c r="B774" s="2"/>
      <c r="C774" s="1"/>
      <c r="D774" s="2"/>
      <c r="E774" s="1"/>
      <c r="F774" s="2"/>
      <c r="G774" s="1"/>
      <c r="H774" s="2"/>
      <c r="I774" s="1"/>
      <c r="J774" s="2"/>
      <c r="K774" s="1"/>
      <c r="L774" s="1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>
      <c r="A775" s="1"/>
      <c r="B775" s="2"/>
      <c r="C775" s="1"/>
      <c r="D775" s="2"/>
      <c r="E775" s="1"/>
      <c r="F775" s="2"/>
      <c r="G775" s="1"/>
      <c r="H775" s="2"/>
      <c r="I775" s="1"/>
      <c r="J775" s="2"/>
      <c r="K775" s="1"/>
      <c r="L775" s="1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>
      <c r="A776" s="1"/>
      <c r="B776" s="2"/>
      <c r="C776" s="1"/>
      <c r="D776" s="2"/>
      <c r="E776" s="1"/>
      <c r="F776" s="2"/>
      <c r="G776" s="1"/>
      <c r="H776" s="2"/>
      <c r="I776" s="1"/>
      <c r="J776" s="2"/>
      <c r="K776" s="1"/>
      <c r="L776" s="1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>
      <c r="A777" s="1"/>
      <c r="B777" s="2"/>
      <c r="C777" s="1"/>
      <c r="D777" s="2"/>
      <c r="E777" s="1"/>
      <c r="F777" s="2"/>
      <c r="G777" s="1"/>
      <c r="H777" s="2"/>
      <c r="I777" s="1"/>
      <c r="J777" s="2"/>
      <c r="K777" s="1"/>
      <c r="L777" s="1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>
      <c r="A778" s="1"/>
      <c r="B778" s="2"/>
      <c r="C778" s="1"/>
      <c r="D778" s="2"/>
      <c r="E778" s="1"/>
      <c r="F778" s="2"/>
      <c r="G778" s="1"/>
      <c r="H778" s="2"/>
      <c r="I778" s="1"/>
      <c r="J778" s="2"/>
      <c r="K778" s="1"/>
      <c r="L778" s="1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>
      <c r="A779" s="1"/>
      <c r="B779" s="2"/>
      <c r="C779" s="1"/>
      <c r="D779" s="2"/>
      <c r="E779" s="1"/>
      <c r="F779" s="2"/>
      <c r="G779" s="1"/>
      <c r="H779" s="2"/>
      <c r="I779" s="1"/>
      <c r="J779" s="2"/>
      <c r="K779" s="1"/>
      <c r="L779" s="1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>
      <c r="A780" s="1"/>
      <c r="B780" s="2"/>
      <c r="C780" s="1"/>
      <c r="D780" s="2"/>
      <c r="E780" s="1"/>
      <c r="F780" s="2"/>
      <c r="G780" s="1"/>
      <c r="H780" s="2"/>
      <c r="I780" s="1"/>
      <c r="J780" s="2"/>
      <c r="K780" s="1"/>
      <c r="L780" s="1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>
      <c r="A781" s="1"/>
      <c r="B781" s="2"/>
      <c r="C781" s="1"/>
      <c r="D781" s="2"/>
      <c r="E781" s="1"/>
      <c r="F781" s="2"/>
      <c r="G781" s="1"/>
      <c r="H781" s="2"/>
      <c r="I781" s="1"/>
      <c r="J781" s="2"/>
      <c r="K781" s="1"/>
      <c r="L781" s="1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>
      <c r="A782" s="1"/>
      <c r="B782" s="2"/>
      <c r="C782" s="1"/>
      <c r="D782" s="2"/>
      <c r="E782" s="1"/>
      <c r="F782" s="2"/>
      <c r="G782" s="1"/>
      <c r="H782" s="2"/>
      <c r="I782" s="1"/>
      <c r="J782" s="2"/>
      <c r="K782" s="1"/>
      <c r="L782" s="1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>
      <c r="A783" s="1"/>
      <c r="B783" s="2"/>
      <c r="C783" s="1"/>
      <c r="D783" s="2"/>
      <c r="E783" s="1"/>
      <c r="F783" s="2"/>
      <c r="G783" s="1"/>
      <c r="H783" s="2"/>
      <c r="I783" s="1"/>
      <c r="J783" s="2"/>
      <c r="K783" s="1"/>
      <c r="L783" s="1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>
      <c r="A784" s="1"/>
      <c r="B784" s="2"/>
      <c r="C784" s="1"/>
      <c r="D784" s="2"/>
      <c r="E784" s="1"/>
      <c r="F784" s="2"/>
      <c r="G784" s="1"/>
      <c r="H784" s="2"/>
      <c r="I784" s="1"/>
      <c r="J784" s="2"/>
      <c r="K784" s="1"/>
      <c r="L784" s="1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>
      <c r="A785" s="1"/>
      <c r="B785" s="2"/>
      <c r="C785" s="1"/>
      <c r="D785" s="2"/>
      <c r="E785" s="1"/>
      <c r="F785" s="2"/>
      <c r="G785" s="1"/>
      <c r="H785" s="2"/>
      <c r="I785" s="1"/>
      <c r="J785" s="2"/>
      <c r="K785" s="1"/>
      <c r="L785" s="1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>
      <c r="A786" s="1"/>
      <c r="B786" s="2"/>
      <c r="C786" s="1"/>
      <c r="D786" s="2"/>
      <c r="E786" s="1"/>
      <c r="F786" s="2"/>
      <c r="G786" s="1"/>
      <c r="H786" s="2"/>
      <c r="I786" s="1"/>
      <c r="J786" s="2"/>
      <c r="K786" s="1"/>
      <c r="L786" s="1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>
      <c r="A787" s="1"/>
      <c r="B787" s="2"/>
      <c r="C787" s="1"/>
      <c r="D787" s="2"/>
      <c r="E787" s="1"/>
      <c r="F787" s="2"/>
      <c r="G787" s="1"/>
      <c r="H787" s="2"/>
      <c r="I787" s="1"/>
      <c r="J787" s="2"/>
      <c r="K787" s="1"/>
      <c r="L787" s="1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>
      <c r="A788" s="1"/>
      <c r="B788" s="2"/>
      <c r="C788" s="1"/>
      <c r="D788" s="2"/>
      <c r="E788" s="1"/>
      <c r="F788" s="2"/>
      <c r="G788" s="1"/>
      <c r="H788" s="2"/>
      <c r="I788" s="1"/>
      <c r="J788" s="2"/>
      <c r="K788" s="1"/>
      <c r="L788" s="1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>
      <c r="A789" s="1"/>
      <c r="B789" s="2"/>
      <c r="C789" s="1"/>
      <c r="D789" s="2"/>
      <c r="E789" s="1"/>
      <c r="F789" s="2"/>
      <c r="G789" s="1"/>
      <c r="H789" s="2"/>
      <c r="I789" s="1"/>
      <c r="J789" s="2"/>
      <c r="K789" s="1"/>
      <c r="L789" s="1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>
      <c r="A790" s="1"/>
      <c r="B790" s="2"/>
      <c r="C790" s="1"/>
      <c r="D790" s="2"/>
      <c r="E790" s="1"/>
      <c r="F790" s="2"/>
      <c r="G790" s="1"/>
      <c r="H790" s="2"/>
      <c r="I790" s="1"/>
      <c r="J790" s="2"/>
      <c r="K790" s="1"/>
      <c r="L790" s="1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>
      <c r="A791" s="1"/>
      <c r="B791" s="2"/>
      <c r="C791" s="1"/>
      <c r="D791" s="2"/>
      <c r="E791" s="1"/>
      <c r="F791" s="2"/>
      <c r="G791" s="1"/>
      <c r="H791" s="2"/>
      <c r="I791" s="1"/>
      <c r="J791" s="2"/>
      <c r="K791" s="1"/>
      <c r="L791" s="1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>
      <c r="A792" s="1"/>
      <c r="B792" s="2"/>
      <c r="C792" s="1"/>
      <c r="D792" s="2"/>
      <c r="E792" s="1"/>
      <c r="F792" s="2"/>
      <c r="G792" s="1"/>
      <c r="H792" s="2"/>
      <c r="I792" s="1"/>
      <c r="J792" s="2"/>
      <c r="K792" s="1"/>
      <c r="L792" s="1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>
      <c r="A793" s="1"/>
      <c r="B793" s="2"/>
      <c r="C793" s="1"/>
      <c r="D793" s="2"/>
      <c r="E793" s="1"/>
      <c r="F793" s="2"/>
      <c r="G793" s="1"/>
      <c r="H793" s="2"/>
      <c r="I793" s="1"/>
      <c r="J793" s="2"/>
      <c r="K793" s="1"/>
      <c r="L793" s="1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>
      <c r="A794" s="1"/>
      <c r="B794" s="2"/>
      <c r="C794" s="1"/>
      <c r="D794" s="2"/>
      <c r="E794" s="1"/>
      <c r="F794" s="2"/>
      <c r="G794" s="1"/>
      <c r="H794" s="2"/>
      <c r="I794" s="1"/>
      <c r="J794" s="2"/>
      <c r="K794" s="1"/>
      <c r="L794" s="1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>
      <c r="A795" s="1"/>
      <c r="B795" s="2"/>
      <c r="C795" s="1"/>
      <c r="D795" s="2"/>
      <c r="E795" s="1"/>
      <c r="F795" s="2"/>
      <c r="G795" s="1"/>
      <c r="H795" s="2"/>
      <c r="I795" s="1"/>
      <c r="J795" s="2"/>
      <c r="K795" s="1"/>
      <c r="L795" s="1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>
      <c r="A796" s="1"/>
      <c r="B796" s="2"/>
      <c r="C796" s="1"/>
      <c r="D796" s="2"/>
      <c r="E796" s="1"/>
      <c r="F796" s="2"/>
      <c r="G796" s="1"/>
      <c r="H796" s="2"/>
      <c r="I796" s="1"/>
      <c r="J796" s="2"/>
      <c r="K796" s="1"/>
      <c r="L796" s="1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>
      <c r="A797" s="1"/>
      <c r="B797" s="2"/>
      <c r="C797" s="1"/>
      <c r="D797" s="2"/>
      <c r="E797" s="1"/>
      <c r="F797" s="2"/>
      <c r="G797" s="1"/>
      <c r="H797" s="2"/>
      <c r="I797" s="1"/>
      <c r="J797" s="2"/>
      <c r="K797" s="1"/>
      <c r="L797" s="1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>
      <c r="A798" s="1"/>
      <c r="B798" s="2"/>
      <c r="C798" s="1"/>
      <c r="D798" s="2"/>
      <c r="E798" s="1"/>
      <c r="F798" s="2"/>
      <c r="G798" s="1"/>
      <c r="H798" s="2"/>
      <c r="I798" s="1"/>
      <c r="J798" s="2"/>
      <c r="K798" s="1"/>
      <c r="L798" s="1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>
      <c r="A799" s="1"/>
      <c r="B799" s="2"/>
      <c r="C799" s="1"/>
      <c r="D799" s="2"/>
      <c r="E799" s="1"/>
      <c r="F799" s="2"/>
      <c r="G799" s="1"/>
      <c r="H799" s="2"/>
      <c r="I799" s="1"/>
      <c r="J799" s="2"/>
      <c r="K799" s="1"/>
      <c r="L799" s="1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>
      <c r="A800" s="1"/>
      <c r="B800" s="2"/>
      <c r="C800" s="1"/>
      <c r="D800" s="2"/>
      <c r="E800" s="1"/>
      <c r="F800" s="2"/>
      <c r="G800" s="1"/>
      <c r="H800" s="2"/>
      <c r="I800" s="1"/>
      <c r="J800" s="2"/>
      <c r="K800" s="1"/>
      <c r="L800" s="1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>
      <c r="A801" s="1"/>
      <c r="B801" s="2"/>
      <c r="C801" s="1"/>
      <c r="D801" s="2"/>
      <c r="E801" s="1"/>
      <c r="F801" s="2"/>
      <c r="G801" s="1"/>
      <c r="H801" s="2"/>
      <c r="I801" s="1"/>
      <c r="J801" s="2"/>
      <c r="K801" s="1"/>
      <c r="L801" s="1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>
      <c r="A802" s="1"/>
      <c r="B802" s="2"/>
      <c r="C802" s="1"/>
      <c r="D802" s="2"/>
      <c r="E802" s="1"/>
      <c r="F802" s="2"/>
      <c r="G802" s="1"/>
      <c r="H802" s="2"/>
      <c r="I802" s="1"/>
      <c r="J802" s="2"/>
      <c r="K802" s="1"/>
      <c r="L802" s="1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>
      <c r="A803" s="1"/>
      <c r="B803" s="2"/>
      <c r="C803" s="1"/>
      <c r="D803" s="2"/>
      <c r="E803" s="1"/>
      <c r="F803" s="2"/>
      <c r="G803" s="1"/>
      <c r="H803" s="2"/>
      <c r="I803" s="1"/>
      <c r="J803" s="2"/>
      <c r="K803" s="1"/>
      <c r="L803" s="1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>
      <c r="A804" s="1"/>
      <c r="B804" s="2"/>
      <c r="C804" s="1"/>
      <c r="D804" s="2"/>
      <c r="E804" s="1"/>
      <c r="F804" s="2"/>
      <c r="G804" s="1"/>
      <c r="H804" s="2"/>
      <c r="I804" s="1"/>
      <c r="J804" s="2"/>
      <c r="K804" s="1"/>
      <c r="L804" s="1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>
      <c r="A805" s="1"/>
      <c r="B805" s="2"/>
      <c r="C805" s="1"/>
      <c r="D805" s="2"/>
      <c r="E805" s="1"/>
      <c r="F805" s="2"/>
      <c r="G805" s="1"/>
      <c r="H805" s="2"/>
      <c r="I805" s="1"/>
      <c r="J805" s="2"/>
      <c r="K805" s="1"/>
      <c r="L805" s="1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>
      <c r="A806" s="1"/>
      <c r="B806" s="2"/>
      <c r="C806" s="1"/>
      <c r="D806" s="2"/>
      <c r="E806" s="1"/>
      <c r="F806" s="2"/>
      <c r="G806" s="1"/>
      <c r="H806" s="2"/>
      <c r="I806" s="1"/>
      <c r="J806" s="2"/>
      <c r="K806" s="1"/>
      <c r="L806" s="1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>
      <c r="A807" s="1"/>
      <c r="B807" s="2"/>
      <c r="C807" s="1"/>
      <c r="D807" s="2"/>
      <c r="E807" s="1"/>
      <c r="F807" s="2"/>
      <c r="G807" s="1"/>
      <c r="H807" s="2"/>
      <c r="I807" s="1"/>
      <c r="J807" s="2"/>
      <c r="K807" s="1"/>
      <c r="L807" s="1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>
      <c r="A808" s="1"/>
      <c r="B808" s="2"/>
      <c r="C808" s="1"/>
      <c r="D808" s="2"/>
      <c r="E808" s="1"/>
      <c r="F808" s="2"/>
      <c r="G808" s="1"/>
      <c r="H808" s="2"/>
      <c r="I808" s="1"/>
      <c r="J808" s="2"/>
      <c r="K808" s="1"/>
      <c r="L808" s="1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>
      <c r="A809" s="1"/>
      <c r="B809" s="2"/>
      <c r="C809" s="1"/>
      <c r="D809" s="2"/>
      <c r="E809" s="1"/>
      <c r="F809" s="2"/>
      <c r="G809" s="1"/>
      <c r="H809" s="2"/>
      <c r="I809" s="1"/>
      <c r="J809" s="2"/>
      <c r="K809" s="1"/>
      <c r="L809" s="1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>
      <c r="A810" s="1"/>
      <c r="B810" s="2"/>
      <c r="C810" s="1"/>
      <c r="D810" s="2"/>
      <c r="E810" s="1"/>
      <c r="F810" s="2"/>
      <c r="G810" s="1"/>
      <c r="H810" s="2"/>
      <c r="I810" s="1"/>
      <c r="J810" s="2"/>
      <c r="K810" s="1"/>
      <c r="L810" s="1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>
      <c r="A811" s="1"/>
      <c r="B811" s="2"/>
      <c r="C811" s="1"/>
      <c r="D811" s="2"/>
      <c r="E811" s="1"/>
      <c r="F811" s="2"/>
      <c r="G811" s="1"/>
      <c r="H811" s="2"/>
      <c r="I811" s="1"/>
      <c r="J811" s="2"/>
      <c r="K811" s="1"/>
      <c r="L811" s="1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>
      <c r="A812" s="1"/>
      <c r="B812" s="2"/>
      <c r="C812" s="1"/>
      <c r="D812" s="2"/>
      <c r="E812" s="1"/>
      <c r="F812" s="2"/>
      <c r="G812" s="1"/>
      <c r="H812" s="2"/>
      <c r="I812" s="1"/>
      <c r="J812" s="2"/>
      <c r="K812" s="1"/>
      <c r="L812" s="1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>
      <c r="A813" s="1"/>
      <c r="B813" s="2"/>
      <c r="C813" s="1"/>
      <c r="D813" s="2"/>
      <c r="E813" s="1"/>
      <c r="F813" s="2"/>
      <c r="G813" s="1"/>
      <c r="H813" s="2"/>
      <c r="I813" s="1"/>
      <c r="J813" s="2"/>
      <c r="K813" s="1"/>
      <c r="L813" s="1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>
      <c r="A814" s="1"/>
      <c r="B814" s="2"/>
      <c r="C814" s="1"/>
      <c r="D814" s="2"/>
      <c r="E814" s="1"/>
      <c r="F814" s="2"/>
      <c r="G814" s="1"/>
      <c r="H814" s="2"/>
      <c r="I814" s="1"/>
      <c r="J814" s="2"/>
      <c r="K814" s="1"/>
      <c r="L814" s="1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>
      <c r="A815" s="1"/>
      <c r="B815" s="2"/>
      <c r="C815" s="1"/>
      <c r="D815" s="2"/>
      <c r="E815" s="1"/>
      <c r="F815" s="2"/>
      <c r="G815" s="1"/>
      <c r="H815" s="2"/>
      <c r="I815" s="1"/>
      <c r="J815" s="2"/>
      <c r="K815" s="1"/>
      <c r="L815" s="1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>
      <c r="A816" s="1"/>
      <c r="B816" s="2"/>
      <c r="C816" s="1"/>
      <c r="D816" s="2"/>
      <c r="E816" s="1"/>
      <c r="F816" s="2"/>
      <c r="G816" s="1"/>
      <c r="H816" s="2"/>
      <c r="I816" s="1"/>
      <c r="J816" s="2"/>
      <c r="K816" s="1"/>
      <c r="L816" s="1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>
      <c r="A817" s="1"/>
      <c r="B817" s="2"/>
      <c r="C817" s="1"/>
      <c r="D817" s="2"/>
      <c r="E817" s="1"/>
      <c r="F817" s="2"/>
      <c r="G817" s="1"/>
      <c r="H817" s="2"/>
      <c r="I817" s="1"/>
      <c r="J817" s="2"/>
      <c r="K817" s="1"/>
      <c r="L817" s="1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>
      <c r="A818" s="1"/>
      <c r="B818" s="2"/>
      <c r="C818" s="1"/>
      <c r="D818" s="2"/>
      <c r="E818" s="1"/>
      <c r="F818" s="2"/>
      <c r="G818" s="1"/>
      <c r="H818" s="2"/>
      <c r="I818" s="1"/>
      <c r="J818" s="2"/>
      <c r="K818" s="1"/>
      <c r="L818" s="1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>
      <c r="A819" s="1"/>
      <c r="B819" s="2"/>
      <c r="C819" s="1"/>
      <c r="D819" s="2"/>
      <c r="E819" s="1"/>
      <c r="F819" s="2"/>
      <c r="G819" s="1"/>
      <c r="H819" s="2"/>
      <c r="I819" s="1"/>
      <c r="J819" s="2"/>
      <c r="K819" s="1"/>
      <c r="L819" s="1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>
      <c r="A820" s="1"/>
      <c r="B820" s="2"/>
      <c r="C820" s="1"/>
      <c r="D820" s="2"/>
      <c r="E820" s="1"/>
      <c r="F820" s="2"/>
      <c r="G820" s="1"/>
      <c r="H820" s="2"/>
      <c r="I820" s="1"/>
      <c r="J820" s="2"/>
      <c r="K820" s="1"/>
      <c r="L820" s="1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>
      <c r="A821" s="1"/>
      <c r="B821" s="2"/>
      <c r="C821" s="1"/>
      <c r="D821" s="2"/>
      <c r="E821" s="1"/>
      <c r="F821" s="2"/>
      <c r="G821" s="1"/>
      <c r="H821" s="2"/>
      <c r="I821" s="1"/>
      <c r="J821" s="2"/>
      <c r="K821" s="1"/>
      <c r="L821" s="1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>
      <c r="A822" s="1"/>
      <c r="B822" s="2"/>
      <c r="C822" s="1"/>
      <c r="D822" s="2"/>
      <c r="E822" s="1"/>
      <c r="F822" s="2"/>
      <c r="G822" s="1"/>
      <c r="H822" s="2"/>
      <c r="I822" s="1"/>
      <c r="J822" s="2"/>
      <c r="K822" s="1"/>
      <c r="L822" s="1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>
      <c r="A823" s="1"/>
      <c r="B823" s="2"/>
      <c r="C823" s="1"/>
      <c r="D823" s="2"/>
      <c r="E823" s="1"/>
      <c r="F823" s="2"/>
      <c r="G823" s="1"/>
      <c r="H823" s="2"/>
      <c r="I823" s="1"/>
      <c r="J823" s="2"/>
      <c r="K823" s="1"/>
      <c r="L823" s="1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>
      <c r="A824" s="1"/>
      <c r="B824" s="2"/>
      <c r="C824" s="1"/>
      <c r="D824" s="2"/>
      <c r="E824" s="1"/>
      <c r="F824" s="2"/>
      <c r="G824" s="1"/>
      <c r="H824" s="2"/>
      <c r="I824" s="1"/>
      <c r="J824" s="2"/>
      <c r="K824" s="1"/>
      <c r="L824" s="1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>
      <c r="A825" s="1"/>
      <c r="B825" s="2"/>
      <c r="C825" s="1"/>
      <c r="D825" s="2"/>
      <c r="E825" s="1"/>
      <c r="F825" s="2"/>
      <c r="G825" s="1"/>
      <c r="H825" s="2"/>
      <c r="I825" s="1"/>
      <c r="J825" s="2"/>
      <c r="K825" s="1"/>
      <c r="L825" s="1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>
      <c r="A826" s="1"/>
      <c r="B826" s="2"/>
      <c r="C826" s="1"/>
      <c r="D826" s="2"/>
      <c r="E826" s="1"/>
      <c r="F826" s="2"/>
      <c r="G826" s="1"/>
      <c r="H826" s="2"/>
      <c r="I826" s="1"/>
      <c r="J826" s="2"/>
      <c r="K826" s="1"/>
      <c r="L826" s="1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>
      <c r="A827" s="1"/>
      <c r="B827" s="2"/>
      <c r="C827" s="1"/>
      <c r="D827" s="2"/>
      <c r="E827" s="1"/>
      <c r="F827" s="2"/>
      <c r="G827" s="1"/>
      <c r="H827" s="2"/>
      <c r="I827" s="1"/>
      <c r="J827" s="2"/>
      <c r="K827" s="1"/>
      <c r="L827" s="1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>
      <c r="A828" s="1"/>
      <c r="B828" s="2"/>
      <c r="C828" s="1"/>
      <c r="D828" s="2"/>
      <c r="E828" s="1"/>
      <c r="F828" s="2"/>
      <c r="G828" s="1"/>
      <c r="H828" s="2"/>
      <c r="I828" s="1"/>
      <c r="J828" s="2"/>
      <c r="K828" s="1"/>
      <c r="L828" s="1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>
      <c r="A829" s="1"/>
      <c r="B829" s="2"/>
      <c r="C829" s="1"/>
      <c r="D829" s="2"/>
      <c r="E829" s="1"/>
      <c r="F829" s="2"/>
      <c r="G829" s="1"/>
      <c r="H829" s="2"/>
      <c r="I829" s="1"/>
      <c r="J829" s="2"/>
      <c r="K829" s="1"/>
      <c r="L829" s="1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>
      <c r="A830" s="1"/>
      <c r="B830" s="2"/>
      <c r="C830" s="1"/>
      <c r="D830" s="2"/>
      <c r="E830" s="1"/>
      <c r="F830" s="2"/>
      <c r="G830" s="1"/>
      <c r="H830" s="2"/>
      <c r="I830" s="1"/>
      <c r="J830" s="2"/>
      <c r="K830" s="1"/>
      <c r="L830" s="1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>
      <c r="A831" s="1"/>
      <c r="B831" s="2"/>
      <c r="C831" s="1"/>
      <c r="D831" s="2"/>
      <c r="E831" s="1"/>
      <c r="F831" s="2"/>
      <c r="G831" s="1"/>
      <c r="H831" s="2"/>
      <c r="I831" s="1"/>
      <c r="J831" s="2"/>
      <c r="K831" s="1"/>
      <c r="L831" s="1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>
      <c r="A832" s="1"/>
      <c r="B832" s="2"/>
      <c r="C832" s="1"/>
      <c r="D832" s="2"/>
      <c r="E832" s="1"/>
      <c r="F832" s="2"/>
      <c r="G832" s="1"/>
      <c r="H832" s="2"/>
      <c r="I832" s="1"/>
      <c r="J832" s="2"/>
      <c r="K832" s="1"/>
      <c r="L832" s="1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>
      <c r="A833" s="1"/>
      <c r="B833" s="2"/>
      <c r="C833" s="1"/>
      <c r="D833" s="2"/>
      <c r="E833" s="1"/>
      <c r="F833" s="2"/>
      <c r="G833" s="1"/>
      <c r="H833" s="2"/>
      <c r="I833" s="1"/>
      <c r="J833" s="2"/>
      <c r="K833" s="1"/>
      <c r="L833" s="1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>
      <c r="A834" s="1"/>
      <c r="B834" s="2"/>
      <c r="C834" s="1"/>
      <c r="D834" s="2"/>
      <c r="E834" s="1"/>
      <c r="F834" s="2"/>
      <c r="G834" s="1"/>
      <c r="H834" s="2"/>
      <c r="I834" s="1"/>
      <c r="J834" s="2"/>
      <c r="K834" s="1"/>
      <c r="L834" s="1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>
      <c r="A835" s="1"/>
      <c r="B835" s="2"/>
      <c r="C835" s="1"/>
      <c r="D835" s="2"/>
      <c r="E835" s="1"/>
      <c r="F835" s="2"/>
      <c r="G835" s="1"/>
      <c r="H835" s="2"/>
      <c r="I835" s="1"/>
      <c r="J835" s="2"/>
      <c r="K835" s="1"/>
      <c r="L835" s="1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>
      <c r="A836" s="1"/>
      <c r="B836" s="2"/>
      <c r="C836" s="1"/>
      <c r="D836" s="2"/>
      <c r="E836" s="1"/>
      <c r="F836" s="2"/>
      <c r="G836" s="1"/>
      <c r="H836" s="2"/>
      <c r="I836" s="1"/>
      <c r="J836" s="2"/>
      <c r="K836" s="1"/>
      <c r="L836" s="1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>
      <c r="A837" s="1"/>
      <c r="B837" s="2"/>
      <c r="C837" s="1"/>
      <c r="D837" s="2"/>
      <c r="E837" s="1"/>
      <c r="F837" s="2"/>
      <c r="G837" s="1"/>
      <c r="H837" s="2"/>
      <c r="I837" s="1"/>
      <c r="J837" s="2"/>
      <c r="K837" s="1"/>
      <c r="L837" s="1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>
      <c r="A838" s="1"/>
      <c r="B838" s="2"/>
      <c r="C838" s="1"/>
      <c r="D838" s="2"/>
      <c r="E838" s="1"/>
      <c r="F838" s="2"/>
      <c r="G838" s="1"/>
      <c r="H838" s="2"/>
      <c r="I838" s="1"/>
      <c r="J838" s="2"/>
      <c r="K838" s="1"/>
      <c r="L838" s="1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>
      <c r="A839" s="1"/>
      <c r="B839" s="2"/>
      <c r="C839" s="1"/>
      <c r="D839" s="2"/>
      <c r="E839" s="1"/>
      <c r="F839" s="2"/>
      <c r="G839" s="1"/>
      <c r="H839" s="2"/>
      <c r="I839" s="1"/>
      <c r="J839" s="2"/>
      <c r="K839" s="1"/>
      <c r="L839" s="1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>
      <c r="A840" s="1"/>
      <c r="B840" s="2"/>
      <c r="C840" s="1"/>
      <c r="D840" s="2"/>
      <c r="E840" s="1"/>
      <c r="F840" s="2"/>
      <c r="G840" s="1"/>
      <c r="H840" s="2"/>
      <c r="I840" s="1"/>
      <c r="J840" s="2"/>
      <c r="K840" s="1"/>
      <c r="L840" s="1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>
      <c r="A841" s="1"/>
      <c r="B841" s="2"/>
      <c r="C841" s="1"/>
      <c r="D841" s="2"/>
      <c r="E841" s="1"/>
      <c r="F841" s="2"/>
      <c r="G841" s="1"/>
      <c r="H841" s="2"/>
      <c r="I841" s="1"/>
      <c r="J841" s="2"/>
      <c r="K841" s="1"/>
      <c r="L841" s="1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>
      <c r="A842" s="1"/>
      <c r="B842" s="2"/>
      <c r="C842" s="1"/>
      <c r="D842" s="2"/>
      <c r="E842" s="1"/>
      <c r="F842" s="2"/>
      <c r="G842" s="1"/>
      <c r="H842" s="2"/>
      <c r="I842" s="1"/>
      <c r="J842" s="2"/>
      <c r="K842" s="1"/>
      <c r="L842" s="1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>
      <c r="A843" s="1"/>
      <c r="B843" s="2"/>
      <c r="C843" s="1"/>
      <c r="D843" s="2"/>
      <c r="E843" s="1"/>
      <c r="F843" s="2"/>
      <c r="G843" s="1"/>
      <c r="H843" s="2"/>
      <c r="I843" s="1"/>
      <c r="J843" s="2"/>
      <c r="K843" s="1"/>
      <c r="L843" s="1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>
      <c r="A844" s="1"/>
      <c r="B844" s="2"/>
      <c r="C844" s="1"/>
      <c r="D844" s="2"/>
      <c r="E844" s="1"/>
      <c r="F844" s="2"/>
      <c r="G844" s="1"/>
      <c r="H844" s="2"/>
      <c r="I844" s="1"/>
      <c r="J844" s="2"/>
      <c r="K844" s="1"/>
      <c r="L844" s="1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>
      <c r="A845" s="1"/>
      <c r="B845" s="2"/>
      <c r="C845" s="1"/>
      <c r="D845" s="2"/>
      <c r="E845" s="1"/>
      <c r="F845" s="2"/>
      <c r="G845" s="1"/>
      <c r="H845" s="2"/>
      <c r="I845" s="1"/>
      <c r="J845" s="2"/>
      <c r="K845" s="1"/>
      <c r="L845" s="1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>
      <c r="A846" s="1"/>
      <c r="B846" s="2"/>
      <c r="C846" s="1"/>
      <c r="D846" s="2"/>
      <c r="E846" s="1"/>
      <c r="F846" s="2"/>
      <c r="G846" s="1"/>
      <c r="H846" s="2"/>
      <c r="I846" s="1"/>
      <c r="J846" s="2"/>
      <c r="K846" s="1"/>
      <c r="L846" s="1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>
      <c r="A847" s="1"/>
      <c r="B847" s="2"/>
      <c r="C847" s="1"/>
      <c r="D847" s="2"/>
      <c r="E847" s="1"/>
      <c r="F847" s="2"/>
      <c r="G847" s="1"/>
      <c r="H847" s="2"/>
      <c r="I847" s="1"/>
      <c r="J847" s="2"/>
      <c r="K847" s="1"/>
      <c r="L847" s="1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>
      <c r="A848" s="1"/>
      <c r="B848" s="2"/>
      <c r="C848" s="1"/>
      <c r="D848" s="2"/>
      <c r="E848" s="1"/>
      <c r="F848" s="2"/>
      <c r="G848" s="1"/>
      <c r="H848" s="2"/>
      <c r="I848" s="1"/>
      <c r="J848" s="2"/>
      <c r="K848" s="1"/>
      <c r="L848" s="1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>
      <c r="A849" s="1"/>
      <c r="B849" s="2"/>
      <c r="C849" s="1"/>
      <c r="D849" s="2"/>
      <c r="E849" s="1"/>
      <c r="F849" s="2"/>
      <c r="G849" s="1"/>
      <c r="H849" s="2"/>
      <c r="I849" s="1"/>
      <c r="J849" s="2"/>
      <c r="K849" s="1"/>
      <c r="L849" s="1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>
      <c r="A850" s="1"/>
      <c r="B850" s="2"/>
      <c r="C850" s="1"/>
      <c r="D850" s="2"/>
      <c r="E850" s="1"/>
      <c r="F850" s="2"/>
      <c r="G850" s="1"/>
      <c r="H850" s="2"/>
      <c r="I850" s="1"/>
      <c r="J850" s="2"/>
      <c r="K850" s="1"/>
      <c r="L850" s="1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>
      <c r="A851" s="1"/>
      <c r="B851" s="2"/>
      <c r="C851" s="1"/>
      <c r="D851" s="2"/>
      <c r="E851" s="1"/>
      <c r="F851" s="2"/>
      <c r="G851" s="1"/>
      <c r="H851" s="2"/>
      <c r="I851" s="1"/>
      <c r="J851" s="2"/>
      <c r="K851" s="1"/>
      <c r="L851" s="1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>
      <c r="A852" s="1"/>
      <c r="B852" s="2"/>
      <c r="C852" s="1"/>
      <c r="D852" s="2"/>
      <c r="E852" s="1"/>
      <c r="F852" s="2"/>
      <c r="G852" s="1"/>
      <c r="H852" s="2"/>
      <c r="I852" s="1"/>
      <c r="J852" s="2"/>
      <c r="K852" s="1"/>
      <c r="L852" s="1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>
      <c r="A853" s="1"/>
      <c r="B853" s="2"/>
      <c r="C853" s="1"/>
      <c r="D853" s="2"/>
      <c r="E853" s="1"/>
      <c r="F853" s="2"/>
      <c r="G853" s="1"/>
      <c r="H853" s="2"/>
      <c r="I853" s="1"/>
      <c r="J853" s="2"/>
      <c r="K853" s="1"/>
      <c r="L853" s="1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>
      <c r="A854" s="1"/>
      <c r="B854" s="2"/>
      <c r="C854" s="1"/>
      <c r="D854" s="2"/>
      <c r="E854" s="1"/>
      <c r="F854" s="2"/>
      <c r="G854" s="1"/>
      <c r="H854" s="2"/>
      <c r="I854" s="1"/>
      <c r="J854" s="2"/>
      <c r="K854" s="1"/>
      <c r="L854" s="1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>
      <c r="A855" s="1"/>
      <c r="B855" s="2"/>
      <c r="C855" s="1"/>
      <c r="D855" s="2"/>
      <c r="E855" s="1"/>
      <c r="F855" s="2"/>
      <c r="G855" s="1"/>
      <c r="H855" s="2"/>
      <c r="I855" s="1"/>
      <c r="J855" s="2"/>
      <c r="K855" s="1"/>
      <c r="L855" s="1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>
      <c r="A856" s="1"/>
      <c r="B856" s="2"/>
      <c r="C856" s="1"/>
      <c r="D856" s="2"/>
      <c r="E856" s="1"/>
      <c r="F856" s="2"/>
      <c r="G856" s="1"/>
      <c r="H856" s="2"/>
      <c r="I856" s="1"/>
      <c r="J856" s="2"/>
      <c r="K856" s="1"/>
      <c r="L856" s="1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>
      <c r="A857" s="1"/>
      <c r="B857" s="2"/>
      <c r="C857" s="1"/>
      <c r="D857" s="2"/>
      <c r="E857" s="1"/>
      <c r="F857" s="2"/>
      <c r="G857" s="1"/>
      <c r="H857" s="2"/>
      <c r="I857" s="1"/>
      <c r="J857" s="2"/>
      <c r="K857" s="1"/>
      <c r="L857" s="1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>
      <c r="A858" s="1"/>
      <c r="B858" s="2"/>
      <c r="C858" s="1"/>
      <c r="D858" s="2"/>
      <c r="E858" s="1"/>
      <c r="F858" s="2"/>
      <c r="G858" s="1"/>
      <c r="H858" s="2"/>
      <c r="I858" s="1"/>
      <c r="J858" s="2"/>
      <c r="K858" s="1"/>
      <c r="L858" s="1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>
      <c r="A859" s="1"/>
      <c r="B859" s="2"/>
      <c r="C859" s="1"/>
      <c r="D859" s="2"/>
      <c r="E859" s="1"/>
      <c r="F859" s="2"/>
      <c r="G859" s="1"/>
      <c r="H859" s="2"/>
      <c r="I859" s="1"/>
      <c r="J859" s="2"/>
      <c r="K859" s="1"/>
      <c r="L859" s="1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>
      <c r="A860" s="1"/>
      <c r="B860" s="2"/>
      <c r="C860" s="1"/>
      <c r="D860" s="2"/>
      <c r="E860" s="1"/>
      <c r="F860" s="2"/>
      <c r="G860" s="1"/>
      <c r="H860" s="2"/>
      <c r="I860" s="1"/>
      <c r="J860" s="2"/>
      <c r="K860" s="1"/>
      <c r="L860" s="1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>
      <c r="A861" s="1"/>
      <c r="B861" s="2"/>
      <c r="C861" s="1"/>
      <c r="D861" s="2"/>
      <c r="E861" s="1"/>
      <c r="F861" s="2"/>
      <c r="G861" s="1"/>
      <c r="H861" s="2"/>
      <c r="I861" s="1"/>
      <c r="J861" s="2"/>
      <c r="K861" s="1"/>
      <c r="L861" s="1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>
      <c r="A862" s="1"/>
      <c r="B862" s="2"/>
      <c r="C862" s="1"/>
      <c r="D862" s="2"/>
      <c r="E862" s="1"/>
      <c r="F862" s="2"/>
      <c r="G862" s="1"/>
      <c r="H862" s="2"/>
      <c r="I862" s="1"/>
      <c r="J862" s="2"/>
      <c r="K862" s="1"/>
      <c r="L862" s="1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>
      <c r="A863" s="1"/>
      <c r="B863" s="2"/>
      <c r="C863" s="1"/>
      <c r="D863" s="2"/>
      <c r="E863" s="1"/>
      <c r="F863" s="2"/>
      <c r="G863" s="1"/>
      <c r="H863" s="2"/>
      <c r="I863" s="1"/>
      <c r="J863" s="2"/>
      <c r="K863" s="1"/>
      <c r="L863" s="1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>
      <c r="A864" s="1"/>
      <c r="B864" s="2"/>
      <c r="C864" s="1"/>
      <c r="D864" s="2"/>
      <c r="E864" s="1"/>
      <c r="F864" s="2"/>
      <c r="G864" s="1"/>
      <c r="H864" s="2"/>
      <c r="I864" s="1"/>
      <c r="J864" s="2"/>
      <c r="K864" s="1"/>
      <c r="L864" s="1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>
      <c r="A865" s="1"/>
      <c r="B865" s="2"/>
      <c r="C865" s="1"/>
      <c r="D865" s="2"/>
      <c r="E865" s="1"/>
      <c r="F865" s="2"/>
      <c r="G865" s="1"/>
      <c r="H865" s="2"/>
      <c r="I865" s="1"/>
      <c r="J865" s="2"/>
      <c r="K865" s="1"/>
      <c r="L865" s="1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>
      <c r="A866" s="1"/>
      <c r="B866" s="2"/>
      <c r="C866" s="1"/>
      <c r="D866" s="2"/>
      <c r="E866" s="1"/>
      <c r="F866" s="2"/>
      <c r="G866" s="1"/>
      <c r="H866" s="2"/>
      <c r="I866" s="1"/>
      <c r="J866" s="2"/>
      <c r="K866" s="1"/>
      <c r="L866" s="1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>
      <c r="A867" s="1"/>
      <c r="B867" s="2"/>
      <c r="C867" s="1"/>
      <c r="D867" s="2"/>
      <c r="E867" s="1"/>
      <c r="F867" s="2"/>
      <c r="G867" s="1"/>
      <c r="H867" s="2"/>
      <c r="I867" s="1"/>
      <c r="J867" s="2"/>
      <c r="K867" s="1"/>
      <c r="L867" s="1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>
      <c r="A868" s="1"/>
      <c r="B868" s="2"/>
      <c r="C868" s="1"/>
      <c r="D868" s="2"/>
      <c r="E868" s="1"/>
      <c r="F868" s="2"/>
      <c r="G868" s="1"/>
      <c r="H868" s="2"/>
      <c r="I868" s="1"/>
      <c r="J868" s="2"/>
      <c r="K868" s="1"/>
      <c r="L868" s="1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>
      <c r="A869" s="1"/>
      <c r="B869" s="2"/>
      <c r="C869" s="1"/>
      <c r="D869" s="2"/>
      <c r="E869" s="1"/>
      <c r="F869" s="2"/>
      <c r="G869" s="1"/>
      <c r="H869" s="2"/>
      <c r="I869" s="1"/>
      <c r="J869" s="2"/>
      <c r="K869" s="1"/>
      <c r="L869" s="1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>
      <c r="A870" s="1"/>
      <c r="B870" s="2"/>
      <c r="C870" s="1"/>
      <c r="D870" s="2"/>
      <c r="E870" s="1"/>
      <c r="F870" s="2"/>
      <c r="G870" s="1"/>
      <c r="H870" s="2"/>
      <c r="I870" s="1"/>
      <c r="J870" s="2"/>
      <c r="K870" s="1"/>
      <c r="L870" s="1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>
      <c r="A871" s="1"/>
      <c r="B871" s="2"/>
      <c r="C871" s="1"/>
      <c r="D871" s="2"/>
      <c r="E871" s="1"/>
      <c r="F871" s="2"/>
      <c r="G871" s="1"/>
      <c r="H871" s="2"/>
      <c r="I871" s="1"/>
      <c r="J871" s="2"/>
      <c r="K871" s="1"/>
      <c r="L871" s="1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>
      <c r="A872" s="1"/>
      <c r="B872" s="2"/>
      <c r="C872" s="1"/>
      <c r="D872" s="2"/>
      <c r="E872" s="1"/>
      <c r="F872" s="2"/>
      <c r="G872" s="1"/>
      <c r="H872" s="2"/>
      <c r="I872" s="1"/>
      <c r="J872" s="2"/>
      <c r="K872" s="1"/>
      <c r="L872" s="1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>
      <c r="A873" s="1"/>
      <c r="B873" s="2"/>
      <c r="C873" s="1"/>
      <c r="D873" s="2"/>
      <c r="E873" s="1"/>
      <c r="F873" s="2"/>
      <c r="G873" s="1"/>
      <c r="H873" s="2"/>
      <c r="I873" s="1"/>
      <c r="J873" s="2"/>
      <c r="K873" s="1"/>
      <c r="L873" s="1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>
      <c r="A874" s="1"/>
      <c r="B874" s="2"/>
      <c r="C874" s="1"/>
      <c r="D874" s="2"/>
      <c r="E874" s="1"/>
      <c r="F874" s="2"/>
      <c r="G874" s="1"/>
      <c r="H874" s="2"/>
      <c r="I874" s="1"/>
      <c r="J874" s="2"/>
      <c r="K874" s="1"/>
      <c r="L874" s="1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>
      <c r="A875" s="1"/>
      <c r="B875" s="2"/>
      <c r="C875" s="1"/>
      <c r="D875" s="2"/>
      <c r="E875" s="1"/>
      <c r="F875" s="2"/>
      <c r="G875" s="1"/>
      <c r="H875" s="2"/>
      <c r="I875" s="1"/>
      <c r="J875" s="2"/>
      <c r="K875" s="1"/>
      <c r="L875" s="1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>
      <c r="A876" s="1"/>
      <c r="B876" s="2"/>
      <c r="C876" s="1"/>
      <c r="D876" s="2"/>
      <c r="E876" s="1"/>
      <c r="F876" s="2"/>
      <c r="G876" s="1"/>
      <c r="H876" s="2"/>
      <c r="I876" s="1"/>
      <c r="J876" s="2"/>
      <c r="K876" s="1"/>
      <c r="L876" s="1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>
      <c r="A877" s="1"/>
      <c r="B877" s="2"/>
      <c r="C877" s="1"/>
      <c r="D877" s="2"/>
      <c r="E877" s="1"/>
      <c r="F877" s="2"/>
      <c r="G877" s="1"/>
      <c r="H877" s="2"/>
      <c r="I877" s="1"/>
      <c r="J877" s="2"/>
      <c r="K877" s="1"/>
      <c r="L877" s="1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>
      <c r="A878" s="1"/>
      <c r="B878" s="2"/>
      <c r="C878" s="1"/>
      <c r="D878" s="2"/>
      <c r="E878" s="1"/>
      <c r="F878" s="2"/>
      <c r="G878" s="1"/>
      <c r="H878" s="2"/>
      <c r="I878" s="1"/>
      <c r="J878" s="2"/>
      <c r="K878" s="1"/>
      <c r="L878" s="1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>
      <c r="A879" s="1"/>
      <c r="B879" s="2"/>
      <c r="C879" s="1"/>
      <c r="D879" s="2"/>
      <c r="E879" s="1"/>
      <c r="F879" s="2"/>
      <c r="G879" s="1"/>
      <c r="H879" s="2"/>
      <c r="I879" s="1"/>
      <c r="J879" s="2"/>
      <c r="K879" s="1"/>
      <c r="L879" s="1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>
      <c r="A880" s="1"/>
      <c r="B880" s="2"/>
      <c r="C880" s="1"/>
      <c r="D880" s="2"/>
      <c r="E880" s="1"/>
      <c r="F880" s="2"/>
      <c r="G880" s="1"/>
      <c r="H880" s="2"/>
      <c r="I880" s="1"/>
      <c r="J880" s="2"/>
      <c r="K880" s="1"/>
      <c r="L880" s="1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>
      <c r="A881" s="1"/>
      <c r="B881" s="2"/>
      <c r="C881" s="1"/>
      <c r="D881" s="2"/>
      <c r="E881" s="1"/>
      <c r="F881" s="2"/>
      <c r="G881" s="1"/>
      <c r="H881" s="2"/>
      <c r="I881" s="1"/>
      <c r="J881" s="2"/>
      <c r="K881" s="1"/>
      <c r="L881" s="1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>
      <c r="A882" s="1"/>
      <c r="B882" s="2"/>
      <c r="C882" s="1"/>
      <c r="D882" s="2"/>
      <c r="E882" s="1"/>
      <c r="F882" s="2"/>
      <c r="G882" s="1"/>
      <c r="H882" s="2"/>
      <c r="I882" s="1"/>
      <c r="J882" s="2"/>
      <c r="K882" s="1"/>
      <c r="L882" s="1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>
      <c r="A883" s="1"/>
      <c r="B883" s="2"/>
      <c r="C883" s="1"/>
      <c r="D883" s="2"/>
      <c r="E883" s="1"/>
      <c r="F883" s="2"/>
      <c r="G883" s="1"/>
      <c r="H883" s="2"/>
      <c r="I883" s="1"/>
      <c r="J883" s="2"/>
      <c r="K883" s="1"/>
      <c r="L883" s="1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>
      <c r="A884" s="1"/>
      <c r="B884" s="2"/>
      <c r="C884" s="1"/>
      <c r="D884" s="2"/>
      <c r="E884" s="1"/>
      <c r="F884" s="2"/>
      <c r="G884" s="1"/>
      <c r="H884" s="2"/>
      <c r="I884" s="1"/>
      <c r="J884" s="2"/>
      <c r="K884" s="1"/>
      <c r="L884" s="1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>
      <c r="A885" s="1"/>
      <c r="B885" s="2"/>
      <c r="C885" s="1"/>
      <c r="D885" s="2"/>
      <c r="E885" s="1"/>
      <c r="F885" s="2"/>
      <c r="G885" s="1"/>
      <c r="H885" s="2"/>
      <c r="I885" s="1"/>
      <c r="J885" s="2"/>
      <c r="K885" s="1"/>
      <c r="L885" s="1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>
      <c r="A886" s="1"/>
      <c r="B886" s="2"/>
      <c r="C886" s="1"/>
      <c r="D886" s="2"/>
      <c r="E886" s="1"/>
      <c r="F886" s="2"/>
      <c r="G886" s="1"/>
      <c r="H886" s="2"/>
      <c r="I886" s="1"/>
      <c r="J886" s="2"/>
      <c r="K886" s="1"/>
      <c r="L886" s="1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>
      <c r="A887" s="1"/>
      <c r="B887" s="2"/>
      <c r="C887" s="1"/>
      <c r="D887" s="2"/>
      <c r="E887" s="1"/>
      <c r="F887" s="2"/>
      <c r="G887" s="1"/>
      <c r="H887" s="2"/>
      <c r="I887" s="1"/>
      <c r="J887" s="2"/>
      <c r="K887" s="1"/>
      <c r="L887" s="1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>
      <c r="A888" s="1"/>
      <c r="B888" s="2"/>
      <c r="C888" s="1"/>
      <c r="D888" s="2"/>
      <c r="E888" s="1"/>
      <c r="F888" s="2"/>
      <c r="G888" s="1"/>
      <c r="H888" s="2"/>
      <c r="I888" s="1"/>
      <c r="J888" s="2"/>
      <c r="K888" s="1"/>
      <c r="L888" s="1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>
      <c r="A889" s="1"/>
      <c r="B889" s="2"/>
      <c r="C889" s="1"/>
      <c r="D889" s="2"/>
      <c r="E889" s="1"/>
      <c r="F889" s="2"/>
      <c r="G889" s="1"/>
      <c r="H889" s="2"/>
      <c r="I889" s="1"/>
      <c r="J889" s="2"/>
      <c r="K889" s="1"/>
      <c r="L889" s="1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>
      <c r="A890" s="1"/>
      <c r="B890" s="2"/>
      <c r="C890" s="1"/>
      <c r="D890" s="2"/>
      <c r="E890" s="1"/>
      <c r="F890" s="2"/>
      <c r="G890" s="1"/>
      <c r="H890" s="2"/>
      <c r="I890" s="1"/>
      <c r="J890" s="2"/>
      <c r="K890" s="1"/>
      <c r="L890" s="1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>
      <c r="A891" s="1"/>
      <c r="B891" s="2"/>
      <c r="C891" s="1"/>
      <c r="D891" s="2"/>
      <c r="E891" s="1"/>
      <c r="F891" s="2"/>
      <c r="G891" s="1"/>
      <c r="H891" s="2"/>
      <c r="I891" s="1"/>
      <c r="J891" s="2"/>
      <c r="K891" s="1"/>
      <c r="L891" s="1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>
      <c r="A892" s="1"/>
      <c r="B892" s="2"/>
      <c r="C892" s="1"/>
      <c r="D892" s="2"/>
      <c r="E892" s="1"/>
      <c r="F892" s="2"/>
      <c r="G892" s="1"/>
      <c r="H892" s="2"/>
      <c r="I892" s="1"/>
      <c r="J892" s="2"/>
      <c r="K892" s="1"/>
      <c r="L892" s="1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>
      <c r="A893" s="1"/>
      <c r="B893" s="2"/>
      <c r="C893" s="1"/>
      <c r="D893" s="2"/>
      <c r="E893" s="1"/>
      <c r="F893" s="2"/>
      <c r="G893" s="1"/>
      <c r="H893" s="2"/>
      <c r="I893" s="1"/>
      <c r="J893" s="2"/>
      <c r="K893" s="1"/>
      <c r="L893" s="1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>
      <c r="A894" s="1"/>
      <c r="B894" s="2"/>
      <c r="C894" s="1"/>
      <c r="D894" s="2"/>
      <c r="E894" s="1"/>
      <c r="F894" s="2"/>
      <c r="G894" s="1"/>
      <c r="H894" s="2"/>
      <c r="I894" s="1"/>
      <c r="J894" s="2"/>
      <c r="K894" s="1"/>
      <c r="L894" s="1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>
      <c r="A895" s="1"/>
      <c r="B895" s="2"/>
      <c r="C895" s="1"/>
      <c r="D895" s="2"/>
      <c r="E895" s="1"/>
      <c r="F895" s="2"/>
      <c r="G895" s="1"/>
      <c r="H895" s="2"/>
      <c r="I895" s="1"/>
      <c r="J895" s="2"/>
      <c r="K895" s="1"/>
      <c r="L895" s="1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>
      <c r="A896" s="1"/>
      <c r="B896" s="2"/>
      <c r="C896" s="1"/>
      <c r="D896" s="2"/>
      <c r="E896" s="1"/>
      <c r="F896" s="2"/>
      <c r="G896" s="1"/>
      <c r="H896" s="2"/>
      <c r="I896" s="1"/>
      <c r="J896" s="2"/>
      <c r="K896" s="1"/>
      <c r="L896" s="1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>
      <c r="A897" s="1"/>
      <c r="B897" s="2"/>
      <c r="C897" s="1"/>
      <c r="D897" s="2"/>
      <c r="E897" s="1"/>
      <c r="F897" s="2"/>
      <c r="G897" s="1"/>
      <c r="H897" s="2"/>
      <c r="I897" s="1"/>
      <c r="J897" s="2"/>
      <c r="K897" s="1"/>
      <c r="L897" s="1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>
      <c r="A898" s="1"/>
      <c r="B898" s="2"/>
      <c r="C898" s="1"/>
      <c r="D898" s="2"/>
      <c r="E898" s="1"/>
      <c r="F898" s="2"/>
      <c r="G898" s="1"/>
      <c r="H898" s="2"/>
      <c r="I898" s="1"/>
      <c r="J898" s="2"/>
      <c r="K898" s="1"/>
      <c r="L898" s="1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>
      <c r="A899" s="1"/>
      <c r="B899" s="2"/>
      <c r="C899" s="1"/>
      <c r="D899" s="2"/>
      <c r="E899" s="1"/>
      <c r="F899" s="2"/>
      <c r="G899" s="1"/>
      <c r="H899" s="2"/>
      <c r="I899" s="1"/>
      <c r="J899" s="2"/>
      <c r="K899" s="1"/>
      <c r="L899" s="1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>
      <c r="A900" s="1"/>
      <c r="B900" s="2"/>
      <c r="C900" s="1"/>
      <c r="D900" s="2"/>
      <c r="E900" s="1"/>
      <c r="F900" s="2"/>
      <c r="G900" s="1"/>
      <c r="H900" s="2"/>
      <c r="I900" s="1"/>
      <c r="J900" s="2"/>
      <c r="K900" s="1"/>
      <c r="L900" s="1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>
      <c r="A901" s="1"/>
      <c r="B901" s="2"/>
      <c r="C901" s="1"/>
      <c r="D901" s="2"/>
      <c r="E901" s="1"/>
      <c r="F901" s="2"/>
      <c r="G901" s="1"/>
      <c r="H901" s="2"/>
      <c r="I901" s="1"/>
      <c r="J901" s="2"/>
      <c r="K901" s="1"/>
      <c r="L901" s="1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>
      <c r="A902" s="1"/>
      <c r="B902" s="2"/>
      <c r="C902" s="1"/>
      <c r="D902" s="2"/>
      <c r="E902" s="1"/>
      <c r="F902" s="2"/>
      <c r="G902" s="1"/>
      <c r="H902" s="2"/>
      <c r="I902" s="1"/>
      <c r="J902" s="2"/>
      <c r="K902" s="1"/>
      <c r="L902" s="1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>
      <c r="A903" s="1"/>
      <c r="B903" s="2"/>
      <c r="C903" s="1"/>
      <c r="D903" s="2"/>
      <c r="E903" s="1"/>
      <c r="F903" s="2"/>
      <c r="G903" s="1"/>
      <c r="H903" s="2"/>
      <c r="I903" s="1"/>
      <c r="J903" s="2"/>
      <c r="K903" s="1"/>
      <c r="L903" s="1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>
      <c r="A904" s="1"/>
      <c r="B904" s="2"/>
      <c r="C904" s="1"/>
      <c r="D904" s="2"/>
      <c r="E904" s="1"/>
      <c r="F904" s="2"/>
      <c r="G904" s="1"/>
      <c r="H904" s="2"/>
      <c r="I904" s="1"/>
      <c r="J904" s="2"/>
      <c r="K904" s="1"/>
      <c r="L904" s="1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>
      <c r="A905" s="1"/>
      <c r="B905" s="2"/>
      <c r="C905" s="1"/>
      <c r="D905" s="2"/>
      <c r="E905" s="1"/>
      <c r="F905" s="2"/>
      <c r="G905" s="1"/>
      <c r="H905" s="2"/>
      <c r="I905" s="1"/>
      <c r="J905" s="2"/>
      <c r="K905" s="1"/>
      <c r="L905" s="1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>
      <c r="A906" s="1"/>
      <c r="B906" s="2"/>
      <c r="C906" s="1"/>
      <c r="D906" s="2"/>
      <c r="E906" s="1"/>
      <c r="F906" s="2"/>
      <c r="G906" s="1"/>
      <c r="H906" s="2"/>
      <c r="I906" s="1"/>
      <c r="J906" s="2"/>
      <c r="K906" s="1"/>
      <c r="L906" s="1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>
      <c r="A907" s="1"/>
      <c r="B907" s="2"/>
      <c r="C907" s="1"/>
      <c r="D907" s="2"/>
      <c r="E907" s="1"/>
      <c r="F907" s="2"/>
      <c r="G907" s="1"/>
      <c r="H907" s="2"/>
      <c r="I907" s="1"/>
      <c r="J907" s="2"/>
      <c r="K907" s="1"/>
      <c r="L907" s="1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>
      <c r="A908" s="1"/>
      <c r="B908" s="2"/>
      <c r="C908" s="1"/>
      <c r="D908" s="2"/>
      <c r="E908" s="1"/>
      <c r="F908" s="2"/>
      <c r="G908" s="1"/>
      <c r="H908" s="2"/>
      <c r="I908" s="1"/>
      <c r="J908" s="2"/>
      <c r="K908" s="1"/>
      <c r="L908" s="1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>
      <c r="A909" s="1"/>
      <c r="B909" s="2"/>
      <c r="C909" s="1"/>
      <c r="D909" s="2"/>
      <c r="E909" s="1"/>
      <c r="F909" s="2"/>
      <c r="G909" s="1"/>
      <c r="H909" s="2"/>
      <c r="I909" s="1"/>
      <c r="J909" s="2"/>
      <c r="K909" s="1"/>
      <c r="L909" s="1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>
      <c r="A910" s="1"/>
      <c r="B910" s="2"/>
      <c r="C910" s="1"/>
      <c r="D910" s="2"/>
      <c r="E910" s="1"/>
      <c r="F910" s="2"/>
      <c r="G910" s="1"/>
      <c r="H910" s="2"/>
      <c r="I910" s="1"/>
      <c r="J910" s="2"/>
      <c r="K910" s="1"/>
      <c r="L910" s="1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>
      <c r="A911" s="1"/>
      <c r="B911" s="2"/>
      <c r="C911" s="1"/>
      <c r="D911" s="2"/>
      <c r="E911" s="1"/>
      <c r="F911" s="2"/>
      <c r="G911" s="1"/>
      <c r="H911" s="2"/>
      <c r="I911" s="1"/>
      <c r="J911" s="2"/>
      <c r="K911" s="1"/>
      <c r="L911" s="1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>
      <c r="A912" s="1"/>
      <c r="B912" s="2"/>
      <c r="C912" s="1"/>
      <c r="D912" s="2"/>
      <c r="E912" s="1"/>
      <c r="F912" s="2"/>
      <c r="G912" s="1"/>
      <c r="H912" s="2"/>
      <c r="I912" s="1"/>
      <c r="J912" s="2"/>
      <c r="K912" s="1"/>
      <c r="L912" s="1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>
      <c r="A913" s="1"/>
      <c r="B913" s="2"/>
      <c r="C913" s="1"/>
      <c r="D913" s="2"/>
      <c r="E913" s="1"/>
      <c r="F913" s="2"/>
      <c r="G913" s="1"/>
      <c r="H913" s="2"/>
      <c r="I913" s="1"/>
      <c r="J913" s="2"/>
      <c r="K913" s="1"/>
      <c r="L913" s="1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>
      <c r="A914" s="1"/>
      <c r="B914" s="2"/>
      <c r="C914" s="1"/>
      <c r="D914" s="2"/>
      <c r="E914" s="1"/>
      <c r="F914" s="2"/>
      <c r="G914" s="1"/>
      <c r="H914" s="2"/>
      <c r="I914" s="1"/>
      <c r="J914" s="2"/>
      <c r="K914" s="1"/>
      <c r="L914" s="1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>
      <c r="A915" s="1"/>
      <c r="B915" s="2"/>
      <c r="C915" s="1"/>
      <c r="D915" s="2"/>
      <c r="E915" s="1"/>
      <c r="F915" s="2"/>
      <c r="G915" s="1"/>
      <c r="H915" s="2"/>
      <c r="I915" s="1"/>
      <c r="J915" s="2"/>
      <c r="K915" s="1"/>
      <c r="L915" s="1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>
      <c r="A916" s="1"/>
      <c r="B916" s="2"/>
      <c r="C916" s="1"/>
      <c r="D916" s="2"/>
      <c r="E916" s="1"/>
      <c r="F916" s="2"/>
      <c r="G916" s="1"/>
      <c r="H916" s="2"/>
      <c r="I916" s="1"/>
      <c r="J916" s="2"/>
      <c r="K916" s="1"/>
      <c r="L916" s="1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>
      <c r="A917" s="1"/>
      <c r="B917" s="2"/>
      <c r="C917" s="1"/>
      <c r="D917" s="2"/>
      <c r="E917" s="1"/>
      <c r="F917" s="2"/>
      <c r="G917" s="1"/>
      <c r="H917" s="2"/>
      <c r="I917" s="1"/>
      <c r="J917" s="2"/>
      <c r="K917" s="1"/>
      <c r="L917" s="1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>
      <c r="A918" s="1"/>
      <c r="B918" s="2"/>
      <c r="C918" s="1"/>
      <c r="D918" s="2"/>
      <c r="E918" s="1"/>
      <c r="F918" s="2"/>
      <c r="G918" s="1"/>
      <c r="H918" s="2"/>
      <c r="I918" s="1"/>
      <c r="J918" s="2"/>
      <c r="K918" s="1"/>
      <c r="L918" s="1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>
      <c r="A919" s="1"/>
      <c r="B919" s="2"/>
      <c r="C919" s="1"/>
      <c r="D919" s="2"/>
      <c r="E919" s="1"/>
      <c r="F919" s="2"/>
      <c r="G919" s="1"/>
      <c r="H919" s="2"/>
      <c r="I919" s="1"/>
      <c r="J919" s="2"/>
      <c r="K919" s="1"/>
      <c r="L919" s="1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>
      <c r="A920" s="1"/>
      <c r="B920" s="2"/>
      <c r="C920" s="1"/>
      <c r="D920" s="2"/>
      <c r="E920" s="1"/>
      <c r="F920" s="2"/>
      <c r="G920" s="1"/>
      <c r="H920" s="2"/>
      <c r="I920" s="1"/>
      <c r="J920" s="2"/>
      <c r="K920" s="1"/>
      <c r="L920" s="1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>
      <c r="A921" s="1"/>
      <c r="B921" s="2"/>
      <c r="C921" s="1"/>
      <c r="D921" s="2"/>
      <c r="E921" s="1"/>
      <c r="F921" s="2"/>
      <c r="G921" s="1"/>
      <c r="H921" s="2"/>
      <c r="I921" s="1"/>
      <c r="J921" s="2"/>
      <c r="K921" s="1"/>
      <c r="L921" s="1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>
      <c r="A922" s="1"/>
      <c r="B922" s="2"/>
      <c r="C922" s="1"/>
      <c r="D922" s="2"/>
      <c r="E922" s="1"/>
      <c r="F922" s="2"/>
      <c r="G922" s="1"/>
      <c r="H922" s="2"/>
      <c r="I922" s="1"/>
      <c r="J922" s="2"/>
      <c r="K922" s="1"/>
      <c r="L922" s="1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>
      <c r="A923" s="1"/>
      <c r="B923" s="2"/>
      <c r="C923" s="1"/>
      <c r="D923" s="2"/>
      <c r="E923" s="1"/>
      <c r="F923" s="2"/>
      <c r="G923" s="1"/>
      <c r="H923" s="2"/>
      <c r="I923" s="1"/>
      <c r="J923" s="2"/>
      <c r="K923" s="1"/>
      <c r="L923" s="1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>
      <c r="A924" s="1"/>
      <c r="B924" s="2"/>
      <c r="C924" s="1"/>
      <c r="D924" s="2"/>
      <c r="E924" s="1"/>
      <c r="F924" s="2"/>
      <c r="G924" s="1"/>
      <c r="H924" s="2"/>
      <c r="I924" s="1"/>
      <c r="J924" s="2"/>
      <c r="K924" s="1"/>
      <c r="L924" s="1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>
      <c r="A925" s="1"/>
      <c r="B925" s="2"/>
      <c r="C925" s="1"/>
      <c r="D925" s="2"/>
      <c r="E925" s="1"/>
      <c r="F925" s="2"/>
      <c r="G925" s="1"/>
      <c r="H925" s="2"/>
      <c r="I925" s="1"/>
      <c r="J925" s="2"/>
      <c r="K925" s="1"/>
      <c r="L925" s="1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>
      <c r="A926" s="1"/>
      <c r="B926" s="2"/>
      <c r="C926" s="1"/>
      <c r="D926" s="2"/>
      <c r="E926" s="1"/>
      <c r="F926" s="2"/>
      <c r="G926" s="1"/>
      <c r="H926" s="2"/>
      <c r="I926" s="1"/>
      <c r="J926" s="2"/>
      <c r="K926" s="1"/>
      <c r="L926" s="1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>
      <c r="A927" s="1"/>
      <c r="B927" s="2"/>
      <c r="C927" s="1"/>
      <c r="D927" s="2"/>
      <c r="E927" s="1"/>
      <c r="F927" s="2"/>
      <c r="G927" s="1"/>
      <c r="H927" s="2"/>
      <c r="I927" s="1"/>
      <c r="J927" s="2"/>
      <c r="K927" s="1"/>
      <c r="L927" s="1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>
      <c r="A928" s="1"/>
      <c r="B928" s="2"/>
      <c r="C928" s="1"/>
      <c r="D928" s="2"/>
      <c r="E928" s="1"/>
      <c r="F928" s="2"/>
      <c r="G928" s="1"/>
      <c r="H928" s="2"/>
      <c r="I928" s="1"/>
      <c r="J928" s="2"/>
      <c r="K928" s="1"/>
      <c r="L928" s="1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>
      <c r="A929" s="1"/>
      <c r="B929" s="2"/>
      <c r="C929" s="1"/>
      <c r="D929" s="2"/>
      <c r="E929" s="1"/>
      <c r="F929" s="2"/>
      <c r="G929" s="1"/>
      <c r="H929" s="2"/>
      <c r="I929" s="1"/>
      <c r="J929" s="2"/>
      <c r="K929" s="1"/>
      <c r="L929" s="1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>
      <c r="A930" s="1"/>
      <c r="B930" s="2"/>
      <c r="C930" s="1"/>
      <c r="D930" s="2"/>
      <c r="E930" s="1"/>
      <c r="F930" s="2"/>
      <c r="G930" s="1"/>
      <c r="H930" s="2"/>
      <c r="I930" s="1"/>
      <c r="J930" s="2"/>
      <c r="K930" s="1"/>
      <c r="L930" s="1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>
      <c r="A931" s="1"/>
      <c r="B931" s="2"/>
      <c r="C931" s="1"/>
      <c r="D931" s="2"/>
      <c r="E931" s="1"/>
      <c r="F931" s="2"/>
      <c r="G931" s="1"/>
      <c r="H931" s="2"/>
      <c r="I931" s="1"/>
      <c r="J931" s="2"/>
      <c r="K931" s="1"/>
      <c r="L931" s="1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>
      <c r="A932" s="1"/>
      <c r="B932" s="2"/>
      <c r="C932" s="1"/>
      <c r="D932" s="2"/>
      <c r="E932" s="1"/>
      <c r="F932" s="2"/>
      <c r="G932" s="1"/>
      <c r="H932" s="2"/>
      <c r="I932" s="1"/>
      <c r="J932" s="2"/>
      <c r="K932" s="1"/>
      <c r="L932" s="1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</sheetData>
  <mergeCells count="8">
    <mergeCell ref="A59:B59"/>
    <mergeCell ref="A82:B82"/>
    <mergeCell ref="A94:B94"/>
    <mergeCell ref="A3:B3"/>
    <mergeCell ref="A14:B14"/>
    <mergeCell ref="A25:B25"/>
    <mergeCell ref="A36:B36"/>
    <mergeCell ref="A47:B47"/>
  </mergeCells>
  <hyperlinks>
    <hyperlink ref="B4" location="'Радость Майлина'!A1" display="Радость детства 3+" xr:uid="{00000000-0004-0000-0000-000000000000}"/>
    <hyperlink ref="H4" location="'Падишах'!A1" display="Падишах" xr:uid="{00000000-0004-0000-0000-000001000000}"/>
    <hyperlink ref="B5" location="'Радость Майлина'!A1" display="Радость детства 3+" xr:uid="{00000000-0004-0000-0000-000002000000}"/>
    <hyperlink ref="J5" location="'Гармония'!A1" display="Гармония" xr:uid="{00000000-0004-0000-0000-000003000000}"/>
    <hyperlink ref="B6" location="'Радость Майлина'!A1" display="Радость детства 3+" xr:uid="{00000000-0004-0000-0000-000004000000}"/>
    <hyperlink ref="D6" location="'Радость Розыбакиева'!A1" display="Радость Роз" xr:uid="{00000000-0004-0000-0000-000005000000}"/>
    <hyperlink ref="F6" location="'Happy Kais '!A1" display="Happy Kais" xr:uid="{00000000-0004-0000-0000-000006000000}"/>
    <hyperlink ref="J6" location="Interschool!A1" display="Interschool" xr:uid="{00000000-0004-0000-0000-000007000000}"/>
    <hyperlink ref="B7" location="'71 лицей'!A1" display="71 лицей" xr:uid="{00000000-0004-0000-0000-000008000000}"/>
    <hyperlink ref="H7" location="'71 лицей'!A1" display="71 лицей" xr:uid="{00000000-0004-0000-0000-000009000000}"/>
    <hyperlink ref="F8" location="'Happy Kais '!A1" display="Happy Kais" xr:uid="{00000000-0004-0000-0000-00000A000000}"/>
    <hyperlink ref="D10" location="'Батыр'!A1" display="Батыр" xr:uid="{00000000-0004-0000-0000-00000B000000}"/>
    <hyperlink ref="H10" location="'Куншуак'!A1" display="Куншуак " xr:uid="{00000000-0004-0000-0000-00000C000000}"/>
    <hyperlink ref="J10" location="'Город друзей'!A1" display="Город друзей 3+" xr:uid="{00000000-0004-0000-0000-00000D000000}"/>
    <hyperlink ref="F11" location="'Капитошка'!A1" display="Капитошка" xr:uid="{00000000-0004-0000-0000-00000E000000}"/>
    <hyperlink ref="J11" location="'Город друзей'!A1" display="Город друзей 3+" xr:uid="{00000000-0004-0000-0000-00000F000000}"/>
    <hyperlink ref="F17" location="'Indigo preschool 2'!A1" display="Indigo preschool" xr:uid="{00000000-0004-0000-0000-000010000000}"/>
    <hyperlink ref="F18" location="'Indigo preschool 2'!A1" display="Indigo preschool" xr:uid="{00000000-0004-0000-0000-000011000000}"/>
    <hyperlink ref="H38" location="'Кунай'!A1" display="Кунай" xr:uid="{00000000-0004-0000-0000-000012000000}"/>
    <hyperlink ref="H39" location="'Конжыктар'!A1" display="Конжыктар" xr:uid="{00000000-0004-0000-0000-000013000000}"/>
    <hyperlink ref="J39" location="Klass!A1" display="Klass" xr:uid="{00000000-0004-0000-0000-000014000000}"/>
    <hyperlink ref="B40" location="'Indigo preschool 1'!A1" display="Indigo preschool 1 " xr:uid="{00000000-0004-0000-0000-000015000000}"/>
    <hyperlink ref="H40" location="'Кунай'!A1" display="Кунай" xr:uid="{00000000-0004-0000-0000-000016000000}"/>
    <hyperlink ref="J42" location="Klass!A1" display="Klass" xr:uid="{00000000-0004-0000-0000-000017000000}"/>
    <hyperlink ref="J64" location="'Лукоморья'!A1" display="Лукоморья" xr:uid="{00000000-0004-0000-0000-000018000000}"/>
    <hyperlink ref="J66" location="'kids discovery Таугуль'!A1" display="Таугуль Kids Discovery" xr:uid="{00000000-0004-0000-0000-000019000000}"/>
    <hyperlink ref="H67" location="'Космо'!A1" display="Космо" xr:uid="{00000000-0004-0000-0000-00001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O34"/>
  <sheetViews>
    <sheetView workbookViewId="0"/>
  </sheetViews>
  <sheetFormatPr defaultColWidth="12.6640625" defaultRowHeight="15.75" customHeight="1"/>
  <cols>
    <col min="1" max="1" width="5.21875" customWidth="1"/>
    <col min="3" max="3" width="15.33203125" hidden="1" customWidth="1"/>
    <col min="4" max="4" width="12.6640625" hidden="1"/>
    <col min="5" max="5" width="16" hidden="1" customWidth="1"/>
    <col min="6" max="9" width="12.6640625" hidden="1"/>
  </cols>
  <sheetData>
    <row r="2" spans="1:15" ht="28.8">
      <c r="B2" s="83" t="s">
        <v>18</v>
      </c>
    </row>
    <row r="3" spans="1:15" ht="34.200000000000003">
      <c r="A3" s="84"/>
    </row>
    <row r="4" spans="1:15" ht="13.2">
      <c r="B4" s="85" t="s">
        <v>102</v>
      </c>
      <c r="C4" s="85" t="s">
        <v>103</v>
      </c>
    </row>
    <row r="5" spans="1:15" ht="13.2">
      <c r="B5" s="85" t="s">
        <v>104</v>
      </c>
      <c r="C5" s="86" t="s">
        <v>105</v>
      </c>
    </row>
    <row r="6" spans="1:15" ht="13.2" hidden="1">
      <c r="B6" s="87">
        <v>4000</v>
      </c>
    </row>
    <row r="8" spans="1:15" ht="13.2">
      <c r="B8" s="85" t="s">
        <v>106</v>
      </c>
      <c r="J8" s="85" t="s">
        <v>1</v>
      </c>
    </row>
    <row r="9" spans="1:15" ht="13.2">
      <c r="A9" s="88"/>
      <c r="B9" s="88" t="s">
        <v>107</v>
      </c>
      <c r="C9" s="89">
        <v>46057</v>
      </c>
      <c r="D9" s="90">
        <v>46064</v>
      </c>
      <c r="E9" s="89">
        <v>46071</v>
      </c>
      <c r="F9" s="89">
        <v>46078</v>
      </c>
      <c r="G9" s="90">
        <v>46085</v>
      </c>
      <c r="H9" s="90">
        <v>46092</v>
      </c>
      <c r="I9" s="90">
        <v>46099</v>
      </c>
      <c r="J9" s="90">
        <v>46113</v>
      </c>
      <c r="K9" s="90"/>
      <c r="L9" s="90"/>
      <c r="M9" s="90"/>
      <c r="N9" s="90"/>
      <c r="O9" s="90"/>
    </row>
    <row r="10" spans="1:15" ht="13.2">
      <c r="A10" s="91">
        <v>1</v>
      </c>
      <c r="B10" s="91" t="s">
        <v>108</v>
      </c>
      <c r="C10" s="91">
        <v>1</v>
      </c>
      <c r="D10" s="91">
        <v>1</v>
      </c>
      <c r="E10" s="91">
        <v>1</v>
      </c>
      <c r="F10" s="91">
        <v>1</v>
      </c>
      <c r="G10" s="91">
        <v>1</v>
      </c>
      <c r="H10" s="91">
        <v>1</v>
      </c>
      <c r="I10" s="91"/>
      <c r="J10" s="91">
        <v>1</v>
      </c>
      <c r="K10" s="91"/>
      <c r="L10" s="91"/>
      <c r="M10" s="91"/>
      <c r="N10" s="91"/>
      <c r="O10" s="91"/>
    </row>
    <row r="11" spans="1:15" ht="13.2">
      <c r="A11" s="91">
        <v>2</v>
      </c>
      <c r="B11" s="91" t="s">
        <v>109</v>
      </c>
      <c r="C11" s="91">
        <v>1</v>
      </c>
      <c r="D11" s="91">
        <v>1</v>
      </c>
      <c r="E11" s="91">
        <v>1</v>
      </c>
      <c r="F11" s="91">
        <v>1</v>
      </c>
      <c r="G11" s="91">
        <v>1</v>
      </c>
      <c r="H11" s="91">
        <v>1</v>
      </c>
      <c r="I11" s="91"/>
      <c r="J11" s="91">
        <v>1</v>
      </c>
      <c r="K11" s="91"/>
      <c r="L11" s="91"/>
      <c r="M11" s="91"/>
      <c r="N11" s="91"/>
      <c r="O11" s="91"/>
    </row>
    <row r="12" spans="1:15" ht="13.2">
      <c r="A12" s="91">
        <v>3</v>
      </c>
      <c r="B12" s="91" t="s">
        <v>110</v>
      </c>
      <c r="C12" s="91"/>
      <c r="D12" s="91">
        <v>1</v>
      </c>
      <c r="E12" s="91">
        <v>1</v>
      </c>
      <c r="F12" s="91">
        <v>1</v>
      </c>
      <c r="G12" s="91">
        <v>1</v>
      </c>
      <c r="H12" s="91">
        <v>1</v>
      </c>
      <c r="I12" s="91"/>
      <c r="J12" s="91">
        <v>1</v>
      </c>
      <c r="K12" s="91"/>
      <c r="L12" s="91"/>
      <c r="M12" s="91"/>
      <c r="N12" s="91"/>
      <c r="O12" s="91"/>
    </row>
    <row r="13" spans="1:15" ht="13.2">
      <c r="A13" s="91">
        <v>4</v>
      </c>
      <c r="B13" s="91" t="s">
        <v>111</v>
      </c>
      <c r="C13" s="91"/>
      <c r="D13" s="91">
        <v>1</v>
      </c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</row>
    <row r="14" spans="1:15" ht="13.2">
      <c r="A14" s="91">
        <v>5</v>
      </c>
      <c r="B14" s="91" t="s">
        <v>112</v>
      </c>
      <c r="C14" s="91"/>
      <c r="D14" s="91">
        <v>1</v>
      </c>
      <c r="E14" s="91">
        <v>1</v>
      </c>
      <c r="F14" s="91">
        <v>1</v>
      </c>
      <c r="G14" s="91">
        <v>1</v>
      </c>
      <c r="H14" s="91">
        <v>1</v>
      </c>
      <c r="I14" s="91">
        <v>1</v>
      </c>
      <c r="J14" s="91">
        <v>1</v>
      </c>
      <c r="K14" s="91"/>
      <c r="L14" s="91"/>
      <c r="M14" s="91"/>
      <c r="N14" s="91"/>
      <c r="O14" s="91"/>
    </row>
    <row r="15" spans="1:15" ht="13.2">
      <c r="A15" s="91"/>
      <c r="B15" s="91" t="s">
        <v>113</v>
      </c>
      <c r="C15" s="91"/>
      <c r="D15" s="91"/>
      <c r="E15" s="91"/>
      <c r="F15" s="91"/>
      <c r="G15" s="91"/>
      <c r="H15" s="91"/>
      <c r="I15" s="91"/>
      <c r="J15" s="91">
        <v>1</v>
      </c>
      <c r="K15" s="91"/>
      <c r="L15" s="91"/>
      <c r="M15" s="91"/>
      <c r="N15" s="91"/>
      <c r="O15" s="91"/>
    </row>
    <row r="16" spans="1:15" ht="13.2">
      <c r="A16" s="88"/>
      <c r="B16" s="88"/>
      <c r="C16" s="88" t="s">
        <v>114</v>
      </c>
      <c r="D16" s="88">
        <v>5</v>
      </c>
      <c r="E16" s="88">
        <v>4</v>
      </c>
      <c r="F16" s="88">
        <v>4</v>
      </c>
      <c r="G16" s="88">
        <v>4</v>
      </c>
      <c r="H16" s="88">
        <v>4</v>
      </c>
      <c r="I16" s="88">
        <v>1</v>
      </c>
      <c r="J16" s="88">
        <v>5</v>
      </c>
      <c r="K16" s="88"/>
      <c r="L16" s="88"/>
      <c r="M16" s="88"/>
      <c r="N16" s="88"/>
      <c r="O16" s="88"/>
    </row>
    <row r="17" spans="1:15" ht="13.2">
      <c r="F17" s="85">
        <v>13</v>
      </c>
      <c r="I17" s="85">
        <v>9</v>
      </c>
    </row>
    <row r="19" spans="1:15" ht="13.2">
      <c r="B19" s="85" t="s">
        <v>115</v>
      </c>
    </row>
    <row r="20" spans="1:15" ht="13.2">
      <c r="A20" s="88"/>
      <c r="B20" s="88"/>
      <c r="C20" s="90">
        <v>46057</v>
      </c>
      <c r="D20" s="90">
        <v>46064</v>
      </c>
      <c r="E20" s="89">
        <v>46071</v>
      </c>
      <c r="F20" s="90">
        <v>46078</v>
      </c>
      <c r="G20" s="90">
        <v>46085</v>
      </c>
      <c r="H20" s="90">
        <v>46092</v>
      </c>
      <c r="I20" s="90">
        <v>46099</v>
      </c>
      <c r="J20" s="90">
        <v>46113</v>
      </c>
      <c r="K20" s="90"/>
      <c r="L20" s="90"/>
      <c r="M20" s="90"/>
      <c r="N20" s="90"/>
      <c r="O20" s="90"/>
    </row>
    <row r="21" spans="1:15" ht="13.2">
      <c r="A21" s="91">
        <v>1</v>
      </c>
      <c r="B21" s="91" t="s">
        <v>116</v>
      </c>
      <c r="C21" s="91"/>
      <c r="D21" s="91">
        <v>1</v>
      </c>
      <c r="E21" s="91">
        <v>1</v>
      </c>
      <c r="F21" s="91">
        <v>1</v>
      </c>
      <c r="G21" s="91">
        <v>1</v>
      </c>
      <c r="H21" s="91">
        <v>1</v>
      </c>
      <c r="I21" s="91">
        <v>1</v>
      </c>
      <c r="J21" s="91">
        <v>1</v>
      </c>
      <c r="K21" s="91"/>
      <c r="L21" s="91"/>
      <c r="M21" s="91"/>
      <c r="N21" s="91"/>
      <c r="O21" s="91"/>
    </row>
    <row r="22" spans="1:15" ht="13.2">
      <c r="A22" s="91">
        <v>2</v>
      </c>
      <c r="B22" s="91" t="s">
        <v>117</v>
      </c>
      <c r="C22" s="91">
        <v>1</v>
      </c>
      <c r="D22" s="91">
        <v>1</v>
      </c>
      <c r="E22" s="91">
        <v>1</v>
      </c>
      <c r="F22" s="91">
        <v>1</v>
      </c>
      <c r="G22" s="91">
        <v>1</v>
      </c>
      <c r="H22" s="91">
        <v>1</v>
      </c>
      <c r="I22" s="91">
        <v>1</v>
      </c>
      <c r="J22" s="91">
        <v>1</v>
      </c>
      <c r="K22" s="91"/>
      <c r="L22" s="91"/>
      <c r="M22" s="91"/>
      <c r="N22" s="91"/>
      <c r="O22" s="91"/>
    </row>
    <row r="23" spans="1:15" ht="13.2">
      <c r="A23" s="91">
        <v>3</v>
      </c>
      <c r="B23" s="91" t="s">
        <v>118</v>
      </c>
      <c r="C23" s="91">
        <v>1</v>
      </c>
      <c r="D23" s="91">
        <v>1</v>
      </c>
      <c r="E23" s="91"/>
      <c r="F23" s="91">
        <v>1</v>
      </c>
      <c r="G23" s="91">
        <v>1</v>
      </c>
      <c r="H23" s="91">
        <v>1</v>
      </c>
      <c r="I23" s="91">
        <v>1</v>
      </c>
      <c r="J23" s="91"/>
      <c r="K23" s="91"/>
      <c r="L23" s="91"/>
      <c r="M23" s="91"/>
      <c r="N23" s="91"/>
      <c r="O23" s="91"/>
    </row>
    <row r="24" spans="1:15" ht="13.2">
      <c r="A24" s="91">
        <v>4</v>
      </c>
      <c r="B24" s="91" t="s">
        <v>119</v>
      </c>
      <c r="C24" s="91">
        <v>1</v>
      </c>
      <c r="D24" s="91">
        <v>1</v>
      </c>
      <c r="E24" s="91">
        <v>1</v>
      </c>
      <c r="F24" s="91">
        <v>1</v>
      </c>
      <c r="G24" s="91">
        <v>1</v>
      </c>
      <c r="H24" s="91">
        <v>1</v>
      </c>
      <c r="I24" s="91">
        <v>1</v>
      </c>
      <c r="J24" s="91">
        <v>1</v>
      </c>
      <c r="K24" s="91"/>
      <c r="L24" s="91"/>
      <c r="M24" s="91"/>
      <c r="N24" s="91"/>
      <c r="O24" s="91"/>
    </row>
    <row r="25" spans="1:15" ht="13.2">
      <c r="A25" s="91">
        <v>5</v>
      </c>
      <c r="B25" s="91" t="s">
        <v>120</v>
      </c>
      <c r="C25" s="91">
        <v>1</v>
      </c>
      <c r="D25" s="91">
        <v>1</v>
      </c>
      <c r="E25" s="91">
        <v>1</v>
      </c>
      <c r="F25" s="91">
        <v>1</v>
      </c>
      <c r="G25" s="91"/>
      <c r="H25" s="91">
        <v>1</v>
      </c>
      <c r="I25" s="91">
        <v>1</v>
      </c>
      <c r="J25" s="91">
        <v>1</v>
      </c>
      <c r="K25" s="91"/>
      <c r="L25" s="91"/>
      <c r="M25" s="91"/>
      <c r="N25" s="91"/>
      <c r="O25" s="91"/>
    </row>
    <row r="26" spans="1:15" ht="13.2">
      <c r="A26" s="91">
        <v>6</v>
      </c>
      <c r="B26" s="91" t="s">
        <v>121</v>
      </c>
      <c r="C26" s="91">
        <v>1</v>
      </c>
      <c r="D26" s="91">
        <v>1</v>
      </c>
      <c r="E26" s="91">
        <v>1</v>
      </c>
      <c r="F26" s="91">
        <v>1</v>
      </c>
      <c r="G26" s="91">
        <v>1</v>
      </c>
      <c r="H26" s="91">
        <v>1</v>
      </c>
      <c r="I26" s="91">
        <v>1</v>
      </c>
      <c r="J26" s="91"/>
      <c r="K26" s="91"/>
      <c r="L26" s="91"/>
      <c r="M26" s="91"/>
      <c r="N26" s="91"/>
      <c r="O26" s="91"/>
    </row>
    <row r="27" spans="1:15" ht="13.2">
      <c r="A27" s="91">
        <v>7</v>
      </c>
      <c r="B27" s="91" t="s">
        <v>122</v>
      </c>
      <c r="C27" s="91">
        <v>1</v>
      </c>
      <c r="D27" s="91"/>
      <c r="E27" s="91">
        <v>1</v>
      </c>
      <c r="F27" s="91">
        <v>1</v>
      </c>
      <c r="G27" s="91"/>
      <c r="H27" s="91">
        <v>1</v>
      </c>
      <c r="I27" s="91">
        <v>1</v>
      </c>
      <c r="J27" s="91">
        <v>1</v>
      </c>
      <c r="K27" s="91"/>
      <c r="L27" s="91"/>
      <c r="M27" s="91"/>
      <c r="N27" s="91"/>
      <c r="O27" s="91"/>
    </row>
    <row r="28" spans="1:15" ht="13.2">
      <c r="A28" s="91">
        <v>8</v>
      </c>
      <c r="B28" s="91" t="s">
        <v>123</v>
      </c>
      <c r="C28" s="91">
        <v>1</v>
      </c>
      <c r="D28" s="91">
        <v>1</v>
      </c>
      <c r="E28" s="91">
        <v>1</v>
      </c>
      <c r="F28" s="91">
        <v>1</v>
      </c>
      <c r="G28" s="91"/>
      <c r="H28" s="91"/>
      <c r="I28" s="91">
        <v>1</v>
      </c>
      <c r="J28" s="91">
        <v>1</v>
      </c>
      <c r="K28" s="91"/>
      <c r="L28" s="91"/>
      <c r="M28" s="91"/>
      <c r="N28" s="91"/>
      <c r="O28" s="91"/>
    </row>
    <row r="29" spans="1:15" ht="13.2">
      <c r="A29" s="91">
        <v>9</v>
      </c>
      <c r="B29" s="91" t="s">
        <v>124</v>
      </c>
      <c r="C29" s="91"/>
      <c r="D29" s="91"/>
      <c r="E29" s="91"/>
      <c r="F29" s="91">
        <v>1</v>
      </c>
      <c r="G29" s="91"/>
      <c r="H29" s="91"/>
      <c r="I29" s="91"/>
      <c r="J29" s="91">
        <v>1</v>
      </c>
      <c r="K29" s="91"/>
      <c r="L29" s="91"/>
      <c r="M29" s="91"/>
      <c r="N29" s="91"/>
      <c r="O29" s="91"/>
    </row>
    <row r="30" spans="1:15" ht="13.2">
      <c r="A30" s="91">
        <v>10</v>
      </c>
      <c r="B30" s="91" t="s">
        <v>125</v>
      </c>
      <c r="C30" s="91"/>
      <c r="D30" s="91"/>
      <c r="E30" s="91">
        <v>1</v>
      </c>
      <c r="F30" s="91"/>
      <c r="G30" s="91"/>
      <c r="H30" s="91"/>
      <c r="I30" s="91"/>
      <c r="J30" s="91"/>
      <c r="K30" s="91"/>
      <c r="L30" s="91"/>
      <c r="M30" s="91"/>
      <c r="N30" s="91"/>
      <c r="O30" s="91"/>
    </row>
    <row r="31" spans="1:15" ht="13.2">
      <c r="A31" s="88"/>
      <c r="B31" s="88"/>
      <c r="C31" s="88" t="s">
        <v>126</v>
      </c>
      <c r="D31" s="88">
        <v>7</v>
      </c>
      <c r="E31" s="88">
        <v>8</v>
      </c>
      <c r="F31" s="92">
        <v>9</v>
      </c>
      <c r="G31" s="88">
        <v>5</v>
      </c>
      <c r="H31" s="88">
        <v>7</v>
      </c>
      <c r="I31" s="88">
        <v>8</v>
      </c>
      <c r="J31" s="88">
        <v>7</v>
      </c>
      <c r="K31" s="88"/>
      <c r="L31" s="88"/>
      <c r="M31" s="88"/>
      <c r="N31" s="88"/>
      <c r="O31" s="88"/>
    </row>
    <row r="32" spans="1:15" ht="13.2">
      <c r="F32" s="85">
        <v>24</v>
      </c>
      <c r="I32" s="85">
        <v>20</v>
      </c>
    </row>
    <row r="33" spans="5:9" ht="52.8">
      <c r="E33" s="93" t="s">
        <v>127</v>
      </c>
      <c r="F33" s="94">
        <f>F32+F17</f>
        <v>37</v>
      </c>
      <c r="H33" s="93" t="s">
        <v>127</v>
      </c>
      <c r="I33" s="94">
        <f>I32+I17</f>
        <v>29</v>
      </c>
    </row>
    <row r="34" spans="5:9" ht="13.2">
      <c r="E34" s="95" t="s">
        <v>128</v>
      </c>
      <c r="F34" s="95">
        <f>4000*F33</f>
        <v>148000</v>
      </c>
      <c r="H34" s="95" t="s">
        <v>128</v>
      </c>
      <c r="I34" s="95" t="s">
        <v>129</v>
      </c>
    </row>
  </sheetData>
  <hyperlinks>
    <hyperlink ref="C5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AE22"/>
  <sheetViews>
    <sheetView workbookViewId="0"/>
  </sheetViews>
  <sheetFormatPr defaultColWidth="12.6640625" defaultRowHeight="15.75" customHeight="1"/>
  <cols>
    <col min="1" max="1" width="2.77734375" customWidth="1"/>
    <col min="3" max="27" width="12.6640625" hidden="1"/>
  </cols>
  <sheetData>
    <row r="2" spans="1:31" ht="22.8">
      <c r="A2" s="96"/>
      <c r="B2" s="97" t="s">
        <v>130</v>
      </c>
      <c r="C2" s="98"/>
      <c r="D2" s="97"/>
      <c r="E2" s="99"/>
      <c r="F2" s="98"/>
      <c r="G2" s="98"/>
      <c r="H2" s="98"/>
      <c r="I2" s="98"/>
    </row>
    <row r="3" spans="1:31" ht="13.2">
      <c r="A3" s="85"/>
      <c r="B3" s="98" t="s">
        <v>131</v>
      </c>
      <c r="C3" s="98"/>
      <c r="D3" s="98"/>
      <c r="E3" s="98"/>
      <c r="F3" s="98"/>
      <c r="G3" s="98"/>
      <c r="H3" s="98"/>
      <c r="I3" s="98"/>
    </row>
    <row r="4" spans="1:31" ht="13.2">
      <c r="A4" s="85"/>
      <c r="B4" s="98" t="s">
        <v>132</v>
      </c>
      <c r="C4" s="98"/>
      <c r="D4" s="98"/>
      <c r="E4" s="98"/>
      <c r="F4" s="98"/>
      <c r="G4" s="98"/>
      <c r="H4" s="98"/>
      <c r="I4" s="98"/>
    </row>
    <row r="5" spans="1:31" ht="13.2" hidden="1">
      <c r="A5" s="100"/>
      <c r="B5" s="87">
        <v>3000</v>
      </c>
    </row>
    <row r="7" spans="1:31" ht="13.2">
      <c r="A7" s="85"/>
      <c r="B7" s="85" t="s">
        <v>133</v>
      </c>
      <c r="P7" s="85" t="s">
        <v>82</v>
      </c>
      <c r="Q7" s="85" t="s">
        <v>134</v>
      </c>
      <c r="R7" s="85" t="s">
        <v>134</v>
      </c>
      <c r="S7" s="85" t="s">
        <v>134</v>
      </c>
    </row>
    <row r="8" spans="1:31" ht="14.4">
      <c r="A8" s="101"/>
      <c r="B8" s="102" t="s">
        <v>135</v>
      </c>
      <c r="C8" s="103">
        <v>45932</v>
      </c>
      <c r="D8" s="103">
        <v>45939</v>
      </c>
      <c r="E8" s="103">
        <v>45946</v>
      </c>
      <c r="F8" s="103">
        <v>45953</v>
      </c>
      <c r="G8" s="103">
        <v>45960</v>
      </c>
      <c r="H8" s="103">
        <v>45967</v>
      </c>
      <c r="I8" s="103">
        <v>45974</v>
      </c>
      <c r="J8" s="103">
        <v>45981</v>
      </c>
      <c r="K8" s="103">
        <v>45988</v>
      </c>
      <c r="L8" s="103">
        <v>45995</v>
      </c>
      <c r="M8" s="104">
        <v>46002</v>
      </c>
      <c r="N8" s="104">
        <v>46009</v>
      </c>
      <c r="O8" s="104">
        <v>46016</v>
      </c>
      <c r="P8" s="105">
        <v>46030</v>
      </c>
      <c r="Q8" s="106">
        <v>15</v>
      </c>
      <c r="R8" s="106">
        <v>22</v>
      </c>
      <c r="S8" s="106">
        <v>29</v>
      </c>
      <c r="T8" s="88">
        <v>5</v>
      </c>
      <c r="U8" s="88">
        <v>12</v>
      </c>
      <c r="V8" s="88">
        <v>19</v>
      </c>
      <c r="W8" s="88">
        <v>26</v>
      </c>
      <c r="X8" s="107">
        <v>46086</v>
      </c>
      <c r="Y8" s="107">
        <v>46093</v>
      </c>
      <c r="Z8" s="107">
        <v>46100</v>
      </c>
      <c r="AA8" s="107">
        <v>46107</v>
      </c>
      <c r="AB8" s="107"/>
      <c r="AC8" s="107"/>
      <c r="AD8" s="107"/>
      <c r="AE8" s="107"/>
    </row>
    <row r="9" spans="1:31" ht="14.4">
      <c r="A9" s="108">
        <v>1</v>
      </c>
      <c r="B9" s="109" t="s">
        <v>136</v>
      </c>
      <c r="C9" s="110">
        <v>1</v>
      </c>
      <c r="D9" s="110">
        <v>1</v>
      </c>
      <c r="E9" s="110">
        <v>1</v>
      </c>
      <c r="F9" s="109"/>
      <c r="G9" s="109"/>
      <c r="H9" s="110"/>
      <c r="I9" s="110"/>
      <c r="J9" s="109"/>
      <c r="K9" s="109"/>
      <c r="L9" s="111">
        <v>1</v>
      </c>
      <c r="M9" s="91"/>
      <c r="N9" s="91">
        <v>1</v>
      </c>
      <c r="O9" s="91">
        <v>1</v>
      </c>
      <c r="P9" s="91"/>
      <c r="Q9" s="91">
        <v>1</v>
      </c>
      <c r="R9" s="91"/>
      <c r="S9" s="91">
        <v>1</v>
      </c>
      <c r="T9" s="91">
        <v>1</v>
      </c>
      <c r="U9" s="91">
        <v>1</v>
      </c>
      <c r="V9" s="91">
        <v>1</v>
      </c>
      <c r="W9" s="91"/>
      <c r="X9" s="91"/>
      <c r="Y9" s="91"/>
      <c r="Z9" s="91">
        <v>1</v>
      </c>
      <c r="AA9" s="91">
        <v>1</v>
      </c>
      <c r="AB9" s="91"/>
      <c r="AC9" s="91"/>
      <c r="AD9" s="91"/>
      <c r="AE9" s="91"/>
    </row>
    <row r="10" spans="1:31" ht="14.4">
      <c r="A10" s="108">
        <v>2</v>
      </c>
      <c r="B10" s="109" t="s">
        <v>137</v>
      </c>
      <c r="C10" s="110">
        <v>1</v>
      </c>
      <c r="D10" s="110">
        <v>1</v>
      </c>
      <c r="E10" s="110">
        <v>1</v>
      </c>
      <c r="F10" s="110">
        <v>1</v>
      </c>
      <c r="G10" s="109">
        <v>1</v>
      </c>
      <c r="H10" s="110">
        <v>1</v>
      </c>
      <c r="I10" s="110">
        <v>1</v>
      </c>
      <c r="J10" s="110"/>
      <c r="K10" s="109">
        <v>1</v>
      </c>
      <c r="L10" s="111">
        <v>1</v>
      </c>
      <c r="M10" s="91"/>
      <c r="N10" s="91"/>
      <c r="O10" s="91">
        <v>1</v>
      </c>
      <c r="P10" s="91">
        <v>1</v>
      </c>
      <c r="Q10" s="91">
        <v>1</v>
      </c>
      <c r="R10" s="91"/>
      <c r="S10" s="91">
        <v>1</v>
      </c>
      <c r="T10" s="91">
        <v>1</v>
      </c>
      <c r="U10" s="91">
        <v>1</v>
      </c>
      <c r="V10" s="91"/>
      <c r="W10" s="91"/>
      <c r="X10" s="91"/>
      <c r="Y10" s="91">
        <v>1</v>
      </c>
      <c r="Z10" s="91">
        <v>1</v>
      </c>
      <c r="AA10" s="91">
        <v>1</v>
      </c>
      <c r="AB10" s="91"/>
      <c r="AC10" s="91"/>
      <c r="AD10" s="91"/>
      <c r="AE10" s="91"/>
    </row>
    <row r="11" spans="1:31" ht="14.4">
      <c r="A11" s="108">
        <v>3</v>
      </c>
      <c r="B11" s="109" t="s">
        <v>138</v>
      </c>
      <c r="C11" s="110">
        <v>1</v>
      </c>
      <c r="D11" s="110">
        <v>1</v>
      </c>
      <c r="E11" s="110">
        <v>1</v>
      </c>
      <c r="F11" s="110">
        <v>1</v>
      </c>
      <c r="G11" s="109">
        <v>1</v>
      </c>
      <c r="H11" s="110"/>
      <c r="I11" s="110"/>
      <c r="J11" s="110">
        <v>1</v>
      </c>
      <c r="K11" s="109"/>
      <c r="L11" s="111">
        <v>1</v>
      </c>
      <c r="M11" s="91">
        <v>1</v>
      </c>
      <c r="N11" s="91"/>
      <c r="O11" s="91"/>
      <c r="P11" s="91">
        <v>1</v>
      </c>
      <c r="Q11" s="91">
        <v>1</v>
      </c>
      <c r="R11" s="91"/>
      <c r="S11" s="91"/>
      <c r="T11" s="91">
        <v>1</v>
      </c>
      <c r="U11" s="91">
        <v>1</v>
      </c>
      <c r="V11" s="91">
        <v>1</v>
      </c>
      <c r="W11" s="91">
        <v>1</v>
      </c>
      <c r="X11" s="91">
        <v>1</v>
      </c>
      <c r="Y11" s="91">
        <v>1</v>
      </c>
      <c r="Z11" s="91">
        <v>1</v>
      </c>
      <c r="AA11" s="91">
        <v>1</v>
      </c>
      <c r="AB11" s="91"/>
      <c r="AC11" s="91"/>
      <c r="AD11" s="91"/>
      <c r="AE11" s="91"/>
    </row>
    <row r="12" spans="1:31" ht="14.4">
      <c r="A12" s="108">
        <v>4</v>
      </c>
      <c r="B12" s="112" t="s">
        <v>139</v>
      </c>
      <c r="C12" s="109"/>
      <c r="D12" s="110">
        <v>1</v>
      </c>
      <c r="E12" s="110">
        <v>1</v>
      </c>
      <c r="F12" s="110">
        <v>1</v>
      </c>
      <c r="G12" s="109">
        <v>1</v>
      </c>
      <c r="H12" s="110"/>
      <c r="I12" s="110"/>
      <c r="J12" s="110"/>
      <c r="K12" s="109"/>
      <c r="L12" s="11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</row>
    <row r="13" spans="1:31" ht="14.4">
      <c r="A13" s="108">
        <v>5</v>
      </c>
      <c r="B13" s="112" t="s">
        <v>140</v>
      </c>
      <c r="C13" s="110">
        <v>1</v>
      </c>
      <c r="D13" s="110">
        <v>1</v>
      </c>
      <c r="E13" s="110">
        <v>1</v>
      </c>
      <c r="F13" s="110">
        <v>1</v>
      </c>
      <c r="G13" s="109"/>
      <c r="H13" s="110"/>
      <c r="I13" s="110"/>
      <c r="J13" s="110"/>
      <c r="K13" s="109"/>
      <c r="L13" s="111">
        <v>1</v>
      </c>
      <c r="M13" s="91"/>
      <c r="N13" s="91"/>
      <c r="O13" s="91"/>
      <c r="P13" s="91">
        <v>1</v>
      </c>
      <c r="Q13" s="91"/>
      <c r="R13" s="91"/>
      <c r="S13" s="91"/>
      <c r="T13" s="91"/>
      <c r="U13" s="91"/>
      <c r="V13" s="91">
        <v>1</v>
      </c>
      <c r="W13" s="91"/>
      <c r="X13" s="91">
        <v>1</v>
      </c>
      <c r="Y13" s="91">
        <v>1</v>
      </c>
      <c r="Z13" s="91">
        <v>1</v>
      </c>
      <c r="AA13" s="91">
        <v>1</v>
      </c>
      <c r="AB13" s="91"/>
      <c r="AC13" s="91"/>
      <c r="AD13" s="91"/>
      <c r="AE13" s="91"/>
    </row>
    <row r="14" spans="1:31" ht="14.4">
      <c r="A14" s="108">
        <v>6</v>
      </c>
      <c r="B14" s="112" t="s">
        <v>141</v>
      </c>
      <c r="C14" s="110">
        <v>1</v>
      </c>
      <c r="D14" s="109"/>
      <c r="E14" s="110">
        <v>1</v>
      </c>
      <c r="F14" s="110">
        <v>1</v>
      </c>
      <c r="G14" s="109">
        <v>1</v>
      </c>
      <c r="H14" s="109"/>
      <c r="I14" s="110"/>
      <c r="J14" s="110">
        <v>1</v>
      </c>
      <c r="K14" s="109">
        <v>1</v>
      </c>
      <c r="L14" s="11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</row>
    <row r="15" spans="1:31" ht="14.4">
      <c r="A15" s="108">
        <v>7</v>
      </c>
      <c r="B15" s="112" t="s">
        <v>142</v>
      </c>
      <c r="C15" s="110"/>
      <c r="D15" s="109"/>
      <c r="E15" s="110"/>
      <c r="F15" s="110"/>
      <c r="G15" s="109"/>
      <c r="H15" s="109">
        <v>1</v>
      </c>
      <c r="I15" s="110">
        <v>1</v>
      </c>
      <c r="J15" s="110"/>
      <c r="K15" s="109">
        <v>1</v>
      </c>
      <c r="L15" s="111">
        <v>1</v>
      </c>
      <c r="M15" s="91">
        <v>1</v>
      </c>
      <c r="N15" s="91">
        <v>1</v>
      </c>
      <c r="O15" s="91">
        <v>1</v>
      </c>
      <c r="P15" s="91">
        <v>1</v>
      </c>
      <c r="Q15" s="91">
        <v>1</v>
      </c>
      <c r="R15" s="91">
        <v>1</v>
      </c>
      <c r="S15" s="91">
        <v>1</v>
      </c>
      <c r="T15" s="91"/>
      <c r="U15" s="91"/>
      <c r="V15" s="91">
        <v>1</v>
      </c>
      <c r="W15" s="91"/>
      <c r="X15" s="91">
        <v>1</v>
      </c>
      <c r="Y15" s="91">
        <v>1</v>
      </c>
      <c r="Z15" s="91">
        <v>1</v>
      </c>
      <c r="AA15" s="91"/>
      <c r="AB15" s="91"/>
      <c r="AC15" s="91"/>
      <c r="AD15" s="91"/>
      <c r="AE15" s="91"/>
    </row>
    <row r="16" spans="1:31" ht="14.4">
      <c r="A16" s="108">
        <v>8</v>
      </c>
      <c r="B16" s="112" t="s">
        <v>143</v>
      </c>
      <c r="C16" s="110"/>
      <c r="D16" s="109"/>
      <c r="E16" s="110"/>
      <c r="F16" s="110"/>
      <c r="G16" s="109"/>
      <c r="H16" s="109">
        <v>1</v>
      </c>
      <c r="I16" s="110">
        <v>1</v>
      </c>
      <c r="J16" s="110"/>
      <c r="K16" s="109"/>
      <c r="L16" s="111">
        <v>1</v>
      </c>
      <c r="M16" s="91">
        <v>1</v>
      </c>
      <c r="N16" s="91">
        <v>1</v>
      </c>
      <c r="O16" s="91">
        <v>1</v>
      </c>
      <c r="P16" s="91">
        <v>1</v>
      </c>
      <c r="Q16" s="91">
        <v>1</v>
      </c>
      <c r="R16" s="91">
        <v>1</v>
      </c>
      <c r="S16" s="91">
        <v>1</v>
      </c>
      <c r="T16" s="91">
        <v>1</v>
      </c>
      <c r="U16" s="91">
        <v>1</v>
      </c>
      <c r="V16" s="91">
        <v>1</v>
      </c>
      <c r="W16" s="91">
        <v>1</v>
      </c>
      <c r="X16" s="91"/>
      <c r="Y16" s="91"/>
      <c r="Z16" s="91"/>
      <c r="AA16" s="91"/>
      <c r="AB16" s="91"/>
      <c r="AC16" s="91"/>
      <c r="AD16" s="91"/>
      <c r="AE16" s="91"/>
    </row>
    <row r="17" spans="1:31" ht="14.4">
      <c r="A17" s="108">
        <v>9</v>
      </c>
      <c r="B17" s="112" t="s">
        <v>144</v>
      </c>
      <c r="C17" s="110"/>
      <c r="D17" s="109"/>
      <c r="E17" s="110"/>
      <c r="F17" s="110"/>
      <c r="G17" s="109"/>
      <c r="H17" s="109">
        <v>1</v>
      </c>
      <c r="I17" s="110">
        <v>1</v>
      </c>
      <c r="J17" s="110"/>
      <c r="K17" s="109"/>
      <c r="L17" s="11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</row>
    <row r="18" spans="1:31" ht="14.4">
      <c r="A18" s="108">
        <v>10</v>
      </c>
      <c r="B18" s="112" t="s">
        <v>145</v>
      </c>
      <c r="C18" s="110"/>
      <c r="D18" s="109"/>
      <c r="E18" s="110"/>
      <c r="F18" s="110"/>
      <c r="G18" s="109"/>
      <c r="H18" s="109">
        <v>1</v>
      </c>
      <c r="I18" s="110"/>
      <c r="J18" s="110"/>
      <c r="K18" s="109"/>
      <c r="L18" s="11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</row>
    <row r="19" spans="1:31" ht="14.4">
      <c r="A19" s="108">
        <v>11</v>
      </c>
      <c r="B19" s="112" t="s">
        <v>146</v>
      </c>
      <c r="C19" s="110"/>
      <c r="D19" s="109"/>
      <c r="E19" s="110"/>
      <c r="F19" s="110"/>
      <c r="G19" s="109"/>
      <c r="H19" s="109"/>
      <c r="I19" s="110"/>
      <c r="J19" s="110"/>
      <c r="K19" s="109">
        <v>1</v>
      </c>
      <c r="L19" s="111">
        <v>1</v>
      </c>
      <c r="M19" s="91">
        <v>1</v>
      </c>
      <c r="N19" s="91">
        <v>1</v>
      </c>
      <c r="O19" s="91">
        <v>1</v>
      </c>
      <c r="P19" s="91">
        <v>1</v>
      </c>
      <c r="Q19" s="91">
        <v>1</v>
      </c>
      <c r="R19" s="91">
        <v>1</v>
      </c>
      <c r="S19" s="91">
        <v>1</v>
      </c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</row>
    <row r="20" spans="1:31" ht="14.4">
      <c r="A20" s="101"/>
      <c r="B20" s="102" t="s">
        <v>147</v>
      </c>
      <c r="C20" s="108">
        <v>5</v>
      </c>
      <c r="D20" s="108">
        <v>5</v>
      </c>
      <c r="E20" s="108">
        <v>6</v>
      </c>
      <c r="F20" s="108">
        <v>5</v>
      </c>
      <c r="G20" s="101">
        <v>4</v>
      </c>
      <c r="H20" s="108">
        <v>5</v>
      </c>
      <c r="I20" s="108">
        <v>4</v>
      </c>
      <c r="J20" s="108">
        <v>2</v>
      </c>
      <c r="K20" s="101">
        <v>4</v>
      </c>
      <c r="L20" s="101">
        <v>7</v>
      </c>
      <c r="M20" s="113">
        <v>4</v>
      </c>
      <c r="N20" s="113">
        <v>4</v>
      </c>
      <c r="O20" s="113">
        <v>5</v>
      </c>
      <c r="P20" s="106">
        <v>6</v>
      </c>
      <c r="Q20" s="106">
        <v>6</v>
      </c>
      <c r="R20" s="106">
        <v>3</v>
      </c>
      <c r="S20" s="106">
        <v>5</v>
      </c>
      <c r="T20" s="113">
        <v>4</v>
      </c>
      <c r="U20" s="113">
        <v>4</v>
      </c>
      <c r="V20" s="113">
        <v>5</v>
      </c>
      <c r="W20" s="113">
        <v>2</v>
      </c>
      <c r="X20" s="88">
        <v>3</v>
      </c>
      <c r="Y20" s="88">
        <v>4</v>
      </c>
      <c r="Z20" s="88">
        <v>5</v>
      </c>
      <c r="AA20" s="88">
        <v>4</v>
      </c>
      <c r="AB20" s="88"/>
      <c r="AC20" s="88"/>
      <c r="AD20" s="88"/>
      <c r="AE20" s="88"/>
    </row>
    <row r="21" spans="1:31" ht="13.2">
      <c r="G21" s="85">
        <v>25</v>
      </c>
      <c r="K21" s="85">
        <v>15</v>
      </c>
      <c r="O21" s="85">
        <v>20</v>
      </c>
      <c r="S21" s="85">
        <v>20</v>
      </c>
      <c r="W21" s="85">
        <v>15</v>
      </c>
      <c r="AA21" s="85">
        <v>16</v>
      </c>
      <c r="AB21" s="85"/>
      <c r="AC21" s="85"/>
      <c r="AD21" s="85"/>
      <c r="AE21" s="85"/>
    </row>
    <row r="22" spans="1:31" ht="13.2">
      <c r="F22" s="114" t="s">
        <v>128</v>
      </c>
      <c r="G22" s="114" t="s">
        <v>148</v>
      </c>
      <c r="J22" s="95" t="s">
        <v>128</v>
      </c>
      <c r="K22" s="114" t="s">
        <v>149</v>
      </c>
      <c r="N22" s="95" t="s">
        <v>128</v>
      </c>
      <c r="O22" s="114" t="s">
        <v>150</v>
      </c>
      <c r="R22" s="115" t="s">
        <v>128</v>
      </c>
      <c r="S22" s="116" t="s">
        <v>151</v>
      </c>
      <c r="V22" s="95" t="s">
        <v>128</v>
      </c>
      <c r="W22" s="95">
        <v>45000</v>
      </c>
      <c r="Z22" s="95" t="s">
        <v>128</v>
      </c>
      <c r="AA22" s="95">
        <f>AA21*3000</f>
        <v>48000</v>
      </c>
      <c r="AB22" s="117"/>
      <c r="AC22" s="117"/>
      <c r="AD22" s="117"/>
      <c r="AE22" s="1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AI30"/>
  <sheetViews>
    <sheetView workbookViewId="0"/>
  </sheetViews>
  <sheetFormatPr defaultColWidth="12.6640625" defaultRowHeight="15.75" customHeight="1"/>
  <cols>
    <col min="1" max="1" width="3.6640625" customWidth="1"/>
  </cols>
  <sheetData>
    <row r="2" spans="1:35" ht="15.75" customHeight="1">
      <c r="B2" s="118" t="s">
        <v>152</v>
      </c>
      <c r="C2" s="118"/>
      <c r="D2" s="118"/>
      <c r="E2" s="98"/>
      <c r="F2" s="98"/>
      <c r="G2" s="98"/>
      <c r="H2" s="98"/>
      <c r="I2" s="98"/>
      <c r="J2" s="98"/>
      <c r="K2" s="98"/>
    </row>
    <row r="3" spans="1:35">
      <c r="B3" s="98" t="s">
        <v>153</v>
      </c>
      <c r="C3" s="98"/>
      <c r="D3" s="98"/>
      <c r="E3" s="98"/>
      <c r="F3" s="98"/>
      <c r="G3" s="98"/>
      <c r="H3" s="98"/>
      <c r="I3" s="98"/>
      <c r="J3" s="98"/>
      <c r="K3" s="98"/>
    </row>
    <row r="4" spans="1:35">
      <c r="B4" s="98" t="s">
        <v>154</v>
      </c>
      <c r="C4" s="98"/>
      <c r="D4" s="98"/>
      <c r="E4" s="98"/>
      <c r="F4" s="98"/>
      <c r="G4" s="98"/>
      <c r="H4" s="98"/>
      <c r="I4" s="98"/>
      <c r="J4" s="98"/>
      <c r="K4" s="98"/>
    </row>
    <row r="5" spans="1:35">
      <c r="D5" s="87">
        <v>3000</v>
      </c>
    </row>
    <row r="6" spans="1:35">
      <c r="B6" s="119" t="s">
        <v>155</v>
      </c>
      <c r="C6" s="119"/>
      <c r="E6" s="119" t="s">
        <v>156</v>
      </c>
      <c r="H6" s="119"/>
    </row>
    <row r="7" spans="1:35" ht="15.75" customHeight="1">
      <c r="A7" s="101"/>
      <c r="B7" s="102" t="s">
        <v>135</v>
      </c>
      <c r="C7" s="120">
        <v>46083</v>
      </c>
      <c r="D7" s="113" t="s">
        <v>157</v>
      </c>
      <c r="E7" s="113"/>
      <c r="F7" s="121"/>
      <c r="G7" s="122">
        <v>45936</v>
      </c>
      <c r="H7" s="122">
        <v>45943</v>
      </c>
      <c r="I7" s="123">
        <v>45950</v>
      </c>
      <c r="J7" s="122">
        <v>45964</v>
      </c>
      <c r="K7" s="122">
        <v>45971</v>
      </c>
      <c r="L7" s="123">
        <v>45978</v>
      </c>
      <c r="M7" s="123">
        <v>45985</v>
      </c>
      <c r="N7" s="124">
        <v>45992</v>
      </c>
      <c r="O7" s="124">
        <v>45999</v>
      </c>
      <c r="P7" s="124">
        <v>46006</v>
      </c>
      <c r="Q7" s="124">
        <v>46013</v>
      </c>
      <c r="R7" s="124">
        <v>46020</v>
      </c>
      <c r="S7" s="105">
        <v>46027</v>
      </c>
      <c r="T7" s="105">
        <v>46034</v>
      </c>
      <c r="U7" s="105">
        <v>46041</v>
      </c>
      <c r="V7" s="105">
        <v>46048</v>
      </c>
      <c r="W7" s="125">
        <v>46055</v>
      </c>
      <c r="X7" s="125">
        <v>46062</v>
      </c>
      <c r="Y7" s="125">
        <v>46069</v>
      </c>
      <c r="Z7" s="125">
        <v>46076</v>
      </c>
      <c r="AA7" s="125">
        <v>46083</v>
      </c>
      <c r="AB7" s="125">
        <v>46090</v>
      </c>
      <c r="AC7" s="125">
        <v>46097</v>
      </c>
      <c r="AD7" s="125">
        <v>46104</v>
      </c>
      <c r="AE7" s="125">
        <v>46111</v>
      </c>
      <c r="AF7" s="125"/>
      <c r="AG7" s="125"/>
      <c r="AH7" s="125"/>
      <c r="AI7" s="125"/>
    </row>
    <row r="8" spans="1:35" ht="15.75" customHeight="1">
      <c r="A8" s="108">
        <v>1</v>
      </c>
      <c r="B8" s="109" t="s">
        <v>158</v>
      </c>
      <c r="C8" s="109"/>
      <c r="D8" s="126" t="s">
        <v>159</v>
      </c>
      <c r="E8" s="91">
        <v>1</v>
      </c>
      <c r="F8" s="127">
        <v>1</v>
      </c>
      <c r="G8" s="128">
        <v>1</v>
      </c>
      <c r="H8" s="128">
        <v>1</v>
      </c>
      <c r="I8" s="128">
        <v>1</v>
      </c>
      <c r="J8" s="128"/>
      <c r="K8" s="128"/>
      <c r="L8" s="128"/>
      <c r="M8" s="128"/>
      <c r="N8" s="91"/>
      <c r="O8" s="91"/>
      <c r="P8" s="91"/>
      <c r="Q8" s="91"/>
      <c r="R8" s="91"/>
      <c r="S8" s="91" t="s">
        <v>160</v>
      </c>
      <c r="T8" s="91"/>
      <c r="U8" s="91"/>
      <c r="V8" s="91"/>
      <c r="W8" s="91"/>
      <c r="X8" s="91"/>
      <c r="Y8" s="91"/>
      <c r="Z8" s="91"/>
      <c r="AA8" s="91"/>
      <c r="AB8" s="91" t="s">
        <v>160</v>
      </c>
      <c r="AC8" s="91"/>
      <c r="AD8" s="91" t="s">
        <v>160</v>
      </c>
      <c r="AE8" s="91"/>
      <c r="AF8" s="91"/>
      <c r="AG8" s="91"/>
      <c r="AH8" s="91"/>
      <c r="AI8" s="91"/>
    </row>
    <row r="9" spans="1:35" ht="15.75" customHeight="1">
      <c r="A9" s="108">
        <v>2</v>
      </c>
      <c r="B9" s="109" t="s">
        <v>161</v>
      </c>
      <c r="C9" s="109"/>
      <c r="D9" s="126"/>
      <c r="E9" s="91">
        <v>1</v>
      </c>
      <c r="F9" s="127">
        <v>1</v>
      </c>
      <c r="G9" s="128">
        <v>1</v>
      </c>
      <c r="H9" s="128">
        <v>1</v>
      </c>
      <c r="I9" s="128">
        <v>1</v>
      </c>
      <c r="J9" s="128">
        <v>1</v>
      </c>
      <c r="K9" s="128">
        <v>1</v>
      </c>
      <c r="L9" s="128"/>
      <c r="M9" s="128"/>
      <c r="N9" s="91"/>
      <c r="O9" s="91">
        <v>1</v>
      </c>
      <c r="P9" s="91"/>
      <c r="Q9" s="91">
        <v>1</v>
      </c>
      <c r="R9" s="91">
        <v>1</v>
      </c>
      <c r="S9" s="91"/>
      <c r="T9" s="91">
        <v>1</v>
      </c>
      <c r="U9" s="91">
        <v>1</v>
      </c>
      <c r="V9" s="91">
        <v>1</v>
      </c>
      <c r="W9" s="91">
        <v>1</v>
      </c>
      <c r="X9" s="91">
        <v>1</v>
      </c>
      <c r="Y9" s="91">
        <v>1</v>
      </c>
      <c r="Z9" s="91">
        <v>1</v>
      </c>
      <c r="AA9" s="91"/>
      <c r="AB9" s="91"/>
      <c r="AC9" s="91">
        <v>1</v>
      </c>
      <c r="AD9" s="91"/>
      <c r="AE9" s="91">
        <v>1</v>
      </c>
      <c r="AF9" s="91"/>
      <c r="AG9" s="91"/>
      <c r="AH9" s="91"/>
      <c r="AI9" s="91"/>
    </row>
    <row r="10" spans="1:35" ht="15.75" customHeight="1">
      <c r="A10" s="108">
        <v>3</v>
      </c>
      <c r="B10" s="109" t="s">
        <v>162</v>
      </c>
      <c r="C10" s="109">
        <v>1</v>
      </c>
      <c r="D10" s="126"/>
      <c r="E10" s="91">
        <v>1</v>
      </c>
      <c r="F10" s="127">
        <v>1</v>
      </c>
      <c r="G10" s="128">
        <v>1</v>
      </c>
      <c r="H10" s="128">
        <v>1</v>
      </c>
      <c r="I10" s="128">
        <v>1</v>
      </c>
      <c r="J10" s="128">
        <v>1</v>
      </c>
      <c r="K10" s="128"/>
      <c r="L10" s="128">
        <v>1</v>
      </c>
      <c r="M10" s="128">
        <v>1</v>
      </c>
      <c r="N10" s="91">
        <v>1</v>
      </c>
      <c r="O10" s="91">
        <v>1</v>
      </c>
      <c r="P10" s="91">
        <v>1</v>
      </c>
      <c r="Q10" s="91">
        <v>1</v>
      </c>
      <c r="R10" s="91">
        <v>1</v>
      </c>
      <c r="S10" s="91"/>
      <c r="T10" s="91">
        <v>1</v>
      </c>
      <c r="U10" s="91">
        <v>1</v>
      </c>
      <c r="V10" s="91">
        <v>1</v>
      </c>
      <c r="W10" s="91">
        <v>1</v>
      </c>
      <c r="X10" s="91">
        <v>1</v>
      </c>
      <c r="Y10" s="91">
        <v>1</v>
      </c>
      <c r="Z10" s="91">
        <v>1</v>
      </c>
      <c r="AA10" s="91">
        <v>1</v>
      </c>
      <c r="AB10" s="91"/>
      <c r="AC10" s="91">
        <v>1</v>
      </c>
      <c r="AD10" s="91"/>
      <c r="AE10" s="91" t="s">
        <v>67</v>
      </c>
      <c r="AF10" s="91"/>
      <c r="AG10" s="91"/>
      <c r="AH10" s="91"/>
      <c r="AI10" s="91"/>
    </row>
    <row r="11" spans="1:35" ht="15.75" customHeight="1">
      <c r="A11" s="108">
        <v>4</v>
      </c>
      <c r="B11" s="112" t="s">
        <v>163</v>
      </c>
      <c r="C11" s="112">
        <v>1</v>
      </c>
      <c r="D11" s="126"/>
      <c r="E11" s="91"/>
      <c r="F11" s="127">
        <v>1</v>
      </c>
      <c r="G11" s="128">
        <v>1</v>
      </c>
      <c r="H11" s="128">
        <v>1</v>
      </c>
      <c r="I11" s="112"/>
      <c r="J11" s="128">
        <v>1</v>
      </c>
      <c r="K11" s="128">
        <v>1</v>
      </c>
      <c r="L11" s="112">
        <v>1</v>
      </c>
      <c r="M11" s="112"/>
      <c r="N11" s="91">
        <v>1</v>
      </c>
      <c r="O11" s="91">
        <v>1</v>
      </c>
      <c r="P11" s="91">
        <v>1</v>
      </c>
      <c r="Q11" s="91">
        <v>1</v>
      </c>
      <c r="R11" s="91">
        <v>1</v>
      </c>
      <c r="S11" s="91"/>
      <c r="T11" s="91">
        <v>1</v>
      </c>
      <c r="U11" s="91">
        <v>1</v>
      </c>
      <c r="V11" s="91">
        <v>1</v>
      </c>
      <c r="W11" s="91">
        <v>1</v>
      </c>
      <c r="X11" s="91">
        <v>1</v>
      </c>
      <c r="Y11" s="91">
        <v>1</v>
      </c>
      <c r="Z11" s="91">
        <v>1</v>
      </c>
      <c r="AA11" s="91">
        <v>1</v>
      </c>
      <c r="AB11" s="91"/>
      <c r="AC11" s="91">
        <v>1</v>
      </c>
      <c r="AD11" s="91"/>
      <c r="AE11" s="91">
        <v>1</v>
      </c>
      <c r="AF11" s="91"/>
      <c r="AG11" s="91"/>
      <c r="AH11" s="91"/>
      <c r="AI11" s="91"/>
    </row>
    <row r="12" spans="1:35" ht="15.75" customHeight="1">
      <c r="A12" s="108">
        <v>5</v>
      </c>
      <c r="B12" s="112" t="s">
        <v>164</v>
      </c>
      <c r="C12" s="112"/>
      <c r="D12" s="126"/>
      <c r="E12" s="91">
        <v>1</v>
      </c>
      <c r="F12" s="127">
        <v>1</v>
      </c>
      <c r="G12" s="128">
        <v>1</v>
      </c>
      <c r="H12" s="128">
        <v>1</v>
      </c>
      <c r="I12" s="112"/>
      <c r="J12" s="128">
        <v>1</v>
      </c>
      <c r="K12" s="128"/>
      <c r="L12" s="112"/>
      <c r="M12" s="112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1:35" ht="15.75" customHeight="1">
      <c r="A13" s="108">
        <v>6</v>
      </c>
      <c r="B13" s="112" t="s">
        <v>165</v>
      </c>
      <c r="C13" s="112"/>
      <c r="D13" s="126"/>
      <c r="E13" s="91">
        <v>1</v>
      </c>
      <c r="F13" s="127">
        <v>1</v>
      </c>
      <c r="G13" s="128">
        <v>1</v>
      </c>
      <c r="H13" s="128">
        <v>1</v>
      </c>
      <c r="I13" s="112"/>
      <c r="J13" s="128">
        <v>1</v>
      </c>
      <c r="K13" s="128">
        <v>1</v>
      </c>
      <c r="L13" s="112">
        <v>1</v>
      </c>
      <c r="M13" s="112"/>
      <c r="N13" s="91">
        <v>1</v>
      </c>
      <c r="O13" s="91">
        <v>1</v>
      </c>
      <c r="P13" s="91">
        <v>1</v>
      </c>
      <c r="Q13" s="91">
        <v>1</v>
      </c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08">
        <v>7</v>
      </c>
      <c r="B14" s="112" t="s">
        <v>166</v>
      </c>
      <c r="C14" s="112"/>
      <c r="D14" s="126"/>
      <c r="E14" s="91">
        <v>1</v>
      </c>
      <c r="F14" s="127">
        <v>1</v>
      </c>
      <c r="G14" s="128">
        <v>1</v>
      </c>
      <c r="H14" s="128">
        <v>1</v>
      </c>
      <c r="I14" s="128">
        <v>1</v>
      </c>
      <c r="J14" s="128"/>
      <c r="K14" s="128">
        <v>1</v>
      </c>
      <c r="L14" s="128">
        <v>1</v>
      </c>
      <c r="M14" s="128"/>
      <c r="N14" s="91">
        <v>1</v>
      </c>
      <c r="O14" s="91"/>
      <c r="P14" s="91"/>
      <c r="Q14" s="91">
        <v>1</v>
      </c>
      <c r="R14" s="91"/>
      <c r="S14" s="91"/>
      <c r="T14" s="91"/>
      <c r="U14" s="91"/>
      <c r="V14" s="91"/>
      <c r="W14" s="91"/>
      <c r="X14" s="91">
        <v>1</v>
      </c>
      <c r="Y14" s="91"/>
      <c r="Z14" s="91">
        <v>1</v>
      </c>
      <c r="AA14" s="91"/>
      <c r="AB14" s="91"/>
      <c r="AC14" s="91">
        <v>1</v>
      </c>
      <c r="AD14" s="91"/>
      <c r="AE14" s="91">
        <v>1</v>
      </c>
      <c r="AF14" s="91"/>
      <c r="AG14" s="91"/>
      <c r="AH14" s="91"/>
      <c r="AI14" s="91"/>
    </row>
    <row r="15" spans="1:35" ht="15.75" customHeight="1">
      <c r="A15" s="108">
        <v>8</v>
      </c>
      <c r="B15" s="112" t="s">
        <v>167</v>
      </c>
      <c r="C15" s="112">
        <v>1</v>
      </c>
      <c r="D15" s="126"/>
      <c r="E15" s="91">
        <v>1</v>
      </c>
      <c r="F15" s="127">
        <v>1</v>
      </c>
      <c r="G15" s="128">
        <v>1</v>
      </c>
      <c r="H15" s="128">
        <v>1</v>
      </c>
      <c r="I15" s="128">
        <v>1</v>
      </c>
      <c r="J15" s="128">
        <v>1</v>
      </c>
      <c r="K15" s="128"/>
      <c r="L15" s="128">
        <v>1</v>
      </c>
      <c r="M15" s="128">
        <v>1</v>
      </c>
      <c r="N15" s="91">
        <v>1</v>
      </c>
      <c r="O15" s="91">
        <v>1</v>
      </c>
      <c r="P15" s="91">
        <v>1</v>
      </c>
      <c r="Q15" s="91">
        <v>1</v>
      </c>
      <c r="R15" s="91">
        <v>1</v>
      </c>
      <c r="S15" s="91"/>
      <c r="T15" s="91">
        <v>1</v>
      </c>
      <c r="U15" s="91">
        <v>1</v>
      </c>
      <c r="V15" s="91">
        <v>1</v>
      </c>
      <c r="W15" s="91">
        <v>1</v>
      </c>
      <c r="X15" s="91">
        <v>1</v>
      </c>
      <c r="Y15" s="91">
        <v>1</v>
      </c>
      <c r="Z15" s="91">
        <v>1</v>
      </c>
      <c r="AA15" s="91">
        <v>1</v>
      </c>
      <c r="AB15" s="91"/>
      <c r="AC15" s="91">
        <v>1</v>
      </c>
      <c r="AD15" s="91"/>
      <c r="AE15" s="91">
        <v>1</v>
      </c>
      <c r="AF15" s="91"/>
      <c r="AG15" s="91"/>
      <c r="AH15" s="91"/>
      <c r="AI15" s="91"/>
    </row>
    <row r="16" spans="1:35" ht="14.4">
      <c r="A16" s="108">
        <v>9</v>
      </c>
      <c r="B16" s="112" t="s">
        <v>168</v>
      </c>
      <c r="C16" s="112">
        <v>1</v>
      </c>
      <c r="D16" s="126"/>
      <c r="E16" s="91">
        <v>1</v>
      </c>
      <c r="F16" s="127">
        <v>1</v>
      </c>
      <c r="G16" s="128">
        <v>1</v>
      </c>
      <c r="H16" s="128">
        <v>1</v>
      </c>
      <c r="I16" s="128">
        <v>1</v>
      </c>
      <c r="J16" s="128">
        <v>1</v>
      </c>
      <c r="K16" s="128"/>
      <c r="L16" s="128">
        <v>1</v>
      </c>
      <c r="M16" s="128"/>
      <c r="N16" s="91">
        <v>1</v>
      </c>
      <c r="O16" s="91">
        <v>1</v>
      </c>
      <c r="P16" s="91">
        <v>1</v>
      </c>
      <c r="Q16" s="91">
        <v>1</v>
      </c>
      <c r="R16" s="91">
        <v>1</v>
      </c>
      <c r="S16" s="91"/>
      <c r="T16" s="91">
        <v>1</v>
      </c>
      <c r="U16" s="91">
        <v>1</v>
      </c>
      <c r="V16" s="91">
        <v>1</v>
      </c>
      <c r="W16" s="91">
        <v>1</v>
      </c>
      <c r="X16" s="91">
        <v>1</v>
      </c>
      <c r="Y16" s="91">
        <v>1</v>
      </c>
      <c r="Z16" s="91">
        <v>1</v>
      </c>
      <c r="AA16" s="91">
        <v>1</v>
      </c>
      <c r="AB16" s="91"/>
      <c r="AC16" s="91">
        <v>1</v>
      </c>
      <c r="AD16" s="91"/>
      <c r="AE16" s="91">
        <v>1</v>
      </c>
      <c r="AF16" s="91"/>
      <c r="AG16" s="91"/>
      <c r="AH16" s="91"/>
      <c r="AI16" s="91"/>
    </row>
    <row r="17" spans="1:35" ht="14.4">
      <c r="A17" s="108">
        <v>10</v>
      </c>
      <c r="B17" s="112" t="s">
        <v>169</v>
      </c>
      <c r="C17" s="112">
        <v>1</v>
      </c>
      <c r="D17" s="129">
        <v>5</v>
      </c>
      <c r="E17" s="130">
        <v>8</v>
      </c>
      <c r="F17" s="131">
        <v>9</v>
      </c>
      <c r="G17" s="128">
        <v>1</v>
      </c>
      <c r="H17" s="128">
        <v>1</v>
      </c>
      <c r="I17" s="128">
        <v>1</v>
      </c>
      <c r="J17" s="128">
        <v>1</v>
      </c>
      <c r="K17" s="128">
        <v>1</v>
      </c>
      <c r="L17" s="128">
        <v>1</v>
      </c>
      <c r="M17" s="128">
        <v>1</v>
      </c>
      <c r="N17" s="91">
        <v>1</v>
      </c>
      <c r="O17" s="91">
        <v>1</v>
      </c>
      <c r="P17" s="91">
        <v>1</v>
      </c>
      <c r="Q17" s="91"/>
      <c r="R17" s="91">
        <v>1</v>
      </c>
      <c r="S17" s="91"/>
      <c r="T17" s="91">
        <v>1</v>
      </c>
      <c r="U17" s="91">
        <v>1</v>
      </c>
      <c r="V17" s="91">
        <v>1</v>
      </c>
      <c r="W17" s="91">
        <v>1</v>
      </c>
      <c r="X17" s="91">
        <v>1</v>
      </c>
      <c r="Y17" s="91">
        <v>1</v>
      </c>
      <c r="Z17" s="91">
        <v>1</v>
      </c>
      <c r="AA17" s="91">
        <v>1</v>
      </c>
      <c r="AB17" s="91"/>
      <c r="AC17" s="91">
        <v>1</v>
      </c>
      <c r="AD17" s="91"/>
      <c r="AE17" s="91">
        <v>1</v>
      </c>
      <c r="AF17" s="91"/>
      <c r="AG17" s="91"/>
      <c r="AH17" s="91"/>
      <c r="AI17" s="91"/>
    </row>
    <row r="18" spans="1:35" ht="14.4">
      <c r="A18" s="108">
        <v>11</v>
      </c>
      <c r="B18" s="112" t="s">
        <v>170</v>
      </c>
      <c r="C18" s="112">
        <v>1</v>
      </c>
      <c r="D18" s="132"/>
      <c r="E18" s="133"/>
      <c r="F18" s="133"/>
      <c r="G18" s="128"/>
      <c r="H18" s="128"/>
      <c r="I18" s="128"/>
      <c r="J18" s="128" t="s">
        <v>171</v>
      </c>
      <c r="K18" s="128">
        <v>1</v>
      </c>
      <c r="L18" s="128">
        <v>1</v>
      </c>
      <c r="M18" s="128">
        <v>1</v>
      </c>
      <c r="N18" s="91"/>
      <c r="O18" s="91"/>
      <c r="P18" s="91"/>
      <c r="Q18" s="91">
        <v>1</v>
      </c>
      <c r="R18" s="91">
        <v>1</v>
      </c>
      <c r="S18" s="91"/>
      <c r="T18" s="91"/>
      <c r="U18" s="91"/>
      <c r="V18" s="91"/>
      <c r="W18" s="91"/>
      <c r="X18" s="91">
        <v>1</v>
      </c>
      <c r="Y18" s="91">
        <v>1</v>
      </c>
      <c r="Z18" s="91"/>
      <c r="AA18" s="91">
        <v>1</v>
      </c>
      <c r="AB18" s="91"/>
      <c r="AC18" s="91"/>
      <c r="AD18" s="91"/>
      <c r="AE18" s="91"/>
      <c r="AF18" s="91"/>
      <c r="AG18" s="91"/>
      <c r="AH18" s="91"/>
      <c r="AI18" s="91"/>
    </row>
    <row r="19" spans="1:35" ht="14.4">
      <c r="A19" s="134">
        <v>12</v>
      </c>
      <c r="B19" s="112" t="s">
        <v>172</v>
      </c>
      <c r="C19" s="112"/>
      <c r="D19" s="132"/>
      <c r="E19" s="133"/>
      <c r="F19" s="133"/>
      <c r="G19" s="128"/>
      <c r="H19" s="128"/>
      <c r="I19" s="128"/>
      <c r="J19" s="128" t="s">
        <v>171</v>
      </c>
      <c r="K19" s="128">
        <v>1</v>
      </c>
      <c r="L19" s="128"/>
      <c r="M19" s="128">
        <v>1</v>
      </c>
      <c r="N19" s="91">
        <v>1</v>
      </c>
      <c r="O19" s="91">
        <v>1</v>
      </c>
      <c r="P19" s="91">
        <v>1</v>
      </c>
      <c r="Q19" s="91"/>
      <c r="R19" s="91">
        <v>1</v>
      </c>
      <c r="S19" s="91"/>
      <c r="T19" s="91">
        <v>1</v>
      </c>
      <c r="U19" s="91">
        <v>1</v>
      </c>
      <c r="V19" s="91">
        <v>1</v>
      </c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4.4">
      <c r="A20" s="134">
        <v>13</v>
      </c>
      <c r="B20" s="112" t="s">
        <v>173</v>
      </c>
      <c r="C20" s="112"/>
      <c r="D20" s="132"/>
      <c r="E20" s="133"/>
      <c r="F20" s="133"/>
      <c r="G20" s="128"/>
      <c r="H20" s="128"/>
      <c r="I20" s="128"/>
      <c r="J20" s="128"/>
      <c r="K20" s="128"/>
      <c r="L20" s="128"/>
      <c r="M20" s="128" t="s">
        <v>174</v>
      </c>
      <c r="N20" s="91">
        <v>1</v>
      </c>
      <c r="O20" s="91">
        <v>1</v>
      </c>
      <c r="P20" s="91"/>
      <c r="Q20" s="91">
        <v>1</v>
      </c>
      <c r="R20" s="91">
        <v>1</v>
      </c>
      <c r="S20" s="91"/>
      <c r="T20" s="91"/>
      <c r="U20" s="91"/>
      <c r="V20" s="91"/>
      <c r="W20" s="91"/>
      <c r="X20" s="91">
        <v>1</v>
      </c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</row>
    <row r="21" spans="1:35" ht="14.4">
      <c r="A21" s="134">
        <v>14</v>
      </c>
      <c r="B21" s="112" t="s">
        <v>175</v>
      </c>
      <c r="C21" s="112">
        <v>1</v>
      </c>
      <c r="D21" s="132"/>
      <c r="E21" s="133"/>
      <c r="F21" s="133"/>
      <c r="G21" s="128"/>
      <c r="H21" s="128"/>
      <c r="I21" s="128"/>
      <c r="J21" s="128"/>
      <c r="K21" s="128"/>
      <c r="L21" s="128"/>
      <c r="M21" s="128" t="s">
        <v>174</v>
      </c>
      <c r="N21" s="91"/>
      <c r="O21" s="91">
        <v>1</v>
      </c>
      <c r="P21" s="91">
        <v>1</v>
      </c>
      <c r="Q21" s="91"/>
      <c r="R21" s="91">
        <v>1</v>
      </c>
      <c r="S21" s="91"/>
      <c r="T21" s="91"/>
      <c r="U21" s="91"/>
      <c r="V21" s="91"/>
      <c r="W21" s="91"/>
      <c r="X21" s="91"/>
      <c r="Y21" s="91"/>
      <c r="Z21" s="91"/>
      <c r="AA21" s="91">
        <v>1</v>
      </c>
      <c r="AB21" s="91"/>
      <c r="AC21" s="91"/>
      <c r="AD21" s="91"/>
      <c r="AE21" s="91">
        <v>1</v>
      </c>
      <c r="AF21" s="91"/>
      <c r="AG21" s="91"/>
      <c r="AH21" s="91"/>
      <c r="AI21" s="91"/>
    </row>
    <row r="22" spans="1:35" ht="14.4">
      <c r="A22" s="134">
        <v>15</v>
      </c>
      <c r="B22" s="112" t="s">
        <v>176</v>
      </c>
      <c r="C22" s="112">
        <v>1</v>
      </c>
      <c r="D22" s="132"/>
      <c r="E22" s="133"/>
      <c r="F22" s="133"/>
      <c r="G22" s="128"/>
      <c r="H22" s="128"/>
      <c r="I22" s="128"/>
      <c r="J22" s="128"/>
      <c r="K22" s="128"/>
      <c r="L22" s="128"/>
      <c r="M22" s="128"/>
      <c r="N22" s="91"/>
      <c r="O22" s="91">
        <v>1</v>
      </c>
      <c r="P22" s="91">
        <v>1</v>
      </c>
      <c r="Q22" s="91">
        <v>1</v>
      </c>
      <c r="R22" s="91"/>
      <c r="S22" s="91"/>
      <c r="T22" s="91">
        <v>1</v>
      </c>
      <c r="U22" s="91">
        <v>1</v>
      </c>
      <c r="V22" s="91"/>
      <c r="W22" s="91"/>
      <c r="X22" s="91">
        <v>1</v>
      </c>
      <c r="Y22" s="91">
        <v>1</v>
      </c>
      <c r="Z22" s="91">
        <v>1</v>
      </c>
      <c r="AA22" s="91">
        <v>1</v>
      </c>
      <c r="AB22" s="91"/>
      <c r="AC22" s="91">
        <v>1</v>
      </c>
      <c r="AD22" s="91"/>
      <c r="AE22" s="91">
        <v>1</v>
      </c>
      <c r="AF22" s="91"/>
      <c r="AG22" s="91"/>
      <c r="AH22" s="91"/>
      <c r="AI22" s="91"/>
    </row>
    <row r="23" spans="1:35" ht="14.4">
      <c r="A23" s="134">
        <v>16</v>
      </c>
      <c r="B23" s="112" t="s">
        <v>177</v>
      </c>
      <c r="C23" s="112"/>
      <c r="D23" s="132"/>
      <c r="E23" s="133"/>
      <c r="F23" s="133"/>
      <c r="G23" s="128"/>
      <c r="H23" s="128"/>
      <c r="I23" s="128"/>
      <c r="J23" s="128"/>
      <c r="K23" s="128"/>
      <c r="L23" s="128"/>
      <c r="M23" s="128"/>
      <c r="N23" s="91"/>
      <c r="O23" s="91"/>
      <c r="P23" s="91">
        <v>1</v>
      </c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>
        <v>1</v>
      </c>
      <c r="AD23" s="91"/>
      <c r="AE23" s="91"/>
      <c r="AF23" s="91"/>
      <c r="AG23" s="91"/>
      <c r="AH23" s="91"/>
      <c r="AI23" s="91"/>
    </row>
    <row r="24" spans="1:35" ht="14.4">
      <c r="A24" s="134">
        <v>17</v>
      </c>
      <c r="B24" s="112" t="s">
        <v>178</v>
      </c>
      <c r="C24" s="112">
        <v>1</v>
      </c>
      <c r="D24" s="132"/>
      <c r="E24" s="133"/>
      <c r="F24" s="133"/>
      <c r="G24" s="128"/>
      <c r="H24" s="128"/>
      <c r="I24" s="128"/>
      <c r="J24" s="128"/>
      <c r="K24" s="128"/>
      <c r="L24" s="128"/>
      <c r="M24" s="128"/>
      <c r="N24" s="91"/>
      <c r="O24" s="91"/>
      <c r="P24" s="91"/>
      <c r="Q24" s="91"/>
      <c r="R24" s="91"/>
      <c r="S24" s="91"/>
      <c r="T24" s="91">
        <v>1</v>
      </c>
      <c r="U24" s="91">
        <v>1</v>
      </c>
      <c r="V24" s="91">
        <v>1</v>
      </c>
      <c r="W24" s="91">
        <v>1</v>
      </c>
      <c r="X24" s="91">
        <v>1</v>
      </c>
      <c r="Y24" s="91">
        <v>1</v>
      </c>
      <c r="Z24" s="91">
        <v>1</v>
      </c>
      <c r="AA24" s="91">
        <v>1</v>
      </c>
      <c r="AB24" s="91"/>
      <c r="AC24" s="91">
        <v>1</v>
      </c>
      <c r="AD24" s="91"/>
      <c r="AE24" s="91">
        <v>1</v>
      </c>
      <c r="AF24" s="91"/>
      <c r="AG24" s="91"/>
      <c r="AH24" s="91"/>
      <c r="AI24" s="91"/>
    </row>
    <row r="25" spans="1:35" ht="14.4">
      <c r="A25" s="134">
        <v>18</v>
      </c>
      <c r="B25" s="112" t="s">
        <v>179</v>
      </c>
      <c r="C25" s="112"/>
      <c r="D25" s="132"/>
      <c r="E25" s="133"/>
      <c r="F25" s="133"/>
      <c r="G25" s="128"/>
      <c r="H25" s="128"/>
      <c r="I25" s="128"/>
      <c r="J25" s="128"/>
      <c r="K25" s="128"/>
      <c r="L25" s="128"/>
      <c r="M25" s="128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>
        <v>1</v>
      </c>
      <c r="Z25" s="91">
        <v>1</v>
      </c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4.4">
      <c r="A26" s="134">
        <v>19</v>
      </c>
      <c r="B26" s="112" t="s">
        <v>180</v>
      </c>
      <c r="C26" s="112"/>
      <c r="D26" s="132"/>
      <c r="E26" s="133"/>
      <c r="F26" s="133"/>
      <c r="G26" s="128"/>
      <c r="H26" s="128"/>
      <c r="I26" s="128"/>
      <c r="J26" s="128"/>
      <c r="K26" s="128"/>
      <c r="L26" s="128"/>
      <c r="M26" s="128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>
        <v>1</v>
      </c>
      <c r="AD26" s="91"/>
      <c r="AE26" s="91">
        <v>1</v>
      </c>
      <c r="AF26" s="91"/>
      <c r="AG26" s="91"/>
      <c r="AH26" s="91"/>
      <c r="AI26" s="91"/>
    </row>
    <row r="27" spans="1:35" ht="14.4">
      <c r="A27" s="134">
        <v>20</v>
      </c>
      <c r="B27" s="112" t="s">
        <v>181</v>
      </c>
      <c r="C27" s="112"/>
      <c r="D27" s="132"/>
      <c r="E27" s="133"/>
      <c r="F27" s="133"/>
      <c r="G27" s="128"/>
      <c r="H27" s="128"/>
      <c r="I27" s="128"/>
      <c r="J27" s="128"/>
      <c r="K27" s="128"/>
      <c r="L27" s="128"/>
      <c r="M27" s="128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>
        <v>1</v>
      </c>
      <c r="AD27" s="91"/>
      <c r="AE27" s="91">
        <v>1</v>
      </c>
      <c r="AF27" s="91"/>
      <c r="AG27" s="91"/>
      <c r="AH27" s="91"/>
      <c r="AI27" s="91"/>
    </row>
    <row r="28" spans="1:35" ht="14.4">
      <c r="A28" s="101"/>
      <c r="B28" s="102" t="s">
        <v>147</v>
      </c>
      <c r="C28" s="102">
        <v>9</v>
      </c>
      <c r="D28" s="134"/>
      <c r="E28" s="134"/>
      <c r="F28" s="134"/>
      <c r="G28" s="108">
        <v>10</v>
      </c>
      <c r="H28" s="108">
        <v>10</v>
      </c>
      <c r="I28" s="108">
        <v>7</v>
      </c>
      <c r="J28" s="108">
        <v>10</v>
      </c>
      <c r="K28" s="108">
        <v>7</v>
      </c>
      <c r="L28" s="108">
        <v>8</v>
      </c>
      <c r="M28" s="108">
        <v>7</v>
      </c>
      <c r="N28" s="135">
        <v>9</v>
      </c>
      <c r="O28" s="135">
        <v>11</v>
      </c>
      <c r="P28" s="135">
        <v>10</v>
      </c>
      <c r="Q28" s="135">
        <v>10</v>
      </c>
      <c r="R28" s="106">
        <v>10</v>
      </c>
      <c r="S28" s="106"/>
      <c r="T28" s="106">
        <v>9</v>
      </c>
      <c r="U28" s="106">
        <v>9</v>
      </c>
      <c r="V28" s="106">
        <v>8</v>
      </c>
      <c r="W28" s="88">
        <v>7</v>
      </c>
      <c r="X28" s="88">
        <v>11</v>
      </c>
      <c r="Y28" s="88">
        <v>10</v>
      </c>
      <c r="Z28" s="88">
        <v>10</v>
      </c>
      <c r="AA28" s="88">
        <v>9</v>
      </c>
      <c r="AB28" s="88"/>
      <c r="AC28" s="88">
        <v>12</v>
      </c>
      <c r="AD28" s="88"/>
      <c r="AE28" s="88">
        <v>12</v>
      </c>
      <c r="AF28" s="88"/>
      <c r="AG28" s="88"/>
      <c r="AH28" s="88"/>
      <c r="AI28" s="88"/>
    </row>
    <row r="29" spans="1:35" ht="13.2">
      <c r="I29" s="85">
        <v>27</v>
      </c>
      <c r="M29" s="85">
        <v>32</v>
      </c>
      <c r="Q29" s="85">
        <v>40</v>
      </c>
      <c r="V29" s="85">
        <v>36</v>
      </c>
      <c r="Z29" s="85">
        <v>38</v>
      </c>
      <c r="AE29" s="85">
        <v>24</v>
      </c>
      <c r="AF29" s="85"/>
      <c r="AG29" s="85"/>
      <c r="AH29" s="85"/>
      <c r="AI29" s="85"/>
    </row>
    <row r="30" spans="1:35" ht="13.2">
      <c r="H30" s="114" t="s">
        <v>128</v>
      </c>
      <c r="I30" s="114" t="s">
        <v>182</v>
      </c>
      <c r="L30" s="95" t="s">
        <v>183</v>
      </c>
      <c r="M30" s="114" t="s">
        <v>184</v>
      </c>
      <c r="P30" s="95" t="s">
        <v>128</v>
      </c>
      <c r="Q30" s="114" t="s">
        <v>185</v>
      </c>
      <c r="U30" s="95" t="s">
        <v>128</v>
      </c>
      <c r="V30" s="95">
        <v>108000</v>
      </c>
      <c r="Y30" s="95" t="s">
        <v>128</v>
      </c>
      <c r="Z30" s="95">
        <f>3000*Z29</f>
        <v>114000</v>
      </c>
      <c r="AD30" s="95" t="s">
        <v>128</v>
      </c>
      <c r="AE30" s="95">
        <f>3000*AE29</f>
        <v>72000</v>
      </c>
      <c r="AF30" s="117"/>
      <c r="AG30" s="117"/>
      <c r="AH30" s="117"/>
      <c r="AI30" s="11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AB35"/>
  <sheetViews>
    <sheetView workbookViewId="0"/>
  </sheetViews>
  <sheetFormatPr defaultColWidth="12.6640625" defaultRowHeight="15.75" customHeight="1"/>
  <cols>
    <col min="1" max="1" width="3.33203125" customWidth="1"/>
    <col min="2" max="2" width="17.109375" customWidth="1"/>
    <col min="3" max="9" width="12.6640625" hidden="1"/>
    <col min="10" max="14" width="12.88671875" hidden="1" customWidth="1"/>
    <col min="15" max="19" width="12.6640625" hidden="1"/>
    <col min="20" max="20" width="15.109375" hidden="1" customWidth="1"/>
    <col min="21" max="24" width="12.6640625" hidden="1"/>
  </cols>
  <sheetData>
    <row r="2" spans="1:28" ht="20.399999999999999">
      <c r="B2" s="118" t="s">
        <v>152</v>
      </c>
      <c r="C2" s="11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1:28" ht="20.399999999999999">
      <c r="B3" s="98" t="s">
        <v>186</v>
      </c>
      <c r="C3" s="98"/>
      <c r="D3" s="98"/>
      <c r="E3" s="98"/>
      <c r="F3" s="98"/>
      <c r="G3" s="98"/>
      <c r="H3" s="118"/>
      <c r="I3" s="118"/>
      <c r="J3" s="98"/>
      <c r="K3" s="98"/>
      <c r="L3" s="98"/>
      <c r="M3" s="98"/>
      <c r="N3" s="98"/>
    </row>
    <row r="4" spans="1:28" ht="13.2">
      <c r="B4" s="98" t="s">
        <v>187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</row>
    <row r="5" spans="1:28" ht="13.2" hidden="1">
      <c r="B5" s="87">
        <v>3000</v>
      </c>
    </row>
    <row r="6" spans="1:28" ht="13.2">
      <c r="D6" s="100"/>
      <c r="H6" s="100"/>
    </row>
    <row r="7" spans="1:28" ht="13.8">
      <c r="B7" s="136" t="s">
        <v>133</v>
      </c>
    </row>
    <row r="8" spans="1:28" ht="13.8">
      <c r="A8" s="113"/>
      <c r="B8" s="137" t="s">
        <v>107</v>
      </c>
      <c r="C8" s="107">
        <v>45924</v>
      </c>
      <c r="D8" s="107">
        <v>45917</v>
      </c>
      <c r="E8" s="105">
        <v>45931</v>
      </c>
      <c r="F8" s="124">
        <v>45938</v>
      </c>
      <c r="G8" s="124">
        <v>45945</v>
      </c>
      <c r="H8" s="124">
        <v>45952</v>
      </c>
      <c r="I8" s="105">
        <v>45959</v>
      </c>
      <c r="J8" s="124">
        <v>45966</v>
      </c>
      <c r="K8" s="124">
        <v>45973</v>
      </c>
      <c r="L8" s="124">
        <v>45980</v>
      </c>
      <c r="M8" s="124">
        <v>45987</v>
      </c>
      <c r="N8" s="124">
        <v>46029</v>
      </c>
      <c r="O8" s="124">
        <v>46036</v>
      </c>
      <c r="P8" s="124">
        <v>46043</v>
      </c>
      <c r="Q8" s="124">
        <v>46050</v>
      </c>
      <c r="R8" s="124">
        <v>45692</v>
      </c>
      <c r="S8" s="105">
        <v>46064</v>
      </c>
      <c r="T8" s="105">
        <v>46071</v>
      </c>
      <c r="U8" s="105">
        <v>46078</v>
      </c>
      <c r="V8" s="105">
        <v>46085</v>
      </c>
      <c r="W8" s="105">
        <v>46092</v>
      </c>
      <c r="X8" s="105">
        <v>46099</v>
      </c>
      <c r="Y8" s="105">
        <v>46113</v>
      </c>
      <c r="Z8" s="105"/>
      <c r="AA8" s="105"/>
      <c r="AB8" s="105"/>
    </row>
    <row r="9" spans="1:28" ht="13.2">
      <c r="A9" s="113">
        <v>1</v>
      </c>
      <c r="B9" s="91" t="s">
        <v>188</v>
      </c>
      <c r="C9" s="91">
        <v>1</v>
      </c>
      <c r="D9" s="126" t="s">
        <v>171</v>
      </c>
      <c r="E9" s="91"/>
      <c r="F9" s="91">
        <v>1</v>
      </c>
      <c r="G9" s="91">
        <v>1</v>
      </c>
      <c r="H9" s="91">
        <v>1</v>
      </c>
      <c r="I9" s="138">
        <v>1</v>
      </c>
      <c r="J9" s="91"/>
      <c r="K9" s="91">
        <v>1</v>
      </c>
      <c r="L9" s="91">
        <v>1</v>
      </c>
      <c r="M9" s="91">
        <v>1</v>
      </c>
      <c r="N9" s="91"/>
      <c r="O9" s="91">
        <v>1</v>
      </c>
      <c r="P9" s="91">
        <v>1</v>
      </c>
      <c r="Q9" s="91"/>
      <c r="R9" s="91"/>
      <c r="S9" s="91"/>
      <c r="T9" s="91"/>
      <c r="U9" s="91"/>
      <c r="V9" s="91">
        <v>1</v>
      </c>
      <c r="W9" s="91">
        <v>1</v>
      </c>
      <c r="X9" s="91">
        <v>1</v>
      </c>
      <c r="Y9" s="91"/>
      <c r="Z9" s="91"/>
      <c r="AA9" s="91"/>
      <c r="AB9" s="91"/>
    </row>
    <row r="10" spans="1:28" ht="13.2">
      <c r="A10" s="113">
        <v>2</v>
      </c>
      <c r="B10" s="91" t="s">
        <v>189</v>
      </c>
      <c r="C10" s="91">
        <v>1</v>
      </c>
      <c r="D10" s="126" t="s">
        <v>190</v>
      </c>
      <c r="E10" s="91">
        <v>1</v>
      </c>
      <c r="F10" s="91">
        <v>1</v>
      </c>
      <c r="G10" s="91"/>
      <c r="H10" s="91">
        <v>1</v>
      </c>
      <c r="I10" s="138"/>
      <c r="J10" s="91"/>
      <c r="K10" s="91">
        <v>1</v>
      </c>
      <c r="L10" s="91">
        <v>1</v>
      </c>
      <c r="M10" s="91"/>
      <c r="N10" s="91"/>
      <c r="O10" s="91">
        <v>1</v>
      </c>
      <c r="P10" s="91">
        <v>1</v>
      </c>
      <c r="Q10" s="91">
        <v>1</v>
      </c>
      <c r="R10" s="91">
        <v>1</v>
      </c>
      <c r="S10" s="91"/>
      <c r="T10" s="91">
        <v>1</v>
      </c>
      <c r="U10" s="91">
        <v>1</v>
      </c>
      <c r="V10" s="91">
        <v>1</v>
      </c>
      <c r="W10" s="91"/>
      <c r="X10" s="91">
        <v>1</v>
      </c>
      <c r="Y10" s="91">
        <v>1</v>
      </c>
      <c r="Z10" s="91"/>
      <c r="AA10" s="91"/>
      <c r="AB10" s="91"/>
    </row>
    <row r="11" spans="1:28" ht="13.2">
      <c r="A11" s="113">
        <v>3</v>
      </c>
      <c r="B11" s="91" t="s">
        <v>191</v>
      </c>
      <c r="C11" s="91">
        <v>1</v>
      </c>
      <c r="D11" s="126"/>
      <c r="E11" s="91">
        <v>1</v>
      </c>
      <c r="F11" s="91"/>
      <c r="G11" s="91"/>
      <c r="H11" s="91"/>
      <c r="I11" s="138"/>
      <c r="J11" s="91"/>
      <c r="K11" s="91"/>
      <c r="L11" s="91"/>
      <c r="M11" s="91"/>
      <c r="N11" s="91"/>
      <c r="O11" s="91">
        <v>1</v>
      </c>
      <c r="P11" s="91">
        <v>1</v>
      </c>
      <c r="Q11" s="91">
        <v>1</v>
      </c>
      <c r="R11" s="91">
        <v>1</v>
      </c>
      <c r="S11" s="91"/>
      <c r="T11" s="91">
        <v>1</v>
      </c>
      <c r="U11" s="91">
        <v>1</v>
      </c>
      <c r="V11" s="91">
        <v>1</v>
      </c>
      <c r="W11" s="91">
        <v>1</v>
      </c>
      <c r="X11" s="91">
        <v>1</v>
      </c>
      <c r="Y11" s="91">
        <v>1</v>
      </c>
      <c r="Z11" s="91"/>
      <c r="AA11" s="91"/>
      <c r="AB11" s="91"/>
    </row>
    <row r="12" spans="1:28" ht="13.2">
      <c r="A12" s="113">
        <v>4</v>
      </c>
      <c r="B12" s="91" t="s">
        <v>192</v>
      </c>
      <c r="C12" s="91">
        <v>1</v>
      </c>
      <c r="D12" s="126"/>
      <c r="E12" s="91">
        <v>1</v>
      </c>
      <c r="F12" s="91">
        <v>1</v>
      </c>
      <c r="G12" s="91">
        <v>1</v>
      </c>
      <c r="H12" s="91">
        <v>1</v>
      </c>
      <c r="I12" s="138">
        <v>1</v>
      </c>
      <c r="J12" s="91"/>
      <c r="K12" s="91"/>
      <c r="L12" s="91">
        <v>1</v>
      </c>
      <c r="M12" s="91">
        <v>1</v>
      </c>
      <c r="N12" s="91"/>
      <c r="O12" s="91">
        <v>1</v>
      </c>
      <c r="P12" s="91">
        <v>1</v>
      </c>
      <c r="Q12" s="91">
        <v>1</v>
      </c>
      <c r="R12" s="91">
        <v>1</v>
      </c>
      <c r="S12" s="91"/>
      <c r="T12" s="91">
        <v>1</v>
      </c>
      <c r="U12" s="91">
        <v>1</v>
      </c>
      <c r="V12" s="91">
        <v>1</v>
      </c>
      <c r="W12" s="91">
        <v>1</v>
      </c>
      <c r="X12" s="91">
        <v>1</v>
      </c>
      <c r="Y12" s="91">
        <v>1</v>
      </c>
      <c r="Z12" s="91"/>
      <c r="AA12" s="91"/>
      <c r="AB12" s="91"/>
    </row>
    <row r="13" spans="1:28" ht="13.2">
      <c r="A13" s="113">
        <v>5</v>
      </c>
      <c r="B13" s="91" t="s">
        <v>193</v>
      </c>
      <c r="C13" s="91">
        <v>1</v>
      </c>
      <c r="D13" s="126"/>
      <c r="E13" s="91">
        <v>1</v>
      </c>
      <c r="F13" s="91">
        <v>1</v>
      </c>
      <c r="G13" s="91"/>
      <c r="H13" s="91">
        <v>1</v>
      </c>
      <c r="I13" s="138">
        <v>1</v>
      </c>
      <c r="J13" s="91"/>
      <c r="K13" s="91">
        <v>1</v>
      </c>
      <c r="L13" s="91">
        <v>1</v>
      </c>
      <c r="M13" s="91">
        <v>1</v>
      </c>
      <c r="N13" s="91"/>
      <c r="O13" s="91"/>
      <c r="P13" s="91">
        <v>1</v>
      </c>
      <c r="Q13" s="91">
        <v>1</v>
      </c>
      <c r="R13" s="91">
        <v>1</v>
      </c>
      <c r="S13" s="91"/>
      <c r="T13" s="91">
        <v>1</v>
      </c>
      <c r="U13" s="91">
        <v>1</v>
      </c>
      <c r="V13" s="91">
        <v>1</v>
      </c>
      <c r="W13" s="91"/>
      <c r="X13" s="91"/>
      <c r="Y13" s="91"/>
      <c r="Z13" s="91"/>
      <c r="AA13" s="91"/>
      <c r="AB13" s="91"/>
    </row>
    <row r="14" spans="1:28" ht="13.2">
      <c r="A14" s="113">
        <v>6</v>
      </c>
      <c r="B14" s="91" t="s">
        <v>194</v>
      </c>
      <c r="C14" s="91">
        <v>1</v>
      </c>
      <c r="D14" s="126"/>
      <c r="E14" s="91">
        <v>1</v>
      </c>
      <c r="F14" s="91">
        <v>1</v>
      </c>
      <c r="G14" s="91">
        <v>1</v>
      </c>
      <c r="H14" s="91">
        <v>1</v>
      </c>
      <c r="I14" s="138"/>
      <c r="J14" s="91">
        <v>1</v>
      </c>
      <c r="K14" s="91"/>
      <c r="L14" s="91">
        <v>1</v>
      </c>
      <c r="M14" s="91">
        <v>1</v>
      </c>
      <c r="N14" s="91"/>
      <c r="O14" s="91">
        <v>1</v>
      </c>
      <c r="P14" s="91">
        <v>1</v>
      </c>
      <c r="Q14" s="91">
        <v>1</v>
      </c>
      <c r="R14" s="91"/>
      <c r="S14" s="91"/>
      <c r="T14" s="91">
        <v>1</v>
      </c>
      <c r="U14" s="91">
        <v>1</v>
      </c>
      <c r="V14" s="91">
        <v>1</v>
      </c>
      <c r="W14" s="91"/>
      <c r="X14" s="91"/>
      <c r="Y14" s="91"/>
      <c r="Z14" s="91"/>
      <c r="AA14" s="91"/>
      <c r="AB14" s="91"/>
    </row>
    <row r="15" spans="1:28" ht="13.2">
      <c r="A15" s="113">
        <v>7</v>
      </c>
      <c r="B15" s="91"/>
      <c r="C15" s="91"/>
      <c r="D15" s="126"/>
      <c r="E15" s="91"/>
      <c r="F15" s="91"/>
      <c r="G15" s="139">
        <v>1</v>
      </c>
      <c r="H15" s="91">
        <v>1</v>
      </c>
      <c r="I15" s="138">
        <v>1</v>
      </c>
      <c r="J15" s="91"/>
      <c r="K15" s="91"/>
      <c r="L15" s="91">
        <v>1</v>
      </c>
      <c r="M15" s="91">
        <v>1</v>
      </c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</row>
    <row r="16" spans="1:28" ht="13.2">
      <c r="A16" s="113">
        <v>8</v>
      </c>
      <c r="B16" s="91"/>
      <c r="C16" s="140">
        <v>18000</v>
      </c>
      <c r="D16" s="141"/>
      <c r="E16" s="91"/>
      <c r="F16" s="91"/>
      <c r="G16" s="139" t="s">
        <v>195</v>
      </c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</row>
    <row r="17" spans="1:28" ht="13.2">
      <c r="A17" s="113">
        <v>9</v>
      </c>
      <c r="B17" s="91"/>
      <c r="C17" s="140"/>
      <c r="D17" s="141"/>
      <c r="E17" s="91"/>
      <c r="F17" s="91"/>
      <c r="G17" s="139" t="s">
        <v>195</v>
      </c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</row>
    <row r="18" spans="1:28" ht="13.2">
      <c r="A18" s="113"/>
      <c r="B18" s="142" t="s">
        <v>196</v>
      </c>
      <c r="C18" s="134">
        <v>6</v>
      </c>
      <c r="D18" s="134"/>
      <c r="E18" s="106">
        <v>5</v>
      </c>
      <c r="F18" s="106">
        <v>5</v>
      </c>
      <c r="G18" s="106">
        <v>6</v>
      </c>
      <c r="H18" s="106">
        <v>6</v>
      </c>
      <c r="I18" s="106">
        <v>4</v>
      </c>
      <c r="J18" s="106">
        <v>1</v>
      </c>
      <c r="K18" s="106">
        <v>3</v>
      </c>
      <c r="L18" s="106">
        <v>6</v>
      </c>
      <c r="M18" s="106">
        <v>5</v>
      </c>
      <c r="N18" s="106"/>
      <c r="O18" s="106">
        <v>5</v>
      </c>
      <c r="P18" s="106">
        <v>6</v>
      </c>
      <c r="Q18" s="106">
        <v>5</v>
      </c>
      <c r="R18" s="106">
        <v>4</v>
      </c>
      <c r="S18" s="106"/>
      <c r="T18" s="106">
        <v>5</v>
      </c>
      <c r="U18" s="106">
        <v>5</v>
      </c>
      <c r="V18" s="106">
        <f t="shared" ref="V18:X18" si="0">SUM(V9:V14)</f>
        <v>6</v>
      </c>
      <c r="W18" s="106">
        <f t="shared" si="0"/>
        <v>3</v>
      </c>
      <c r="X18" s="106">
        <f t="shared" si="0"/>
        <v>4</v>
      </c>
      <c r="Y18" s="106"/>
      <c r="Z18" s="106"/>
      <c r="AA18" s="106"/>
      <c r="AB18" s="106"/>
    </row>
    <row r="19" spans="1:28" ht="13.2">
      <c r="B19" s="85"/>
      <c r="C19" s="115"/>
      <c r="D19" s="95"/>
      <c r="G19" s="85"/>
      <c r="I19" s="85">
        <v>26</v>
      </c>
      <c r="U19" s="85">
        <v>14</v>
      </c>
      <c r="X19" s="85">
        <f>SUM(V18:X18)</f>
        <v>13</v>
      </c>
    </row>
    <row r="20" spans="1:28" ht="13.8">
      <c r="B20" s="136" t="s">
        <v>155</v>
      </c>
      <c r="C20" s="100"/>
      <c r="D20" s="100"/>
      <c r="G20" s="85"/>
    </row>
    <row r="21" spans="1:28" ht="13.8">
      <c r="A21" s="113"/>
      <c r="B21" s="137" t="s">
        <v>107</v>
      </c>
      <c r="C21" s="107">
        <v>45924</v>
      </c>
      <c r="D21" s="107">
        <v>45917</v>
      </c>
      <c r="E21" s="105">
        <v>45931</v>
      </c>
      <c r="F21" s="124">
        <v>45938</v>
      </c>
      <c r="G21" s="124">
        <v>45945</v>
      </c>
      <c r="H21" s="124">
        <v>45952</v>
      </c>
      <c r="I21" s="105">
        <v>45959</v>
      </c>
      <c r="J21" s="124">
        <v>45966</v>
      </c>
      <c r="K21" s="124">
        <v>45973</v>
      </c>
      <c r="L21" s="124">
        <v>45980</v>
      </c>
      <c r="M21" s="124">
        <v>45987</v>
      </c>
      <c r="N21" s="124">
        <v>46029</v>
      </c>
      <c r="O21" s="124">
        <v>46036</v>
      </c>
      <c r="P21" s="124">
        <v>46043</v>
      </c>
      <c r="Q21" s="124">
        <v>46050</v>
      </c>
      <c r="R21" s="124">
        <v>46114</v>
      </c>
      <c r="S21" s="105">
        <v>46064</v>
      </c>
      <c r="T21" s="105">
        <v>46071</v>
      </c>
      <c r="U21" s="105">
        <v>46078</v>
      </c>
      <c r="V21" s="105"/>
      <c r="W21" s="105"/>
      <c r="X21" s="105"/>
      <c r="Y21" s="105">
        <v>46113</v>
      </c>
      <c r="Z21" s="105"/>
      <c r="AA21" s="105"/>
      <c r="AB21" s="105"/>
    </row>
    <row r="22" spans="1:28" ht="13.2">
      <c r="A22" s="113">
        <v>1</v>
      </c>
      <c r="B22" s="91" t="s">
        <v>197</v>
      </c>
      <c r="C22" s="91">
        <v>1</v>
      </c>
      <c r="D22" s="126" t="s">
        <v>171</v>
      </c>
      <c r="E22" s="91">
        <v>1</v>
      </c>
      <c r="F22" s="91">
        <v>1</v>
      </c>
      <c r="G22" s="91">
        <v>1</v>
      </c>
      <c r="H22" s="91">
        <v>1</v>
      </c>
      <c r="I22" s="138">
        <v>1</v>
      </c>
      <c r="J22" s="91"/>
      <c r="K22" s="91">
        <v>1</v>
      </c>
      <c r="L22" s="91">
        <v>1</v>
      </c>
      <c r="M22" s="91">
        <v>1</v>
      </c>
      <c r="N22" s="91"/>
      <c r="O22" s="91">
        <v>1</v>
      </c>
      <c r="P22" s="91">
        <v>1</v>
      </c>
      <c r="Q22" s="91">
        <v>1</v>
      </c>
      <c r="R22" s="91">
        <v>1</v>
      </c>
      <c r="S22" s="91"/>
      <c r="T22" s="91">
        <v>1</v>
      </c>
      <c r="U22" s="91">
        <v>1</v>
      </c>
      <c r="V22" s="91">
        <v>1</v>
      </c>
      <c r="W22" s="91">
        <v>1</v>
      </c>
      <c r="X22" s="91">
        <v>1</v>
      </c>
      <c r="Y22" s="91">
        <v>1</v>
      </c>
      <c r="Z22" s="91"/>
      <c r="AA22" s="91"/>
      <c r="AB22" s="91"/>
    </row>
    <row r="23" spans="1:28" ht="13.2">
      <c r="A23" s="113">
        <v>2</v>
      </c>
      <c r="B23" s="91" t="s">
        <v>198</v>
      </c>
      <c r="C23" s="91">
        <v>1</v>
      </c>
      <c r="D23" s="126" t="s">
        <v>190</v>
      </c>
      <c r="E23" s="91">
        <v>1</v>
      </c>
      <c r="F23" s="91">
        <v>1</v>
      </c>
      <c r="G23" s="91">
        <v>1</v>
      </c>
      <c r="H23" s="91">
        <v>1</v>
      </c>
      <c r="I23" s="138"/>
      <c r="J23" s="91">
        <v>1</v>
      </c>
      <c r="K23" s="91">
        <v>1</v>
      </c>
      <c r="L23" s="91"/>
      <c r="M23" s="91">
        <v>1</v>
      </c>
      <c r="N23" s="91"/>
      <c r="O23" s="91">
        <v>1</v>
      </c>
      <c r="P23" s="91"/>
      <c r="Q23" s="91"/>
      <c r="R23" s="91"/>
      <c r="S23" s="91"/>
      <c r="T23" s="91"/>
      <c r="U23" s="91"/>
      <c r="V23" s="91"/>
      <c r="W23" s="91"/>
      <c r="X23" s="91"/>
      <c r="Y23" s="91">
        <v>1</v>
      </c>
      <c r="Z23" s="91"/>
      <c r="AA23" s="91"/>
      <c r="AB23" s="91"/>
    </row>
    <row r="24" spans="1:28" ht="13.2">
      <c r="A24" s="113">
        <v>3</v>
      </c>
      <c r="B24" s="91" t="s">
        <v>199</v>
      </c>
      <c r="C24" s="91">
        <v>1</v>
      </c>
      <c r="D24" s="126"/>
      <c r="E24" s="91">
        <v>1</v>
      </c>
      <c r="F24" s="91">
        <v>1</v>
      </c>
      <c r="G24" s="91">
        <v>1</v>
      </c>
      <c r="H24" s="91">
        <v>1</v>
      </c>
      <c r="I24" s="138"/>
      <c r="J24" s="91">
        <v>1</v>
      </c>
      <c r="K24" s="91">
        <v>1</v>
      </c>
      <c r="L24" s="91">
        <v>1</v>
      </c>
      <c r="M24" s="91">
        <v>1</v>
      </c>
      <c r="N24" s="91"/>
      <c r="O24" s="91">
        <v>1</v>
      </c>
      <c r="P24" s="91">
        <v>1</v>
      </c>
      <c r="Q24" s="91">
        <v>1</v>
      </c>
      <c r="R24" s="91">
        <v>1</v>
      </c>
      <c r="S24" s="91">
        <v>1</v>
      </c>
      <c r="T24" s="91">
        <v>1</v>
      </c>
      <c r="U24" s="91"/>
      <c r="V24" s="91">
        <v>1</v>
      </c>
      <c r="W24" s="91">
        <v>1</v>
      </c>
      <c r="X24" s="91">
        <v>1</v>
      </c>
      <c r="Y24" s="91">
        <v>1</v>
      </c>
      <c r="Z24" s="91"/>
      <c r="AA24" s="91"/>
      <c r="AB24" s="91"/>
    </row>
    <row r="25" spans="1:28" ht="13.2">
      <c r="A25" s="113">
        <v>4</v>
      </c>
      <c r="B25" s="91"/>
      <c r="C25" s="91">
        <v>1</v>
      </c>
      <c r="D25" s="126"/>
      <c r="E25" s="91"/>
      <c r="F25" s="91">
        <v>1</v>
      </c>
      <c r="G25" s="91"/>
      <c r="H25" s="91">
        <v>1</v>
      </c>
      <c r="I25" s="138"/>
      <c r="J25" s="91">
        <v>1</v>
      </c>
      <c r="K25" s="91">
        <v>1</v>
      </c>
      <c r="L25" s="91"/>
      <c r="M25" s="91">
        <v>1</v>
      </c>
      <c r="N25" s="91"/>
      <c r="O25" s="91"/>
      <c r="P25" s="91">
        <v>1</v>
      </c>
      <c r="Q25" s="91">
        <v>1</v>
      </c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</row>
    <row r="26" spans="1:28" ht="13.2">
      <c r="A26" s="113">
        <v>5</v>
      </c>
      <c r="B26" s="91" t="s">
        <v>200</v>
      </c>
      <c r="C26" s="91">
        <v>1</v>
      </c>
      <c r="D26" s="126"/>
      <c r="E26" s="91">
        <v>1</v>
      </c>
      <c r="F26" s="91">
        <v>1</v>
      </c>
      <c r="G26" s="91"/>
      <c r="H26" s="91">
        <v>1</v>
      </c>
      <c r="I26" s="138">
        <v>1</v>
      </c>
      <c r="J26" s="91"/>
      <c r="K26" s="91"/>
      <c r="L26" s="91">
        <v>1</v>
      </c>
      <c r="M26" s="91">
        <v>1</v>
      </c>
      <c r="N26" s="91"/>
      <c r="O26" s="91">
        <v>1</v>
      </c>
      <c r="P26" s="91">
        <v>1</v>
      </c>
      <c r="Q26" s="91">
        <v>1</v>
      </c>
      <c r="R26" s="91">
        <v>1</v>
      </c>
      <c r="S26" s="91">
        <v>1</v>
      </c>
      <c r="T26" s="91">
        <v>1</v>
      </c>
      <c r="U26" s="91">
        <v>1</v>
      </c>
      <c r="V26" s="91">
        <v>1</v>
      </c>
      <c r="W26" s="91">
        <v>1</v>
      </c>
      <c r="X26" s="91"/>
      <c r="Y26" s="91">
        <v>1</v>
      </c>
      <c r="Z26" s="91"/>
      <c r="AA26" s="91"/>
      <c r="AB26" s="91"/>
    </row>
    <row r="27" spans="1:28" ht="13.2">
      <c r="A27" s="113">
        <v>6</v>
      </c>
      <c r="B27" s="91"/>
      <c r="C27" s="91"/>
      <c r="D27" s="126"/>
      <c r="E27" s="91"/>
      <c r="F27" s="139">
        <v>1</v>
      </c>
      <c r="G27" s="139">
        <v>1</v>
      </c>
      <c r="H27" s="91"/>
      <c r="I27" s="138"/>
      <c r="J27" s="91"/>
      <c r="K27" s="91"/>
      <c r="L27" s="91"/>
      <c r="M27" s="91" t="s">
        <v>201</v>
      </c>
      <c r="N27" s="91"/>
      <c r="O27" s="91">
        <v>1</v>
      </c>
      <c r="P27" s="91"/>
      <c r="Q27" s="91"/>
      <c r="R27" s="91"/>
      <c r="S27" s="91"/>
      <c r="T27" s="91"/>
      <c r="U27" s="91"/>
      <c r="V27" s="91"/>
      <c r="W27" s="91"/>
      <c r="X27" s="91">
        <v>1</v>
      </c>
      <c r="Y27" s="91"/>
      <c r="Z27" s="91"/>
      <c r="AA27" s="91"/>
      <c r="AB27" s="91"/>
    </row>
    <row r="28" spans="1:28" ht="13.2">
      <c r="A28" s="113">
        <v>7</v>
      </c>
      <c r="B28" s="91" t="s">
        <v>202</v>
      </c>
      <c r="C28" s="91"/>
      <c r="D28" s="126"/>
      <c r="E28" s="91"/>
      <c r="F28" s="139" t="s">
        <v>195</v>
      </c>
      <c r="G28" s="139"/>
      <c r="H28" s="91"/>
      <c r="I28" s="138"/>
      <c r="J28" s="91"/>
      <c r="K28" s="91"/>
      <c r="L28" s="91"/>
      <c r="M28" s="91" t="s">
        <v>201</v>
      </c>
      <c r="N28" s="91"/>
      <c r="O28" s="91">
        <v>1</v>
      </c>
      <c r="P28" s="91">
        <v>1</v>
      </c>
      <c r="Q28" s="91"/>
      <c r="R28" s="91">
        <v>1</v>
      </c>
      <c r="S28" s="91">
        <v>1</v>
      </c>
      <c r="T28" s="91">
        <v>1</v>
      </c>
      <c r="U28" s="91">
        <v>1</v>
      </c>
      <c r="V28" s="91">
        <v>1</v>
      </c>
      <c r="W28" s="91"/>
      <c r="X28" s="91">
        <v>1</v>
      </c>
      <c r="Y28" s="91">
        <v>1</v>
      </c>
      <c r="Z28" s="91"/>
      <c r="AA28" s="91"/>
      <c r="AB28" s="91"/>
    </row>
    <row r="29" spans="1:28" ht="13.2">
      <c r="A29" s="113">
        <v>8</v>
      </c>
      <c r="B29" s="91" t="s">
        <v>203</v>
      </c>
      <c r="D29" s="143"/>
      <c r="E29" s="91"/>
      <c r="F29" s="144">
        <v>1</v>
      </c>
      <c r="G29" s="139">
        <v>1</v>
      </c>
      <c r="H29" s="91"/>
      <c r="I29" s="138">
        <v>1</v>
      </c>
      <c r="J29" s="91">
        <v>1</v>
      </c>
      <c r="K29" s="91"/>
      <c r="L29" s="91">
        <v>1</v>
      </c>
      <c r="M29" s="91">
        <v>1</v>
      </c>
      <c r="N29" s="91"/>
      <c r="O29" s="91">
        <v>1</v>
      </c>
      <c r="P29" s="91"/>
      <c r="Q29" s="91"/>
      <c r="R29" s="91"/>
      <c r="S29" s="91">
        <v>1</v>
      </c>
      <c r="T29" s="91">
        <v>1</v>
      </c>
      <c r="U29" s="91"/>
      <c r="V29" s="91">
        <v>1</v>
      </c>
      <c r="W29" s="91"/>
      <c r="X29" s="91"/>
      <c r="Y29" s="91">
        <v>1</v>
      </c>
      <c r="Z29" s="91"/>
      <c r="AA29" s="91"/>
      <c r="AB29" s="91"/>
    </row>
    <row r="30" spans="1:28" ht="13.2">
      <c r="A30" s="113">
        <v>9</v>
      </c>
      <c r="B30" s="91"/>
      <c r="C30" s="140">
        <v>15000</v>
      </c>
      <c r="D30" s="145"/>
      <c r="E30" s="91"/>
      <c r="F30" s="139"/>
      <c r="G30" s="139">
        <v>1</v>
      </c>
      <c r="H30" s="91">
        <v>1</v>
      </c>
      <c r="I30" s="91">
        <v>1</v>
      </c>
      <c r="J30" s="91">
        <v>1</v>
      </c>
      <c r="K30" s="91">
        <v>1</v>
      </c>
      <c r="L30" s="91">
        <v>1</v>
      </c>
      <c r="M30" s="91">
        <v>1</v>
      </c>
      <c r="N30" s="91"/>
      <c r="O30" s="91"/>
      <c r="P30" s="91">
        <v>1</v>
      </c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 spans="1:28" ht="13.2">
      <c r="A31" s="113">
        <v>10</v>
      </c>
      <c r="B31" s="146" t="s">
        <v>204</v>
      </c>
      <c r="C31" s="146"/>
      <c r="D31" s="146"/>
      <c r="E31" s="146"/>
      <c r="F31" s="146"/>
      <c r="G31" s="146"/>
      <c r="H31" s="147" t="s">
        <v>128</v>
      </c>
      <c r="I31" s="147" t="s">
        <v>205</v>
      </c>
      <c r="J31" s="146"/>
      <c r="K31" s="146"/>
      <c r="L31" s="146"/>
      <c r="M31" s="146"/>
      <c r="N31" s="146"/>
      <c r="O31" s="146"/>
      <c r="P31" s="146"/>
      <c r="Q31" s="146"/>
      <c r="R31" s="146" t="s">
        <v>206</v>
      </c>
      <c r="S31" s="146"/>
      <c r="T31" s="146"/>
      <c r="U31" s="148">
        <v>1</v>
      </c>
      <c r="V31" s="148">
        <v>1</v>
      </c>
      <c r="W31" s="148">
        <v>1</v>
      </c>
      <c r="X31" s="148">
        <v>1</v>
      </c>
      <c r="Y31" s="148">
        <v>1</v>
      </c>
      <c r="Z31" s="148"/>
      <c r="AA31" s="148"/>
      <c r="AB31" s="148"/>
    </row>
    <row r="32" spans="1:28" ht="13.2">
      <c r="A32" s="113"/>
      <c r="B32" s="149" t="s">
        <v>196</v>
      </c>
      <c r="C32" s="98">
        <v>5</v>
      </c>
      <c r="D32" s="98"/>
      <c r="E32" s="106">
        <v>4</v>
      </c>
      <c r="F32" s="106">
        <v>8</v>
      </c>
      <c r="G32" s="106">
        <v>6</v>
      </c>
      <c r="H32" s="106">
        <v>6</v>
      </c>
      <c r="I32" s="106">
        <v>4</v>
      </c>
      <c r="J32" s="106">
        <v>5</v>
      </c>
      <c r="K32" s="106">
        <v>5</v>
      </c>
      <c r="L32" s="106">
        <v>5</v>
      </c>
      <c r="M32" s="106">
        <v>9</v>
      </c>
      <c r="N32" s="106"/>
      <c r="O32" s="106">
        <v>7</v>
      </c>
      <c r="P32" s="106">
        <v>6</v>
      </c>
      <c r="Q32" s="106">
        <v>4</v>
      </c>
      <c r="R32" s="106">
        <v>5</v>
      </c>
      <c r="S32" s="106">
        <v>4</v>
      </c>
      <c r="T32" s="106">
        <v>5</v>
      </c>
      <c r="U32" s="106">
        <v>4</v>
      </c>
      <c r="V32" s="106">
        <f t="shared" ref="V32:X32" si="1">SUM(V22:V31)</f>
        <v>6</v>
      </c>
      <c r="W32" s="106">
        <f t="shared" si="1"/>
        <v>4</v>
      </c>
      <c r="X32" s="106">
        <f t="shared" si="1"/>
        <v>5</v>
      </c>
      <c r="Y32" s="106">
        <v>7</v>
      </c>
      <c r="Z32" s="106"/>
      <c r="AA32" s="106"/>
      <c r="AB32" s="106"/>
    </row>
    <row r="33" spans="8:24" ht="13.2">
      <c r="I33" s="85">
        <v>28</v>
      </c>
      <c r="M33" s="85">
        <v>37</v>
      </c>
      <c r="Q33" s="85">
        <v>33</v>
      </c>
      <c r="U33" s="85">
        <v>17</v>
      </c>
      <c r="X33" s="85">
        <v>15</v>
      </c>
    </row>
    <row r="34" spans="8:24" ht="13.2">
      <c r="I34" s="114">
        <v>54</v>
      </c>
      <c r="L34" s="95" t="s">
        <v>128</v>
      </c>
      <c r="M34" s="114" t="s">
        <v>207</v>
      </c>
      <c r="P34" s="95" t="s">
        <v>128</v>
      </c>
      <c r="Q34" s="114" t="s">
        <v>208</v>
      </c>
      <c r="T34" s="99" t="s">
        <v>209</v>
      </c>
      <c r="U34" s="99">
        <f>U19+U33</f>
        <v>31</v>
      </c>
      <c r="W34" s="99" t="s">
        <v>209</v>
      </c>
      <c r="X34" s="99">
        <f>AA19+X33</f>
        <v>15</v>
      </c>
    </row>
    <row r="35" spans="8:24" ht="13.2">
      <c r="H35" s="114"/>
      <c r="I35" s="114"/>
      <c r="T35" s="95" t="s">
        <v>128</v>
      </c>
      <c r="U35" s="95">
        <f>3000*U34</f>
        <v>93000</v>
      </c>
      <c r="W35" s="95" t="s">
        <v>128</v>
      </c>
      <c r="X35" s="95">
        <f>3000*X34</f>
        <v>45000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21"/>
  <sheetViews>
    <sheetView workbookViewId="0"/>
  </sheetViews>
  <sheetFormatPr defaultColWidth="12.6640625" defaultRowHeight="15.75" customHeight="1"/>
  <cols>
    <col min="1" max="1" width="3.109375" customWidth="1"/>
    <col min="2" max="2" width="18.6640625" customWidth="1"/>
  </cols>
  <sheetData>
    <row r="1" spans="1:23" ht="13.2">
      <c r="A1" s="150"/>
    </row>
    <row r="2" spans="1:23" ht="22.8">
      <c r="B2" s="151" t="s">
        <v>48</v>
      </c>
    </row>
    <row r="3" spans="1:23" ht="13.2">
      <c r="B3" s="152" t="s">
        <v>210</v>
      </c>
    </row>
    <row r="4" spans="1:23" ht="13.2">
      <c r="B4" s="98" t="s">
        <v>211</v>
      </c>
    </row>
    <row r="5" spans="1:23" ht="13.2" hidden="1">
      <c r="B5" s="87">
        <v>4000</v>
      </c>
    </row>
    <row r="7" spans="1:23" ht="14.4">
      <c r="A7" s="153" t="s">
        <v>212</v>
      </c>
      <c r="B7" s="102" t="s">
        <v>213</v>
      </c>
      <c r="C7" s="154">
        <v>45903</v>
      </c>
      <c r="D7" s="154">
        <v>45910</v>
      </c>
      <c r="E7" s="154">
        <v>45917</v>
      </c>
      <c r="F7" s="154">
        <v>45924</v>
      </c>
      <c r="G7" s="105">
        <v>45931</v>
      </c>
      <c r="H7" s="124">
        <v>45938</v>
      </c>
      <c r="I7" s="124">
        <v>45945</v>
      </c>
      <c r="J7" s="124">
        <v>45952</v>
      </c>
      <c r="K7" s="124">
        <v>45959</v>
      </c>
      <c r="L7" s="124">
        <v>45966</v>
      </c>
      <c r="M7" s="124">
        <v>45973</v>
      </c>
      <c r="N7" s="124">
        <v>45980</v>
      </c>
      <c r="O7" s="124">
        <v>45987</v>
      </c>
      <c r="P7" s="105">
        <v>46113</v>
      </c>
      <c r="Q7" s="124">
        <v>46092</v>
      </c>
      <c r="R7" s="124">
        <v>46099</v>
      </c>
      <c r="S7" s="124"/>
      <c r="T7" s="124"/>
      <c r="U7" s="124"/>
      <c r="V7" s="124"/>
      <c r="W7" s="124"/>
    </row>
    <row r="8" spans="1:23" ht="13.2">
      <c r="A8" s="106">
        <v>1</v>
      </c>
      <c r="B8" s="91" t="s">
        <v>214</v>
      </c>
      <c r="C8" s="126" t="s">
        <v>171</v>
      </c>
      <c r="D8" s="91">
        <v>1</v>
      </c>
      <c r="E8" s="91"/>
      <c r="F8" s="91"/>
      <c r="G8" s="91"/>
      <c r="H8" s="91"/>
      <c r="I8" s="91">
        <v>1</v>
      </c>
      <c r="J8" s="91">
        <v>1</v>
      </c>
      <c r="K8" s="91">
        <v>1</v>
      </c>
      <c r="L8" s="91">
        <v>1</v>
      </c>
      <c r="M8" s="91"/>
      <c r="N8" s="91">
        <v>1</v>
      </c>
      <c r="O8" s="91">
        <v>1</v>
      </c>
      <c r="P8" s="91"/>
      <c r="Q8" s="91"/>
      <c r="R8" s="91"/>
      <c r="S8" s="91"/>
      <c r="T8" s="91"/>
      <c r="U8" s="91"/>
      <c r="V8" s="91"/>
      <c r="W8" s="91"/>
    </row>
    <row r="9" spans="1:23" ht="13.2">
      <c r="A9" s="106">
        <v>2</v>
      </c>
      <c r="B9" s="91" t="s">
        <v>215</v>
      </c>
      <c r="C9" s="126" t="s">
        <v>159</v>
      </c>
      <c r="D9" s="91">
        <v>1</v>
      </c>
      <c r="E9" s="91"/>
      <c r="F9" s="91"/>
      <c r="G9" s="91"/>
      <c r="H9" s="91"/>
      <c r="I9" s="91"/>
      <c r="J9" s="91">
        <v>1</v>
      </c>
      <c r="K9" s="91">
        <v>1</v>
      </c>
      <c r="L9" s="91"/>
      <c r="M9" s="91"/>
      <c r="N9" s="91">
        <v>1</v>
      </c>
      <c r="O9" s="91">
        <v>1</v>
      </c>
      <c r="P9" s="91">
        <v>1</v>
      </c>
      <c r="Q9" s="91">
        <v>1</v>
      </c>
      <c r="R9" s="91">
        <v>1</v>
      </c>
      <c r="S9" s="91"/>
      <c r="T9" s="91"/>
      <c r="U9" s="91"/>
      <c r="V9" s="91"/>
      <c r="W9" s="91"/>
    </row>
    <row r="10" spans="1:23" ht="13.2">
      <c r="A10" s="106">
        <v>3</v>
      </c>
      <c r="B10" s="91" t="s">
        <v>216</v>
      </c>
      <c r="C10" s="126"/>
      <c r="D10" s="91">
        <v>1</v>
      </c>
      <c r="E10" s="91">
        <v>1</v>
      </c>
      <c r="F10" s="91">
        <v>1</v>
      </c>
      <c r="G10" s="91">
        <v>1</v>
      </c>
      <c r="H10" s="91"/>
      <c r="I10" s="91"/>
      <c r="J10" s="91">
        <v>1</v>
      </c>
      <c r="K10" s="91">
        <v>1</v>
      </c>
      <c r="L10" s="91">
        <v>1</v>
      </c>
      <c r="M10" s="91"/>
      <c r="N10" s="91">
        <v>1</v>
      </c>
      <c r="O10" s="91">
        <v>1</v>
      </c>
      <c r="P10" s="91">
        <v>1</v>
      </c>
      <c r="Q10" s="91">
        <v>1</v>
      </c>
      <c r="R10" s="91">
        <v>1</v>
      </c>
      <c r="S10" s="91"/>
      <c r="T10" s="91"/>
      <c r="U10" s="91"/>
      <c r="V10" s="91"/>
      <c r="W10" s="91"/>
    </row>
    <row r="11" spans="1:23" ht="13.2">
      <c r="A11" s="106">
        <v>4</v>
      </c>
      <c r="B11" s="91" t="s">
        <v>217</v>
      </c>
      <c r="C11" s="126"/>
      <c r="D11" s="91">
        <v>1</v>
      </c>
      <c r="E11" s="91"/>
      <c r="F11" s="91">
        <v>1</v>
      </c>
      <c r="G11" s="91">
        <v>1</v>
      </c>
      <c r="H11" s="91">
        <v>1</v>
      </c>
      <c r="I11" s="91">
        <v>1</v>
      </c>
      <c r="J11" s="91">
        <v>1</v>
      </c>
      <c r="K11" s="91"/>
      <c r="L11" s="91"/>
      <c r="M11" s="91">
        <v>1</v>
      </c>
      <c r="N11" s="91">
        <v>1</v>
      </c>
      <c r="O11" s="91">
        <v>1</v>
      </c>
      <c r="P11" s="91"/>
      <c r="Q11" s="91">
        <v>1</v>
      </c>
      <c r="R11" s="91"/>
      <c r="S11" s="91"/>
      <c r="T11" s="91"/>
      <c r="U11" s="91"/>
      <c r="V11" s="91"/>
      <c r="W11" s="91"/>
    </row>
    <row r="12" spans="1:23" ht="13.2">
      <c r="A12" s="106">
        <v>5</v>
      </c>
      <c r="B12" s="91" t="s">
        <v>218</v>
      </c>
      <c r="C12" s="126"/>
      <c r="D12" s="91">
        <v>1</v>
      </c>
      <c r="E12" s="91">
        <v>1</v>
      </c>
      <c r="F12" s="91">
        <v>1</v>
      </c>
      <c r="G12" s="91"/>
      <c r="H12" s="91">
        <v>1</v>
      </c>
      <c r="I12" s="91"/>
      <c r="J12" s="91"/>
      <c r="K12" s="91">
        <v>1</v>
      </c>
      <c r="L12" s="91">
        <v>1</v>
      </c>
      <c r="M12" s="91"/>
      <c r="N12" s="91"/>
      <c r="O12" s="91"/>
      <c r="P12" s="91"/>
      <c r="Q12" s="91">
        <v>1</v>
      </c>
      <c r="R12" s="91">
        <v>1</v>
      </c>
      <c r="S12" s="91"/>
      <c r="T12" s="91"/>
      <c r="U12" s="91"/>
      <c r="V12" s="91"/>
      <c r="W12" s="91"/>
    </row>
    <row r="13" spans="1:23" ht="13.2">
      <c r="A13" s="106">
        <v>6</v>
      </c>
      <c r="B13" s="91" t="s">
        <v>219</v>
      </c>
      <c r="C13" s="126"/>
      <c r="D13" s="91"/>
      <c r="E13" s="91">
        <v>1</v>
      </c>
      <c r="F13" s="91">
        <v>1</v>
      </c>
      <c r="G13" s="91"/>
      <c r="H13" s="91"/>
      <c r="I13" s="91">
        <v>1</v>
      </c>
      <c r="J13" s="91">
        <v>1</v>
      </c>
      <c r="K13" s="91">
        <v>1</v>
      </c>
      <c r="L13" s="91">
        <v>1</v>
      </c>
      <c r="M13" s="91">
        <v>1</v>
      </c>
      <c r="N13" s="91">
        <v>1</v>
      </c>
      <c r="O13" s="91">
        <v>1</v>
      </c>
      <c r="P13" s="91"/>
      <c r="Q13" s="91">
        <v>1</v>
      </c>
      <c r="R13" s="91"/>
      <c r="S13" s="91"/>
      <c r="T13" s="91"/>
      <c r="U13" s="91"/>
      <c r="V13" s="91"/>
      <c r="W13" s="91"/>
    </row>
    <row r="14" spans="1:23" ht="14.4">
      <c r="A14" s="106">
        <v>7</v>
      </c>
      <c r="B14" s="112" t="s">
        <v>220</v>
      </c>
      <c r="C14" s="113"/>
      <c r="D14" s="113"/>
      <c r="E14" s="113"/>
      <c r="F14" s="113">
        <v>17</v>
      </c>
      <c r="G14" s="91"/>
      <c r="H14" s="91"/>
      <c r="I14" s="91"/>
      <c r="J14" s="91"/>
      <c r="K14" s="91">
        <v>17</v>
      </c>
      <c r="L14" s="91">
        <v>1</v>
      </c>
      <c r="M14" s="91"/>
      <c r="N14" s="91"/>
      <c r="O14" s="91"/>
      <c r="P14" s="91">
        <v>1</v>
      </c>
      <c r="Q14" s="91"/>
      <c r="R14" s="91"/>
      <c r="S14" s="91"/>
      <c r="T14" s="91"/>
      <c r="U14" s="91"/>
      <c r="V14" s="91"/>
      <c r="W14" s="91"/>
    </row>
    <row r="15" spans="1:23" ht="14.4">
      <c r="A15" s="106">
        <v>8</v>
      </c>
      <c r="B15" s="112" t="s">
        <v>221</v>
      </c>
      <c r="C15" s="138"/>
      <c r="D15" s="138">
        <v>7</v>
      </c>
      <c r="E15" s="138">
        <v>4</v>
      </c>
      <c r="F15" s="138">
        <v>6</v>
      </c>
      <c r="G15" s="138">
        <v>2</v>
      </c>
      <c r="H15" s="138">
        <v>2</v>
      </c>
      <c r="I15" s="138">
        <v>3</v>
      </c>
      <c r="J15" s="138">
        <v>5</v>
      </c>
      <c r="K15" s="138">
        <v>5</v>
      </c>
      <c r="L15" s="138">
        <v>1</v>
      </c>
      <c r="M15" s="91">
        <v>1</v>
      </c>
      <c r="N15" s="91">
        <v>1</v>
      </c>
      <c r="O15" s="91">
        <v>1</v>
      </c>
      <c r="P15" s="91">
        <v>1</v>
      </c>
      <c r="Q15" s="91">
        <v>1</v>
      </c>
      <c r="R15" s="91">
        <v>1</v>
      </c>
      <c r="S15" s="91"/>
      <c r="T15" s="91"/>
      <c r="U15" s="91"/>
      <c r="V15" s="91"/>
      <c r="W15" s="91"/>
    </row>
    <row r="16" spans="1:23" ht="13.2">
      <c r="A16" s="106">
        <v>9</v>
      </c>
      <c r="B16" s="91" t="s">
        <v>222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>
        <v>1</v>
      </c>
      <c r="O16" s="138">
        <v>1</v>
      </c>
      <c r="P16" s="138">
        <v>1</v>
      </c>
      <c r="Q16" s="138">
        <v>1</v>
      </c>
      <c r="R16" s="138">
        <v>1</v>
      </c>
      <c r="S16" s="138"/>
      <c r="T16" s="138"/>
      <c r="U16" s="138"/>
      <c r="V16" s="138"/>
      <c r="W16" s="138"/>
    </row>
    <row r="17" spans="1:23" ht="13.2">
      <c r="A17" s="106"/>
      <c r="B17" s="91" t="s">
        <v>223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 t="s">
        <v>206</v>
      </c>
      <c r="P17" s="138">
        <v>1</v>
      </c>
      <c r="Q17" s="138"/>
      <c r="R17" s="138">
        <v>1</v>
      </c>
      <c r="S17" s="138"/>
      <c r="T17" s="138"/>
      <c r="U17" s="138"/>
      <c r="V17" s="138"/>
      <c r="W17" s="138"/>
    </row>
    <row r="18" spans="1:23" ht="14.4">
      <c r="A18" s="106"/>
      <c r="B18" s="101"/>
      <c r="C18" s="126"/>
      <c r="D18" s="113"/>
      <c r="E18" s="113"/>
      <c r="F18" s="113"/>
      <c r="G18" s="113"/>
      <c r="H18" s="113"/>
      <c r="I18" s="113"/>
      <c r="J18" s="113"/>
      <c r="K18" s="106"/>
      <c r="L18" s="113">
        <v>6</v>
      </c>
      <c r="M18" s="113">
        <v>3</v>
      </c>
      <c r="N18" s="113">
        <v>7</v>
      </c>
      <c r="O18" s="113">
        <v>7</v>
      </c>
      <c r="P18" s="106">
        <v>8</v>
      </c>
      <c r="Q18" s="106">
        <v>7</v>
      </c>
      <c r="R18" s="106">
        <v>6</v>
      </c>
      <c r="S18" s="106"/>
      <c r="T18" s="106"/>
      <c r="U18" s="106"/>
      <c r="V18" s="106"/>
      <c r="W18" s="106"/>
    </row>
    <row r="19" spans="1:23" ht="13.2">
      <c r="B19" s="85" t="s">
        <v>224</v>
      </c>
      <c r="O19" s="85">
        <v>23</v>
      </c>
      <c r="P19" s="85">
        <v>1</v>
      </c>
      <c r="R19" s="85">
        <v>21</v>
      </c>
      <c r="S19" s="85"/>
      <c r="T19" s="85"/>
      <c r="U19" s="85"/>
      <c r="V19" s="85"/>
      <c r="W19" s="85"/>
    </row>
    <row r="20" spans="1:23" ht="13.2">
      <c r="B20" s="85" t="s">
        <v>225</v>
      </c>
      <c r="N20" s="95" t="s">
        <v>128</v>
      </c>
      <c r="O20" s="155" t="s">
        <v>226</v>
      </c>
      <c r="P20" s="85">
        <v>1</v>
      </c>
      <c r="Q20" s="95" t="s">
        <v>128</v>
      </c>
      <c r="R20" s="155" t="s">
        <v>227</v>
      </c>
      <c r="S20" s="156"/>
      <c r="T20" s="156"/>
      <c r="U20" s="156"/>
      <c r="V20" s="156"/>
      <c r="W20" s="156"/>
    </row>
    <row r="21" spans="1:23" ht="16.5" customHeight="1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AK1002"/>
  <sheetViews>
    <sheetView workbookViewId="0">
      <pane xSplit="2" topLeftCell="C1" activePane="topRight" state="frozen"/>
      <selection pane="topRight" activeCell="D2" sqref="D2"/>
    </sheetView>
  </sheetViews>
  <sheetFormatPr defaultColWidth="12.6640625" defaultRowHeight="15.75" customHeight="1"/>
  <cols>
    <col min="1" max="1" width="3.44140625" customWidth="1"/>
    <col min="2" max="2" width="21.88671875" customWidth="1"/>
    <col min="6" max="13" width="15.88671875" customWidth="1"/>
    <col min="26" max="26" width="14.109375" customWidth="1"/>
  </cols>
  <sheetData>
    <row r="1" spans="1:37" ht="13.2"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</row>
    <row r="2" spans="1:37" ht="20.399999999999999">
      <c r="B2" s="157" t="s">
        <v>228</v>
      </c>
      <c r="C2" s="100"/>
      <c r="D2" s="100"/>
      <c r="E2" s="100"/>
      <c r="F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</row>
    <row r="3" spans="1:37" ht="20.399999999999999">
      <c r="A3" s="157"/>
      <c r="B3" s="158" t="s">
        <v>229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</row>
    <row r="4" spans="1:37" ht="14.4">
      <c r="A4" s="159"/>
      <c r="B4" s="85" t="s">
        <v>230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</row>
    <row r="5" spans="1:37" ht="20.399999999999999" hidden="1">
      <c r="A5" s="157"/>
      <c r="B5" s="87">
        <v>4000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</row>
    <row r="6" spans="1:37" ht="20.399999999999999">
      <c r="A6" s="157"/>
      <c r="B6" s="157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</row>
    <row r="7" spans="1:37" ht="13.2">
      <c r="B7" s="119" t="s">
        <v>231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</row>
    <row r="8" spans="1:37" ht="13.2">
      <c r="B8" s="119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</row>
    <row r="9" spans="1:37" ht="13.2">
      <c r="B9" s="119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</row>
    <row r="10" spans="1:37" ht="13.2">
      <c r="B10" s="119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</row>
    <row r="11" spans="1:37" ht="14.4">
      <c r="A11" s="160" t="s">
        <v>212</v>
      </c>
      <c r="B11" s="161" t="s">
        <v>232</v>
      </c>
      <c r="C11" s="162">
        <v>45907</v>
      </c>
      <c r="D11" s="162">
        <v>45914</v>
      </c>
      <c r="E11" s="162">
        <v>45921</v>
      </c>
      <c r="F11" s="162">
        <v>45928</v>
      </c>
      <c r="G11" s="163">
        <v>45935</v>
      </c>
      <c r="H11" s="164">
        <v>45942</v>
      </c>
      <c r="I11" s="164">
        <v>45949</v>
      </c>
      <c r="J11" s="164">
        <v>45956</v>
      </c>
      <c r="K11" s="163">
        <v>45963</v>
      </c>
      <c r="L11" s="164">
        <v>45970</v>
      </c>
      <c r="M11" s="164">
        <v>45977</v>
      </c>
      <c r="N11" s="164">
        <v>45984</v>
      </c>
      <c r="O11" s="164">
        <v>45991</v>
      </c>
      <c r="P11" s="164">
        <v>45998</v>
      </c>
      <c r="Q11" s="164">
        <v>46005</v>
      </c>
      <c r="R11" s="164">
        <v>46012</v>
      </c>
      <c r="S11" s="164">
        <v>46019</v>
      </c>
      <c r="T11" s="164">
        <v>46026</v>
      </c>
      <c r="U11" s="164">
        <v>46033</v>
      </c>
      <c r="V11" s="164">
        <v>46040</v>
      </c>
      <c r="W11" s="164">
        <v>46047</v>
      </c>
      <c r="X11" s="165">
        <v>1.02</v>
      </c>
      <c r="Y11" s="165">
        <v>8.02</v>
      </c>
      <c r="Z11" s="165">
        <v>15.02</v>
      </c>
      <c r="AA11" s="165"/>
      <c r="AB11" s="165">
        <v>22.02</v>
      </c>
      <c r="AC11" s="165">
        <v>1.03</v>
      </c>
      <c r="AD11" s="165">
        <v>7.03</v>
      </c>
      <c r="AE11" s="166">
        <v>46096</v>
      </c>
      <c r="AF11" s="166">
        <v>46110</v>
      </c>
      <c r="AG11" s="166">
        <v>46117</v>
      </c>
      <c r="AH11" s="166"/>
      <c r="AI11" s="166"/>
      <c r="AJ11" s="166"/>
      <c r="AK11" s="166"/>
    </row>
    <row r="12" spans="1:37" ht="14.4">
      <c r="A12" s="167">
        <v>1</v>
      </c>
      <c r="B12" s="161" t="s">
        <v>233</v>
      </c>
      <c r="C12" s="138">
        <v>1</v>
      </c>
      <c r="D12" s="138">
        <v>1</v>
      </c>
      <c r="E12" s="138">
        <v>1</v>
      </c>
      <c r="F12" s="138">
        <v>1</v>
      </c>
      <c r="G12" s="138">
        <v>1</v>
      </c>
      <c r="H12" s="138">
        <v>1</v>
      </c>
      <c r="I12" s="138">
        <v>1</v>
      </c>
      <c r="J12" s="138">
        <v>1</v>
      </c>
      <c r="K12" s="138">
        <v>1</v>
      </c>
      <c r="L12" s="138">
        <v>1</v>
      </c>
      <c r="M12" s="138">
        <v>1</v>
      </c>
      <c r="N12" s="138">
        <v>1</v>
      </c>
      <c r="O12" s="138">
        <v>1</v>
      </c>
      <c r="P12" s="138">
        <v>1</v>
      </c>
      <c r="Q12" s="138"/>
      <c r="R12" s="138">
        <v>2</v>
      </c>
      <c r="S12" s="138">
        <v>1</v>
      </c>
      <c r="T12" s="138">
        <v>1</v>
      </c>
      <c r="U12" s="138">
        <v>1</v>
      </c>
      <c r="V12" s="138">
        <v>1</v>
      </c>
      <c r="W12" s="138">
        <v>1</v>
      </c>
      <c r="X12" s="138">
        <v>1</v>
      </c>
      <c r="Y12" s="138">
        <v>1</v>
      </c>
      <c r="Z12" s="138">
        <v>1</v>
      </c>
      <c r="AA12" s="138"/>
      <c r="AB12" s="138">
        <v>1</v>
      </c>
      <c r="AC12" s="138">
        <v>1</v>
      </c>
      <c r="AD12" s="138">
        <v>1</v>
      </c>
      <c r="AE12" s="138">
        <v>1</v>
      </c>
      <c r="AF12" s="138">
        <v>1</v>
      </c>
      <c r="AG12" s="138">
        <v>1</v>
      </c>
      <c r="AH12" s="138"/>
      <c r="AI12" s="138"/>
      <c r="AJ12" s="138"/>
      <c r="AK12" s="138"/>
    </row>
    <row r="13" spans="1:37" ht="14.4">
      <c r="A13" s="168">
        <v>2</v>
      </c>
      <c r="B13" s="161" t="s">
        <v>234</v>
      </c>
      <c r="C13" s="138">
        <v>1</v>
      </c>
      <c r="D13" s="138">
        <v>1</v>
      </c>
      <c r="E13" s="138">
        <v>1</v>
      </c>
      <c r="F13" s="138">
        <v>1</v>
      </c>
      <c r="G13" s="138">
        <v>1</v>
      </c>
      <c r="H13" s="138">
        <v>1</v>
      </c>
      <c r="I13" s="138">
        <v>1</v>
      </c>
      <c r="J13" s="138">
        <v>1</v>
      </c>
      <c r="K13" s="138">
        <v>1</v>
      </c>
      <c r="L13" s="138">
        <v>1</v>
      </c>
      <c r="M13" s="138">
        <v>1</v>
      </c>
      <c r="N13" s="138">
        <v>1</v>
      </c>
      <c r="O13" s="138"/>
      <c r="P13" s="138">
        <v>1</v>
      </c>
      <c r="Q13" s="138"/>
      <c r="R13" s="138">
        <v>2</v>
      </c>
      <c r="S13" s="138"/>
      <c r="T13" s="138">
        <v>1</v>
      </c>
      <c r="U13" s="138">
        <v>1</v>
      </c>
      <c r="V13" s="138">
        <v>1</v>
      </c>
      <c r="W13" s="138"/>
      <c r="X13" s="138">
        <v>1</v>
      </c>
      <c r="Y13" s="138">
        <v>1</v>
      </c>
      <c r="Z13" s="138">
        <v>1</v>
      </c>
      <c r="AA13" s="138"/>
      <c r="AB13" s="138">
        <v>1</v>
      </c>
      <c r="AC13" s="138"/>
      <c r="AD13" s="138">
        <v>1</v>
      </c>
      <c r="AE13" s="138">
        <v>1</v>
      </c>
      <c r="AF13" s="138">
        <v>1</v>
      </c>
      <c r="AG13" s="138">
        <v>1</v>
      </c>
      <c r="AH13" s="138"/>
      <c r="AI13" s="138"/>
      <c r="AJ13" s="138"/>
      <c r="AK13" s="138"/>
    </row>
    <row r="14" spans="1:37" ht="14.4">
      <c r="A14" s="167">
        <v>3</v>
      </c>
      <c r="B14" s="161" t="s">
        <v>235</v>
      </c>
      <c r="C14" s="138"/>
      <c r="D14" s="138"/>
      <c r="E14" s="138"/>
      <c r="F14" s="138"/>
      <c r="G14" s="138">
        <v>1</v>
      </c>
      <c r="H14" s="138">
        <v>1</v>
      </c>
      <c r="I14" s="138">
        <v>1</v>
      </c>
      <c r="J14" s="138">
        <v>1</v>
      </c>
      <c r="K14" s="138">
        <v>1</v>
      </c>
      <c r="L14" s="138">
        <v>1</v>
      </c>
      <c r="M14" s="138">
        <v>1</v>
      </c>
      <c r="N14" s="138">
        <v>1</v>
      </c>
      <c r="O14" s="138">
        <v>1</v>
      </c>
      <c r="P14" s="138"/>
      <c r="Q14" s="138"/>
      <c r="R14" s="138">
        <v>2</v>
      </c>
      <c r="S14" s="138">
        <v>1</v>
      </c>
      <c r="T14" s="138"/>
      <c r="U14" s="138">
        <v>1</v>
      </c>
      <c r="V14" s="138">
        <v>1</v>
      </c>
      <c r="W14" s="138">
        <v>1</v>
      </c>
      <c r="X14" s="138">
        <v>1</v>
      </c>
      <c r="Y14" s="138">
        <v>1</v>
      </c>
      <c r="Z14" s="138">
        <v>1</v>
      </c>
      <c r="AA14" s="138"/>
      <c r="AB14" s="138">
        <v>1</v>
      </c>
      <c r="AC14" s="138">
        <v>1</v>
      </c>
      <c r="AD14" s="138">
        <v>1</v>
      </c>
      <c r="AE14" s="138">
        <v>1</v>
      </c>
      <c r="AF14" s="138">
        <v>1</v>
      </c>
      <c r="AG14" s="138">
        <v>1</v>
      </c>
      <c r="AH14" s="138"/>
      <c r="AI14" s="138"/>
      <c r="AJ14" s="138"/>
      <c r="AK14" s="138"/>
    </row>
    <row r="15" spans="1:37" ht="14.4">
      <c r="A15" s="167">
        <v>4</v>
      </c>
      <c r="B15" s="161" t="s">
        <v>236</v>
      </c>
      <c r="C15" s="138">
        <v>1</v>
      </c>
      <c r="D15" s="138">
        <v>1</v>
      </c>
      <c r="E15" s="138">
        <v>1</v>
      </c>
      <c r="F15" s="138">
        <v>1</v>
      </c>
      <c r="G15" s="138">
        <v>1</v>
      </c>
      <c r="H15" s="138">
        <v>1</v>
      </c>
      <c r="I15" s="138">
        <v>1</v>
      </c>
      <c r="J15" s="138">
        <v>1</v>
      </c>
      <c r="K15" s="138"/>
      <c r="L15" s="138">
        <v>1</v>
      </c>
      <c r="M15" s="138">
        <v>1</v>
      </c>
      <c r="N15" s="138">
        <v>1</v>
      </c>
      <c r="O15" s="138">
        <v>1</v>
      </c>
      <c r="P15" s="138">
        <v>1</v>
      </c>
      <c r="Q15" s="138"/>
      <c r="R15" s="138">
        <v>2</v>
      </c>
      <c r="S15" s="138">
        <v>1</v>
      </c>
      <c r="T15" s="138"/>
      <c r="U15" s="138">
        <v>1</v>
      </c>
      <c r="V15" s="138">
        <v>1</v>
      </c>
      <c r="W15" s="138">
        <v>1</v>
      </c>
      <c r="X15" s="138">
        <v>1</v>
      </c>
      <c r="Y15" s="138">
        <v>1</v>
      </c>
      <c r="Z15" s="138">
        <v>1</v>
      </c>
      <c r="AA15" s="138"/>
      <c r="AB15" s="138">
        <v>1</v>
      </c>
      <c r="AC15" s="138"/>
      <c r="AD15" s="138"/>
      <c r="AE15" s="138"/>
      <c r="AF15" s="138"/>
      <c r="AG15" s="138"/>
      <c r="AH15" s="138"/>
      <c r="AI15" s="138"/>
      <c r="AJ15" s="138"/>
      <c r="AK15" s="138"/>
    </row>
    <row r="16" spans="1:37" ht="14.4">
      <c r="A16" s="167">
        <v>5</v>
      </c>
      <c r="B16" s="161" t="s">
        <v>237</v>
      </c>
      <c r="C16" s="138"/>
      <c r="D16" s="138">
        <v>1</v>
      </c>
      <c r="E16" s="138">
        <v>1</v>
      </c>
      <c r="F16" s="138">
        <v>1</v>
      </c>
      <c r="G16" s="138">
        <v>1</v>
      </c>
      <c r="H16" s="138">
        <v>1</v>
      </c>
      <c r="I16" s="138">
        <v>1</v>
      </c>
      <c r="J16" s="138">
        <v>1</v>
      </c>
      <c r="K16" s="138">
        <v>1</v>
      </c>
      <c r="L16" s="138">
        <v>1</v>
      </c>
      <c r="M16" s="138">
        <v>1</v>
      </c>
      <c r="N16" s="138">
        <v>1</v>
      </c>
      <c r="O16" s="138">
        <v>1</v>
      </c>
      <c r="P16" s="138">
        <v>1</v>
      </c>
      <c r="Q16" s="138"/>
      <c r="R16" s="138">
        <v>1</v>
      </c>
      <c r="S16" s="138">
        <v>1</v>
      </c>
      <c r="T16" s="138">
        <v>1</v>
      </c>
      <c r="U16" s="138">
        <v>1</v>
      </c>
      <c r="V16" s="138">
        <v>1</v>
      </c>
      <c r="W16" s="138">
        <v>1</v>
      </c>
      <c r="X16" s="138">
        <v>1</v>
      </c>
      <c r="Y16" s="138"/>
      <c r="Z16" s="138"/>
      <c r="AA16" s="138"/>
      <c r="AB16" s="138">
        <v>1</v>
      </c>
      <c r="AC16" s="138">
        <v>1</v>
      </c>
      <c r="AD16" s="138"/>
      <c r="AE16" s="138">
        <v>1</v>
      </c>
      <c r="AF16" s="138">
        <v>1</v>
      </c>
      <c r="AG16" s="138">
        <v>1</v>
      </c>
      <c r="AH16" s="138"/>
      <c r="AI16" s="138"/>
      <c r="AJ16" s="138"/>
      <c r="AK16" s="138"/>
    </row>
    <row r="17" spans="1:37" ht="14.4">
      <c r="A17" s="167">
        <v>6</v>
      </c>
      <c r="B17" s="161" t="s">
        <v>238</v>
      </c>
      <c r="C17" s="138"/>
      <c r="D17" s="138">
        <v>1</v>
      </c>
      <c r="E17" s="138">
        <v>1</v>
      </c>
      <c r="F17" s="138">
        <v>1</v>
      </c>
      <c r="G17" s="138"/>
      <c r="H17" s="138">
        <v>1</v>
      </c>
      <c r="I17" s="138">
        <v>1</v>
      </c>
      <c r="J17" s="138">
        <v>1</v>
      </c>
      <c r="K17" s="138"/>
      <c r="L17" s="138"/>
      <c r="M17" s="138">
        <v>1</v>
      </c>
      <c r="N17" s="138">
        <v>1</v>
      </c>
      <c r="O17" s="138">
        <v>1</v>
      </c>
      <c r="P17" s="138">
        <v>1</v>
      </c>
      <c r="Q17" s="138"/>
      <c r="R17" s="138">
        <v>1</v>
      </c>
      <c r="S17" s="138">
        <v>1</v>
      </c>
      <c r="T17" s="138">
        <v>1</v>
      </c>
      <c r="U17" s="138">
        <v>1</v>
      </c>
      <c r="V17" s="138">
        <v>1</v>
      </c>
      <c r="W17" s="138">
        <v>1</v>
      </c>
      <c r="X17" s="138">
        <v>1</v>
      </c>
      <c r="Y17" s="138">
        <v>1</v>
      </c>
      <c r="Z17" s="138">
        <v>1</v>
      </c>
      <c r="AA17" s="138"/>
      <c r="AB17" s="138">
        <v>1</v>
      </c>
      <c r="AC17" s="138">
        <v>1</v>
      </c>
      <c r="AD17" s="138">
        <v>1</v>
      </c>
      <c r="AE17" s="138">
        <v>1</v>
      </c>
      <c r="AF17" s="138">
        <v>1</v>
      </c>
      <c r="AG17" s="138">
        <v>1</v>
      </c>
      <c r="AH17" s="138"/>
      <c r="AI17" s="138"/>
      <c r="AJ17" s="138"/>
      <c r="AK17" s="138"/>
    </row>
    <row r="18" spans="1:37" ht="14.4">
      <c r="A18" s="167">
        <v>7</v>
      </c>
      <c r="B18" s="161" t="s">
        <v>239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>
        <v>1</v>
      </c>
      <c r="M18" s="138">
        <v>1</v>
      </c>
      <c r="N18" s="138">
        <v>1</v>
      </c>
      <c r="O18" s="138">
        <v>1</v>
      </c>
      <c r="P18" s="138">
        <v>1</v>
      </c>
      <c r="Q18" s="138"/>
      <c r="R18" s="138">
        <v>2</v>
      </c>
      <c r="S18" s="138">
        <v>1</v>
      </c>
      <c r="T18" s="138"/>
      <c r="U18" s="138">
        <v>1</v>
      </c>
      <c r="V18" s="138">
        <v>1</v>
      </c>
      <c r="W18" s="138">
        <v>1</v>
      </c>
      <c r="X18" s="138">
        <v>1</v>
      </c>
      <c r="Y18" s="138">
        <v>1</v>
      </c>
      <c r="Z18" s="138">
        <v>1</v>
      </c>
      <c r="AA18" s="138"/>
      <c r="AB18" s="138">
        <v>1</v>
      </c>
      <c r="AC18" s="138">
        <v>1</v>
      </c>
      <c r="AD18" s="138"/>
      <c r="AE18" s="138">
        <v>1</v>
      </c>
      <c r="AF18" s="138">
        <v>1</v>
      </c>
      <c r="AG18" s="138">
        <v>1</v>
      </c>
      <c r="AH18" s="138"/>
      <c r="AI18" s="138"/>
      <c r="AJ18" s="138"/>
      <c r="AK18" s="138"/>
    </row>
    <row r="19" spans="1:37" ht="14.4">
      <c r="A19" s="167">
        <v>8</v>
      </c>
      <c r="B19" s="161" t="s">
        <v>240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>
        <v>1</v>
      </c>
      <c r="W19" s="138">
        <v>1</v>
      </c>
      <c r="X19" s="138"/>
      <c r="Y19" s="138"/>
      <c r="Z19" s="138"/>
      <c r="AA19" s="138"/>
      <c r="AB19" s="138"/>
      <c r="AC19" s="138">
        <v>1</v>
      </c>
      <c r="AD19" s="138">
        <v>1</v>
      </c>
      <c r="AE19" s="138">
        <v>1</v>
      </c>
      <c r="AF19" s="138"/>
      <c r="AG19" s="138"/>
      <c r="AH19" s="138"/>
      <c r="AI19" s="138"/>
      <c r="AJ19" s="138"/>
      <c r="AK19" s="138"/>
    </row>
    <row r="20" spans="1:37" ht="14.4">
      <c r="A20" s="167"/>
      <c r="B20" s="161" t="s">
        <v>241</v>
      </c>
      <c r="C20" s="126">
        <v>6</v>
      </c>
      <c r="D20" s="126">
        <v>8</v>
      </c>
      <c r="E20" s="126">
        <v>8</v>
      </c>
      <c r="F20" s="126">
        <v>8</v>
      </c>
      <c r="G20" s="169">
        <v>7</v>
      </c>
      <c r="H20" s="169">
        <v>8</v>
      </c>
      <c r="I20" s="169">
        <v>8</v>
      </c>
      <c r="J20" s="169">
        <v>9</v>
      </c>
      <c r="K20" s="169">
        <v>7</v>
      </c>
      <c r="L20" s="169">
        <v>9</v>
      </c>
      <c r="M20" s="126">
        <v>10</v>
      </c>
      <c r="N20" s="126">
        <v>10</v>
      </c>
      <c r="O20" s="126">
        <v>7</v>
      </c>
      <c r="P20" s="126">
        <v>7</v>
      </c>
      <c r="Q20" s="126"/>
      <c r="R20" s="126">
        <v>16</v>
      </c>
      <c r="S20" s="126">
        <v>8</v>
      </c>
      <c r="T20" s="126">
        <v>5</v>
      </c>
      <c r="U20" s="126">
        <v>8</v>
      </c>
      <c r="V20" s="126">
        <v>10</v>
      </c>
      <c r="W20" s="126">
        <v>9</v>
      </c>
      <c r="X20" s="170">
        <v>7</v>
      </c>
      <c r="Y20" s="170">
        <v>6</v>
      </c>
      <c r="Z20" s="171">
        <v>6</v>
      </c>
      <c r="AA20" s="170"/>
      <c r="AB20" s="170">
        <v>7</v>
      </c>
      <c r="AC20" s="171">
        <v>6</v>
      </c>
      <c r="AD20" s="171">
        <v>5</v>
      </c>
      <c r="AE20" s="171">
        <v>7</v>
      </c>
      <c r="AF20" s="171">
        <v>6</v>
      </c>
      <c r="AG20" s="171">
        <v>6</v>
      </c>
      <c r="AH20" s="171"/>
      <c r="AI20" s="171"/>
      <c r="AJ20" s="171"/>
      <c r="AK20" s="171"/>
    </row>
    <row r="21" spans="1:37" ht="14.4">
      <c r="A21" s="172"/>
      <c r="B21" s="173"/>
      <c r="C21" s="85"/>
      <c r="D21" s="85"/>
      <c r="E21" s="85"/>
      <c r="F21" s="85">
        <v>30</v>
      </c>
      <c r="H21" s="100"/>
      <c r="I21" s="100"/>
      <c r="J21" s="100">
        <v>32</v>
      </c>
      <c r="K21" s="100"/>
      <c r="L21" s="100"/>
      <c r="M21" s="100"/>
      <c r="N21" s="100"/>
      <c r="O21" s="100">
        <v>43</v>
      </c>
      <c r="P21" s="100"/>
      <c r="Q21" s="100"/>
      <c r="R21" s="100"/>
      <c r="S21" s="100">
        <v>31</v>
      </c>
      <c r="T21" s="100"/>
      <c r="U21" s="100"/>
      <c r="V21" s="100"/>
      <c r="W21" s="100">
        <v>32</v>
      </c>
      <c r="X21" s="100"/>
      <c r="Y21" s="100"/>
      <c r="Z21" s="100"/>
      <c r="AA21" s="100"/>
      <c r="AB21" s="100">
        <v>26</v>
      </c>
      <c r="AC21" s="100"/>
      <c r="AD21" s="100"/>
      <c r="AE21" s="100"/>
      <c r="AF21" s="100">
        <v>25</v>
      </c>
      <c r="AG21" s="138"/>
      <c r="AH21" s="138"/>
      <c r="AI21" s="138"/>
      <c r="AJ21" s="138"/>
      <c r="AK21" s="138"/>
    </row>
    <row r="22" spans="1:37" ht="14.4">
      <c r="A22" s="172"/>
      <c r="B22" s="173" t="s">
        <v>242</v>
      </c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38"/>
      <c r="AH22" s="138"/>
      <c r="AI22" s="138"/>
      <c r="AJ22" s="138"/>
      <c r="AK22" s="138"/>
    </row>
    <row r="23" spans="1:37" ht="14.4">
      <c r="A23" s="172"/>
      <c r="B23" s="173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38"/>
      <c r="AH23" s="138"/>
      <c r="AI23" s="138"/>
      <c r="AJ23" s="138"/>
      <c r="AK23" s="138"/>
    </row>
    <row r="24" spans="1:37" ht="14.4">
      <c r="A24" s="174" t="s">
        <v>212</v>
      </c>
      <c r="B24" s="175" t="s">
        <v>232</v>
      </c>
      <c r="C24" s="176">
        <v>45907</v>
      </c>
      <c r="D24" s="176">
        <v>45914</v>
      </c>
      <c r="E24" s="176">
        <v>45921</v>
      </c>
      <c r="F24" s="176">
        <v>45928</v>
      </c>
      <c r="G24" s="177">
        <v>45935</v>
      </c>
      <c r="H24" s="178">
        <v>45942</v>
      </c>
      <c r="I24" s="178">
        <v>45949</v>
      </c>
      <c r="J24" s="178">
        <v>45956</v>
      </c>
      <c r="K24" s="177">
        <v>45963</v>
      </c>
      <c r="L24" s="178">
        <v>45970</v>
      </c>
      <c r="M24" s="178">
        <v>45977</v>
      </c>
      <c r="N24" s="178">
        <v>45984</v>
      </c>
      <c r="O24" s="178">
        <v>45991</v>
      </c>
      <c r="P24" s="178">
        <v>45998</v>
      </c>
      <c r="Q24" s="178">
        <v>46005</v>
      </c>
      <c r="R24" s="178">
        <v>46012</v>
      </c>
      <c r="S24" s="178">
        <v>46019</v>
      </c>
      <c r="T24" s="178">
        <v>46026</v>
      </c>
      <c r="U24" s="178">
        <v>46033</v>
      </c>
      <c r="V24" s="178">
        <v>46040</v>
      </c>
      <c r="W24" s="178">
        <v>46047</v>
      </c>
      <c r="X24" s="179">
        <v>1.02</v>
      </c>
      <c r="Y24" s="179">
        <v>8.02</v>
      </c>
      <c r="Z24" s="179">
        <v>15.02</v>
      </c>
      <c r="AA24" s="179"/>
      <c r="AB24" s="179">
        <v>22.02</v>
      </c>
      <c r="AC24" s="180">
        <v>46082</v>
      </c>
      <c r="AD24" s="180">
        <v>46088</v>
      </c>
      <c r="AE24" s="180">
        <v>46096</v>
      </c>
      <c r="AF24" s="180">
        <v>46110</v>
      </c>
      <c r="AG24" s="180"/>
      <c r="AH24" s="180"/>
      <c r="AI24" s="180"/>
      <c r="AJ24" s="180"/>
      <c r="AK24" s="180"/>
    </row>
    <row r="25" spans="1:37" ht="14.4">
      <c r="A25" s="181">
        <v>1</v>
      </c>
      <c r="B25" s="175" t="s">
        <v>243</v>
      </c>
      <c r="C25" s="138">
        <v>1</v>
      </c>
      <c r="D25" s="138">
        <v>1</v>
      </c>
      <c r="E25" s="138">
        <v>1</v>
      </c>
      <c r="F25" s="138">
        <v>1</v>
      </c>
      <c r="G25" s="138">
        <v>1</v>
      </c>
      <c r="H25" s="138">
        <v>1</v>
      </c>
      <c r="I25" s="138">
        <v>1</v>
      </c>
      <c r="J25" s="138">
        <v>1</v>
      </c>
      <c r="K25" s="138">
        <v>1</v>
      </c>
      <c r="L25" s="138">
        <v>1</v>
      </c>
      <c r="M25" s="138">
        <v>1</v>
      </c>
      <c r="N25" s="138">
        <v>1</v>
      </c>
      <c r="O25" s="138">
        <v>1</v>
      </c>
      <c r="P25" s="138">
        <v>1</v>
      </c>
      <c r="Q25" s="138"/>
      <c r="R25" s="138">
        <v>2</v>
      </c>
      <c r="S25" s="138">
        <v>1</v>
      </c>
      <c r="T25" s="138">
        <v>1</v>
      </c>
      <c r="U25" s="138">
        <v>1</v>
      </c>
      <c r="V25" s="138">
        <v>1</v>
      </c>
      <c r="W25" s="138">
        <v>1</v>
      </c>
      <c r="X25" s="138">
        <v>1</v>
      </c>
      <c r="Y25" s="138">
        <v>1</v>
      </c>
      <c r="Z25" s="138">
        <v>1</v>
      </c>
      <c r="AA25" s="138"/>
      <c r="AB25" s="138">
        <v>1</v>
      </c>
      <c r="AC25" s="138">
        <v>1</v>
      </c>
      <c r="AD25" s="138">
        <v>1</v>
      </c>
      <c r="AE25" s="138">
        <v>1</v>
      </c>
      <c r="AF25" s="138">
        <v>1</v>
      </c>
      <c r="AG25" s="138">
        <v>1</v>
      </c>
      <c r="AH25" s="138"/>
      <c r="AI25" s="138"/>
      <c r="AJ25" s="138"/>
      <c r="AK25" s="138"/>
    </row>
    <row r="26" spans="1:37" ht="14.4">
      <c r="A26" s="182">
        <v>2</v>
      </c>
      <c r="B26" s="175" t="s">
        <v>244</v>
      </c>
      <c r="C26" s="138">
        <v>1</v>
      </c>
      <c r="D26" s="138">
        <v>1</v>
      </c>
      <c r="E26" s="138">
        <v>1</v>
      </c>
      <c r="F26" s="138">
        <v>1</v>
      </c>
      <c r="G26" s="138">
        <v>1</v>
      </c>
      <c r="H26" s="138">
        <v>1</v>
      </c>
      <c r="I26" s="138">
        <v>1</v>
      </c>
      <c r="J26" s="138">
        <v>1</v>
      </c>
      <c r="K26" s="138">
        <v>1</v>
      </c>
      <c r="L26" s="138">
        <v>1</v>
      </c>
      <c r="M26" s="138">
        <v>1</v>
      </c>
      <c r="N26" s="138">
        <v>1</v>
      </c>
      <c r="O26" s="138"/>
      <c r="P26" s="138">
        <v>1</v>
      </c>
      <c r="Q26" s="138"/>
      <c r="R26" s="138">
        <v>2</v>
      </c>
      <c r="S26" s="138"/>
      <c r="T26" s="138">
        <v>1</v>
      </c>
      <c r="U26" s="138">
        <v>1</v>
      </c>
      <c r="V26" s="138">
        <v>1</v>
      </c>
      <c r="W26" s="138"/>
      <c r="X26" s="138">
        <v>1</v>
      </c>
      <c r="Y26" s="138">
        <v>1</v>
      </c>
      <c r="Z26" s="138">
        <v>1</v>
      </c>
      <c r="AA26" s="138"/>
      <c r="AB26" s="138"/>
      <c r="AC26" s="138"/>
      <c r="AD26" s="138"/>
      <c r="AE26" s="138">
        <v>1</v>
      </c>
      <c r="AF26" s="138">
        <v>1</v>
      </c>
      <c r="AG26" s="138">
        <v>1</v>
      </c>
      <c r="AH26" s="138"/>
      <c r="AI26" s="138"/>
      <c r="AJ26" s="138"/>
      <c r="AK26" s="138"/>
    </row>
    <row r="27" spans="1:37" ht="14.4">
      <c r="A27" s="181">
        <v>3</v>
      </c>
      <c r="B27" s="175" t="s">
        <v>245</v>
      </c>
      <c r="C27" s="138"/>
      <c r="D27" s="138"/>
      <c r="E27" s="138"/>
      <c r="F27" s="138"/>
      <c r="G27" s="138">
        <v>1</v>
      </c>
      <c r="H27" s="138">
        <v>1</v>
      </c>
      <c r="I27" s="138">
        <v>1</v>
      </c>
      <c r="J27" s="138">
        <v>1</v>
      </c>
      <c r="K27" s="138">
        <v>1</v>
      </c>
      <c r="L27" s="138">
        <v>1</v>
      </c>
      <c r="M27" s="138">
        <v>1</v>
      </c>
      <c r="N27" s="138">
        <v>1</v>
      </c>
      <c r="O27" s="138">
        <v>1</v>
      </c>
      <c r="P27" s="138"/>
      <c r="Q27" s="138"/>
      <c r="R27" s="138">
        <v>2</v>
      </c>
      <c r="S27" s="138">
        <v>1</v>
      </c>
      <c r="T27" s="138"/>
      <c r="U27" s="138">
        <v>1</v>
      </c>
      <c r="V27" s="138">
        <v>1</v>
      </c>
      <c r="W27" s="138">
        <v>1</v>
      </c>
      <c r="X27" s="138">
        <v>1</v>
      </c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</row>
    <row r="28" spans="1:37" ht="14.4">
      <c r="A28" s="181">
        <v>4</v>
      </c>
      <c r="B28" s="175" t="s">
        <v>246</v>
      </c>
      <c r="C28" s="138">
        <v>1</v>
      </c>
      <c r="D28" s="138">
        <v>1</v>
      </c>
      <c r="E28" s="138">
        <v>1</v>
      </c>
      <c r="F28" s="138">
        <v>1</v>
      </c>
      <c r="G28" s="138">
        <v>1</v>
      </c>
      <c r="H28" s="138">
        <v>1</v>
      </c>
      <c r="I28" s="138">
        <v>1</v>
      </c>
      <c r="J28" s="138">
        <v>1</v>
      </c>
      <c r="K28" s="138">
        <v>1</v>
      </c>
      <c r="L28" s="138">
        <v>1</v>
      </c>
      <c r="M28" s="138">
        <v>1</v>
      </c>
      <c r="N28" s="138">
        <v>1</v>
      </c>
      <c r="O28" s="138">
        <v>1</v>
      </c>
      <c r="P28" s="138">
        <v>1</v>
      </c>
      <c r="Q28" s="138"/>
      <c r="R28" s="138">
        <v>2</v>
      </c>
      <c r="S28" s="138"/>
      <c r="T28" s="138">
        <v>1</v>
      </c>
      <c r="U28" s="138">
        <v>1</v>
      </c>
      <c r="V28" s="138">
        <v>1</v>
      </c>
      <c r="W28" s="138">
        <v>1</v>
      </c>
      <c r="X28" s="138">
        <v>1</v>
      </c>
      <c r="Y28" s="138">
        <v>1</v>
      </c>
      <c r="Z28" s="138">
        <v>1</v>
      </c>
      <c r="AA28" s="138"/>
      <c r="AB28" s="138">
        <v>1</v>
      </c>
      <c r="AC28" s="138">
        <v>1</v>
      </c>
      <c r="AD28" s="138"/>
      <c r="AE28" s="138">
        <v>1</v>
      </c>
      <c r="AF28" s="138">
        <v>1</v>
      </c>
      <c r="AG28" s="138">
        <v>1</v>
      </c>
      <c r="AH28" s="138"/>
      <c r="AI28" s="138"/>
      <c r="AJ28" s="138"/>
      <c r="AK28" s="138"/>
    </row>
    <row r="29" spans="1:37" ht="14.4">
      <c r="A29" s="181">
        <v>5</v>
      </c>
      <c r="B29" s="175" t="s">
        <v>247</v>
      </c>
      <c r="C29" s="91">
        <v>1</v>
      </c>
      <c r="D29" s="91">
        <v>1</v>
      </c>
      <c r="E29" s="91">
        <v>1</v>
      </c>
      <c r="F29" s="91">
        <v>1</v>
      </c>
      <c r="G29" s="91">
        <v>1</v>
      </c>
      <c r="H29" s="91">
        <v>1</v>
      </c>
      <c r="I29" s="91">
        <v>1</v>
      </c>
      <c r="J29" s="91">
        <v>1</v>
      </c>
      <c r="K29" s="91"/>
      <c r="L29" s="91">
        <v>1</v>
      </c>
      <c r="M29" s="91">
        <v>1</v>
      </c>
      <c r="N29" s="91">
        <v>1</v>
      </c>
      <c r="O29" s="91">
        <v>1</v>
      </c>
      <c r="P29" s="91">
        <v>1</v>
      </c>
      <c r="Q29" s="91"/>
      <c r="R29" s="91">
        <v>2</v>
      </c>
      <c r="S29" s="91">
        <v>1</v>
      </c>
      <c r="T29" s="91"/>
      <c r="U29" s="91">
        <v>1</v>
      </c>
      <c r="V29" s="91">
        <v>1</v>
      </c>
      <c r="W29" s="91">
        <v>1</v>
      </c>
      <c r="X29" s="91">
        <v>1</v>
      </c>
      <c r="Y29" s="91">
        <v>1</v>
      </c>
      <c r="Z29" s="91">
        <v>1</v>
      </c>
      <c r="AA29" s="91"/>
      <c r="AB29" s="91">
        <v>1</v>
      </c>
      <c r="AC29" s="91">
        <v>1</v>
      </c>
      <c r="AD29" s="91">
        <v>1</v>
      </c>
      <c r="AE29" s="91"/>
      <c r="AF29" s="91">
        <v>1</v>
      </c>
      <c r="AG29" s="91">
        <v>1</v>
      </c>
      <c r="AH29" s="91"/>
      <c r="AI29" s="91"/>
      <c r="AJ29" s="91"/>
      <c r="AK29" s="91"/>
    </row>
    <row r="30" spans="1:37" ht="14.4">
      <c r="A30" s="181">
        <v>6</v>
      </c>
      <c r="B30" s="175" t="s">
        <v>248</v>
      </c>
      <c r="C30" s="138"/>
      <c r="D30" s="138">
        <v>1</v>
      </c>
      <c r="E30" s="138">
        <v>1</v>
      </c>
      <c r="F30" s="138">
        <v>1</v>
      </c>
      <c r="G30" s="138">
        <v>1</v>
      </c>
      <c r="H30" s="138">
        <v>1</v>
      </c>
      <c r="I30" s="138">
        <v>1</v>
      </c>
      <c r="J30" s="138">
        <v>1</v>
      </c>
      <c r="K30" s="138">
        <v>1</v>
      </c>
      <c r="L30" s="138">
        <v>1</v>
      </c>
      <c r="M30" s="138">
        <v>1</v>
      </c>
      <c r="N30" s="138">
        <v>1</v>
      </c>
      <c r="O30" s="138">
        <v>1</v>
      </c>
      <c r="P30" s="138">
        <v>1</v>
      </c>
      <c r="Q30" s="138"/>
      <c r="R30" s="138">
        <v>1</v>
      </c>
      <c r="S30" s="138">
        <v>1</v>
      </c>
      <c r="T30" s="138">
        <v>1</v>
      </c>
      <c r="U30" s="138">
        <v>1</v>
      </c>
      <c r="V30" s="138">
        <v>1</v>
      </c>
      <c r="W30" s="138">
        <v>1</v>
      </c>
      <c r="X30" s="138"/>
      <c r="Y30" s="138">
        <v>1</v>
      </c>
      <c r="Z30" s="138">
        <v>1</v>
      </c>
      <c r="AA30" s="138"/>
      <c r="AB30" s="138">
        <v>1</v>
      </c>
      <c r="AC30" s="138">
        <v>1</v>
      </c>
      <c r="AD30" s="138"/>
      <c r="AE30" s="138"/>
      <c r="AF30" s="138"/>
      <c r="AG30" s="138"/>
      <c r="AH30" s="138"/>
      <c r="AI30" s="138"/>
      <c r="AJ30" s="138"/>
      <c r="AK30" s="138"/>
    </row>
    <row r="31" spans="1:37" ht="14.4">
      <c r="A31" s="181">
        <v>7</v>
      </c>
      <c r="B31" s="175" t="s">
        <v>249</v>
      </c>
      <c r="C31" s="138"/>
      <c r="D31" s="138">
        <v>1</v>
      </c>
      <c r="E31" s="138">
        <v>1</v>
      </c>
      <c r="F31" s="138">
        <v>1</v>
      </c>
      <c r="G31" s="138"/>
      <c r="H31" s="138">
        <v>1</v>
      </c>
      <c r="I31" s="138">
        <v>1</v>
      </c>
      <c r="J31" s="138">
        <v>1</v>
      </c>
      <c r="K31" s="138"/>
      <c r="L31" s="138"/>
      <c r="M31" s="138">
        <v>1</v>
      </c>
      <c r="N31" s="138">
        <v>1</v>
      </c>
      <c r="O31" s="138">
        <v>1</v>
      </c>
      <c r="P31" s="138">
        <v>1</v>
      </c>
      <c r="Q31" s="138"/>
      <c r="R31" s="138">
        <v>1</v>
      </c>
      <c r="S31" s="138">
        <v>1</v>
      </c>
      <c r="T31" s="138">
        <v>1</v>
      </c>
      <c r="U31" s="138">
        <v>1</v>
      </c>
      <c r="V31" s="138">
        <v>1</v>
      </c>
      <c r="W31" s="138">
        <v>1</v>
      </c>
      <c r="X31" s="138"/>
      <c r="Y31" s="138"/>
      <c r="Z31" s="138">
        <v>1</v>
      </c>
      <c r="AA31" s="138"/>
      <c r="AB31" s="138">
        <v>1</v>
      </c>
      <c r="AC31" s="138">
        <v>1</v>
      </c>
      <c r="AD31" s="138">
        <v>1</v>
      </c>
      <c r="AE31" s="138"/>
      <c r="AF31" s="138"/>
      <c r="AG31" s="138">
        <v>1</v>
      </c>
      <c r="AH31" s="138"/>
      <c r="AI31" s="138"/>
      <c r="AJ31" s="138"/>
      <c r="AK31" s="138"/>
    </row>
    <row r="32" spans="1:37" ht="14.4">
      <c r="A32" s="181">
        <v>8</v>
      </c>
      <c r="B32" s="175" t="s">
        <v>250</v>
      </c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>
        <v>1</v>
      </c>
      <c r="AH32" s="138"/>
      <c r="AI32" s="138"/>
      <c r="AJ32" s="138"/>
      <c r="AK32" s="138"/>
    </row>
    <row r="33" spans="1:37" ht="14.4">
      <c r="A33" s="181">
        <v>9</v>
      </c>
      <c r="B33" s="175" t="s">
        <v>251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>
        <v>1</v>
      </c>
      <c r="AH33" s="138"/>
      <c r="AI33" s="138"/>
      <c r="AJ33" s="138"/>
      <c r="AK33" s="138"/>
    </row>
    <row r="34" spans="1:37" ht="14.4">
      <c r="A34" s="181">
        <v>10</v>
      </c>
      <c r="B34" s="175" t="s">
        <v>252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>
        <v>1</v>
      </c>
      <c r="AH34" s="138"/>
      <c r="AI34" s="138"/>
      <c r="AJ34" s="138"/>
      <c r="AK34" s="138"/>
    </row>
    <row r="35" spans="1:37" ht="14.4">
      <c r="A35" s="181">
        <v>11</v>
      </c>
      <c r="B35" s="175" t="s">
        <v>253</v>
      </c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>
        <v>1</v>
      </c>
      <c r="AH35" s="138"/>
      <c r="AI35" s="138"/>
      <c r="AJ35" s="138"/>
      <c r="AK35" s="138"/>
    </row>
    <row r="36" spans="1:37" ht="14.4">
      <c r="A36" s="181">
        <v>12</v>
      </c>
      <c r="B36" s="175" t="s">
        <v>254</v>
      </c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>
        <v>1</v>
      </c>
      <c r="AH36" s="138"/>
      <c r="AI36" s="138"/>
      <c r="AJ36" s="138"/>
      <c r="AK36" s="138"/>
    </row>
    <row r="37" spans="1:37" ht="14.4">
      <c r="A37" s="181"/>
      <c r="B37" s="175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</row>
    <row r="38" spans="1:37" ht="14.4">
      <c r="A38" s="181"/>
      <c r="B38" s="175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</row>
    <row r="39" spans="1:37" ht="14.4">
      <c r="A39" s="181"/>
      <c r="B39" s="175" t="s">
        <v>241</v>
      </c>
      <c r="C39" s="106">
        <v>6</v>
      </c>
      <c r="D39" s="106">
        <v>8</v>
      </c>
      <c r="E39" s="106">
        <v>8</v>
      </c>
      <c r="F39" s="106">
        <v>8</v>
      </c>
      <c r="G39" s="149">
        <v>7</v>
      </c>
      <c r="H39" s="149">
        <v>8</v>
      </c>
      <c r="I39" s="149">
        <v>8</v>
      </c>
      <c r="J39" s="149">
        <v>9</v>
      </c>
      <c r="K39" s="149">
        <v>7</v>
      </c>
      <c r="L39" s="149">
        <v>9</v>
      </c>
      <c r="M39" s="106">
        <v>10</v>
      </c>
      <c r="N39" s="106">
        <v>10</v>
      </c>
      <c r="O39" s="106">
        <v>7</v>
      </c>
      <c r="P39" s="106">
        <v>7</v>
      </c>
      <c r="Q39" s="106"/>
      <c r="R39" s="106">
        <v>16</v>
      </c>
      <c r="S39" s="106">
        <v>8</v>
      </c>
      <c r="T39" s="106">
        <v>5</v>
      </c>
      <c r="U39" s="106">
        <v>8</v>
      </c>
      <c r="V39" s="106">
        <v>10</v>
      </c>
      <c r="W39" s="106">
        <v>9</v>
      </c>
      <c r="X39" s="179">
        <v>5</v>
      </c>
      <c r="Y39" s="179">
        <v>5</v>
      </c>
      <c r="Z39" s="183">
        <v>6</v>
      </c>
      <c r="AA39" s="179"/>
      <c r="AB39" s="179">
        <v>5</v>
      </c>
      <c r="AC39" s="183">
        <v>5</v>
      </c>
      <c r="AD39" s="183">
        <v>3</v>
      </c>
      <c r="AE39" s="183">
        <v>3</v>
      </c>
      <c r="AF39" s="183">
        <v>4</v>
      </c>
      <c r="AG39" s="183"/>
      <c r="AH39" s="183"/>
      <c r="AI39" s="183"/>
      <c r="AJ39" s="183"/>
      <c r="AK39" s="183"/>
    </row>
    <row r="40" spans="1:37" ht="14.4">
      <c r="A40" s="184"/>
      <c r="B40" s="185"/>
      <c r="C40" s="98"/>
      <c r="D40" s="98"/>
      <c r="E40" s="98"/>
      <c r="F40" s="98"/>
      <c r="G40" s="99"/>
      <c r="H40" s="99"/>
      <c r="I40" s="99"/>
      <c r="J40" s="99"/>
      <c r="K40" s="99"/>
      <c r="L40" s="99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186"/>
      <c r="Y40" s="186"/>
      <c r="Z40" s="187"/>
      <c r="AA40" s="186"/>
      <c r="AB40" s="186"/>
      <c r="AC40" s="187"/>
      <c r="AD40" s="187"/>
      <c r="AE40" s="187"/>
      <c r="AF40" s="187"/>
      <c r="AG40" s="187"/>
      <c r="AH40" s="187"/>
      <c r="AI40" s="187"/>
      <c r="AJ40" s="187"/>
      <c r="AK40" s="187"/>
    </row>
    <row r="41" spans="1:37" ht="13.2"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>
        <v>21</v>
      </c>
      <c r="AC41" s="100"/>
      <c r="AD41" s="100"/>
      <c r="AE41" s="100"/>
      <c r="AF41" s="100">
        <v>15</v>
      </c>
      <c r="AG41" s="100"/>
      <c r="AH41" s="100"/>
      <c r="AI41" s="100"/>
      <c r="AJ41" s="100"/>
      <c r="AK41" s="100"/>
    </row>
    <row r="42" spans="1:37" ht="13.2"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99" t="s">
        <v>255</v>
      </c>
      <c r="AA42" s="99"/>
      <c r="AB42" s="99">
        <f>AB21+AB41</f>
        <v>47</v>
      </c>
      <c r="AC42" s="100"/>
      <c r="AD42" s="99" t="s">
        <v>255</v>
      </c>
      <c r="AE42" s="99"/>
      <c r="AF42" s="99">
        <v>40</v>
      </c>
      <c r="AG42" s="100"/>
      <c r="AH42" s="100"/>
      <c r="AI42" s="100"/>
      <c r="AJ42" s="100"/>
      <c r="AK42" s="100"/>
    </row>
    <row r="43" spans="1:37" ht="13.2"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95" t="s">
        <v>128</v>
      </c>
      <c r="AA43" s="95"/>
      <c r="AB43" s="95">
        <f>4000*AB42</f>
        <v>188000</v>
      </c>
      <c r="AC43" s="100"/>
      <c r="AD43" s="95" t="s">
        <v>128</v>
      </c>
      <c r="AE43" s="95"/>
      <c r="AF43" s="95">
        <f>4000*AF42</f>
        <v>160000</v>
      </c>
      <c r="AG43" s="100"/>
      <c r="AH43" s="100"/>
      <c r="AI43" s="100"/>
      <c r="AJ43" s="100"/>
      <c r="AK43" s="100"/>
    </row>
    <row r="44" spans="1:37" ht="13.2"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</row>
    <row r="45" spans="1:37" ht="13.2"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</row>
    <row r="46" spans="1:37" ht="13.2"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</row>
    <row r="47" spans="1:37" ht="13.2"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</row>
    <row r="48" spans="1:37" ht="13.2"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</row>
    <row r="49" spans="3:37" ht="13.2"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</row>
    <row r="50" spans="3:37" ht="13.2"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</row>
    <row r="51" spans="3:37" ht="13.2"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</row>
    <row r="52" spans="3:37" ht="13.2"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</row>
    <row r="53" spans="3:37" ht="13.2"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</row>
    <row r="54" spans="3:37" ht="13.2"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</row>
    <row r="55" spans="3:37" ht="13.2"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</row>
    <row r="56" spans="3:37" ht="13.2"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</row>
    <row r="57" spans="3:37" ht="13.2"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</row>
    <row r="58" spans="3:37" ht="13.2"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</row>
    <row r="59" spans="3:37" ht="13.2"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</row>
    <row r="60" spans="3:37" ht="13.2"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</row>
    <row r="61" spans="3:37" ht="13.2"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</row>
    <row r="62" spans="3:37" ht="13.2"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</row>
    <row r="63" spans="3:37" ht="13.2"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</row>
    <row r="64" spans="3:37" ht="13.2"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</row>
    <row r="65" spans="3:37" ht="13.2"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</row>
    <row r="66" spans="3:37" ht="13.2"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</row>
    <row r="67" spans="3:37" ht="13.2"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</row>
    <row r="68" spans="3:37" ht="13.2"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</row>
    <row r="69" spans="3:37" ht="13.2"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</row>
    <row r="70" spans="3:37" ht="13.2"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</row>
    <row r="71" spans="3:37" ht="13.2"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</row>
    <row r="72" spans="3:37" ht="13.2"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</row>
    <row r="73" spans="3:37" ht="13.2"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</row>
    <row r="74" spans="3:37" ht="13.2"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</row>
    <row r="75" spans="3:37" ht="13.2"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</row>
    <row r="76" spans="3:37" ht="13.2"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</row>
    <row r="77" spans="3:37" ht="13.2"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</row>
    <row r="78" spans="3:37" ht="13.2"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</row>
    <row r="79" spans="3:37" ht="13.2"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</row>
    <row r="80" spans="3:37" ht="13.2"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</row>
    <row r="81" spans="3:37" ht="13.2"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</row>
    <row r="82" spans="3:37" ht="13.2"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</row>
    <row r="83" spans="3:37" ht="13.2"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</row>
    <row r="84" spans="3:37" ht="13.2"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</row>
    <row r="85" spans="3:37" ht="13.2"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</row>
    <row r="86" spans="3:37" ht="13.2"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</row>
    <row r="87" spans="3:37" ht="13.2"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</row>
    <row r="88" spans="3:37" ht="13.2"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</row>
    <row r="89" spans="3:37" ht="13.2"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</row>
    <row r="90" spans="3:37" ht="13.2"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</row>
    <row r="91" spans="3:37" ht="13.2"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</row>
    <row r="92" spans="3:37" ht="13.2"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</row>
    <row r="93" spans="3:37" ht="13.2"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</row>
    <row r="94" spans="3:37" ht="13.2"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</row>
    <row r="95" spans="3:37" ht="13.2"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</row>
    <row r="96" spans="3:37" ht="13.2"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</row>
    <row r="97" spans="3:37" ht="13.2"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</row>
    <row r="98" spans="3:37" ht="13.2"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</row>
    <row r="99" spans="3:37" ht="13.2"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</row>
    <row r="100" spans="3:37" ht="13.2"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</row>
    <row r="101" spans="3:37" ht="13.2"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</row>
    <row r="102" spans="3:37" ht="13.2"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</row>
    <row r="103" spans="3:37" ht="13.2"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</row>
    <row r="104" spans="3:37" ht="13.2"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</row>
    <row r="105" spans="3:37" ht="13.2"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</row>
    <row r="106" spans="3:37" ht="13.2"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</row>
    <row r="107" spans="3:37" ht="13.2"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</row>
    <row r="108" spans="3:37" ht="13.2"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</row>
    <row r="109" spans="3:37" ht="13.2"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</row>
    <row r="110" spans="3:37" ht="13.2"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</row>
    <row r="111" spans="3:37" ht="13.2"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</row>
    <row r="112" spans="3:37" ht="13.2"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</row>
    <row r="113" spans="3:37" ht="13.2"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</row>
    <row r="114" spans="3:37" ht="13.2"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</row>
    <row r="115" spans="3:37" ht="13.2"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</row>
    <row r="116" spans="3:37" ht="13.2"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</row>
    <row r="117" spans="3:37" ht="13.2"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</row>
    <row r="118" spans="3:37" ht="13.2"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</row>
    <row r="119" spans="3:37" ht="13.2"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</row>
    <row r="120" spans="3:37" ht="13.2"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</row>
    <row r="121" spans="3:37" ht="13.2"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</row>
    <row r="122" spans="3:37" ht="13.2"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</row>
    <row r="123" spans="3:37" ht="13.2"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</row>
    <row r="124" spans="3:37" ht="13.2"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</row>
    <row r="125" spans="3:37" ht="13.2"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</row>
    <row r="126" spans="3:37" ht="13.2"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</row>
    <row r="127" spans="3:37" ht="13.2"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</row>
    <row r="128" spans="3:37" ht="13.2"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</row>
    <row r="129" spans="3:37" ht="13.2"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</row>
    <row r="130" spans="3:37" ht="13.2"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</row>
    <row r="131" spans="3:37" ht="13.2"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</row>
    <row r="132" spans="3:37" ht="13.2"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</row>
    <row r="133" spans="3:37" ht="13.2"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</row>
    <row r="134" spans="3:37" ht="13.2"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</row>
    <row r="135" spans="3:37" ht="13.2"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</row>
    <row r="136" spans="3:37" ht="13.2"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</row>
    <row r="137" spans="3:37" ht="13.2"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</row>
    <row r="138" spans="3:37" ht="13.2"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</row>
    <row r="139" spans="3:37" ht="13.2"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</row>
    <row r="140" spans="3:37" ht="13.2"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</row>
    <row r="141" spans="3:37" ht="13.2"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</row>
    <row r="142" spans="3:37" ht="13.2"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</row>
    <row r="143" spans="3:37" ht="13.2"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</row>
    <row r="144" spans="3:37" ht="13.2"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</row>
    <row r="145" spans="3:37" ht="13.2"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</row>
    <row r="146" spans="3:37" ht="13.2"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</row>
    <row r="147" spans="3:37" ht="13.2"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</row>
    <row r="148" spans="3:37" ht="13.2"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</row>
    <row r="149" spans="3:37" ht="13.2"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</row>
    <row r="150" spans="3:37" ht="13.2"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</row>
    <row r="151" spans="3:37" ht="13.2"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</row>
    <row r="152" spans="3:37" ht="13.2"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</row>
    <row r="153" spans="3:37" ht="13.2"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</row>
    <row r="154" spans="3:37" ht="13.2"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</row>
    <row r="155" spans="3:37" ht="13.2"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</row>
    <row r="156" spans="3:37" ht="13.2"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</row>
    <row r="157" spans="3:37" ht="13.2"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</row>
    <row r="158" spans="3:37" ht="13.2"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</row>
    <row r="159" spans="3:37" ht="13.2"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</row>
    <row r="160" spans="3:37" ht="13.2"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</row>
    <row r="161" spans="3:37" ht="13.2"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</row>
    <row r="162" spans="3:37" ht="13.2"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</row>
    <row r="163" spans="3:37" ht="13.2"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</row>
    <row r="164" spans="3:37" ht="13.2"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</row>
    <row r="165" spans="3:37" ht="13.2"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</row>
    <row r="166" spans="3:37" ht="13.2"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</row>
    <row r="167" spans="3:37" ht="13.2"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</row>
    <row r="168" spans="3:37" ht="13.2"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</row>
    <row r="169" spans="3:37" ht="13.2"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</row>
    <row r="170" spans="3:37" ht="13.2"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</row>
    <row r="171" spans="3:37" ht="13.2"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</row>
    <row r="172" spans="3:37" ht="13.2"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</row>
    <row r="173" spans="3:37" ht="13.2"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</row>
    <row r="174" spans="3:37" ht="13.2"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</row>
    <row r="175" spans="3:37" ht="13.2"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</row>
    <row r="176" spans="3:37" ht="13.2"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</row>
    <row r="177" spans="3:37" ht="13.2"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</row>
    <row r="178" spans="3:37" ht="13.2"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</row>
    <row r="179" spans="3:37" ht="13.2"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</row>
    <row r="180" spans="3:37" ht="13.2"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</row>
    <row r="181" spans="3:37" ht="13.2"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</row>
    <row r="182" spans="3:37" ht="13.2"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</row>
    <row r="183" spans="3:37" ht="13.2"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</row>
    <row r="184" spans="3:37" ht="13.2"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</row>
    <row r="185" spans="3:37" ht="13.2"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</row>
    <row r="186" spans="3:37" ht="13.2"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</row>
    <row r="187" spans="3:37" ht="13.2"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</row>
    <row r="188" spans="3:37" ht="13.2"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</row>
    <row r="189" spans="3:37" ht="13.2"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</row>
    <row r="190" spans="3:37" ht="13.2"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</row>
    <row r="191" spans="3:37" ht="13.2"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</row>
    <row r="192" spans="3:37" ht="13.2"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</row>
    <row r="193" spans="3:37" ht="13.2"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</row>
    <row r="194" spans="3:37" ht="13.2"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</row>
    <row r="195" spans="3:37" ht="13.2"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</row>
    <row r="196" spans="3:37" ht="13.2"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</row>
    <row r="197" spans="3:37" ht="13.2"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</row>
    <row r="198" spans="3:37" ht="13.2"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</row>
    <row r="199" spans="3:37" ht="13.2"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</row>
    <row r="200" spans="3:37" ht="13.2"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</row>
    <row r="201" spans="3:37" ht="13.2"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</row>
    <row r="202" spans="3:37" ht="13.2"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</row>
    <row r="203" spans="3:37" ht="13.2"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</row>
    <row r="204" spans="3:37" ht="13.2"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</row>
    <row r="205" spans="3:37" ht="13.2"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</row>
    <row r="206" spans="3:37" ht="13.2"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</row>
    <row r="207" spans="3:37" ht="13.2"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</row>
    <row r="208" spans="3:37" ht="13.2"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</row>
    <row r="209" spans="3:37" ht="13.2"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</row>
    <row r="210" spans="3:37" ht="13.2"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</row>
    <row r="211" spans="3:37" ht="13.2"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</row>
    <row r="212" spans="3:37" ht="13.2"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</row>
    <row r="213" spans="3:37" ht="13.2"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</row>
    <row r="214" spans="3:37" ht="13.2"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</row>
    <row r="215" spans="3:37" ht="13.2"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</row>
    <row r="216" spans="3:37" ht="13.2"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</row>
    <row r="217" spans="3:37" ht="13.2"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</row>
    <row r="218" spans="3:37" ht="13.2"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</row>
    <row r="219" spans="3:37" ht="13.2"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</row>
    <row r="220" spans="3:37" ht="13.2"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</row>
    <row r="221" spans="3:37" ht="13.2"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</row>
    <row r="222" spans="3:37" ht="13.2"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</row>
    <row r="223" spans="3:37" ht="13.2"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</row>
    <row r="224" spans="3:37" ht="13.2"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</row>
    <row r="225" spans="3:37" ht="13.2"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</row>
    <row r="226" spans="3:37" ht="13.2"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</row>
    <row r="227" spans="3:37" ht="13.2"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</row>
    <row r="228" spans="3:37" ht="13.2"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</row>
    <row r="229" spans="3:37" ht="13.2"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</row>
    <row r="230" spans="3:37" ht="13.2"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</row>
    <row r="231" spans="3:37" ht="13.2"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</row>
    <row r="232" spans="3:37" ht="13.2"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</row>
    <row r="233" spans="3:37" ht="13.2"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</row>
    <row r="234" spans="3:37" ht="13.2"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</row>
    <row r="235" spans="3:37" ht="13.2"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</row>
    <row r="236" spans="3:37" ht="13.2"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</row>
    <row r="237" spans="3:37" ht="13.2"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</row>
    <row r="238" spans="3:37" ht="13.2"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</row>
    <row r="239" spans="3:37" ht="13.2"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</row>
    <row r="240" spans="3:37" ht="13.2"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</row>
    <row r="241" spans="3:37" ht="13.2"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</row>
    <row r="242" spans="3:37" ht="13.2"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</row>
    <row r="243" spans="3:37" ht="13.2"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</row>
    <row r="244" spans="3:37" ht="13.2"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</row>
    <row r="245" spans="3:37" ht="13.2"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</row>
    <row r="246" spans="3:37" ht="13.2"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</row>
    <row r="247" spans="3:37" ht="13.2"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</row>
    <row r="248" spans="3:37" ht="13.2"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</row>
    <row r="249" spans="3:37" ht="13.2"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</row>
    <row r="250" spans="3:37" ht="13.2"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</row>
    <row r="251" spans="3:37" ht="13.2"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</row>
    <row r="252" spans="3:37" ht="13.2"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</row>
    <row r="253" spans="3:37" ht="13.2"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</row>
    <row r="254" spans="3:37" ht="13.2"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</row>
    <row r="255" spans="3:37" ht="13.2"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</row>
    <row r="256" spans="3:37" ht="13.2"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</row>
    <row r="257" spans="3:37" ht="13.2"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</row>
    <row r="258" spans="3:37" ht="13.2"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</row>
    <row r="259" spans="3:37" ht="13.2"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</row>
    <row r="260" spans="3:37" ht="13.2"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</row>
    <row r="261" spans="3:37" ht="13.2"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</row>
    <row r="262" spans="3:37" ht="13.2"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</row>
    <row r="263" spans="3:37" ht="13.2"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</row>
    <row r="264" spans="3:37" ht="13.2"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</row>
    <row r="265" spans="3:37" ht="13.2"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</row>
    <row r="266" spans="3:37" ht="13.2"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</row>
    <row r="267" spans="3:37" ht="13.2"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</row>
    <row r="268" spans="3:37" ht="13.2"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</row>
    <row r="269" spans="3:37" ht="13.2"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</row>
    <row r="270" spans="3:37" ht="13.2"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</row>
    <row r="271" spans="3:37" ht="13.2"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</row>
    <row r="272" spans="3:37" ht="13.2"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</row>
    <row r="273" spans="3:37" ht="13.2"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</row>
    <row r="274" spans="3:37" ht="13.2"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</row>
    <row r="275" spans="3:37" ht="13.2"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</row>
    <row r="276" spans="3:37" ht="13.2"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</row>
    <row r="277" spans="3:37" ht="13.2"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</row>
    <row r="278" spans="3:37" ht="13.2"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</row>
    <row r="279" spans="3:37" ht="13.2"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</row>
    <row r="280" spans="3:37" ht="13.2"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</row>
    <row r="281" spans="3:37" ht="13.2"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</row>
    <row r="282" spans="3:37" ht="13.2"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</row>
    <row r="283" spans="3:37" ht="13.2"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</row>
    <row r="284" spans="3:37" ht="13.2"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</row>
    <row r="285" spans="3:37" ht="13.2"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</row>
    <row r="286" spans="3:37" ht="13.2"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</row>
    <row r="287" spans="3:37" ht="13.2"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</row>
    <row r="288" spans="3:37" ht="13.2"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</row>
    <row r="289" spans="3:37" ht="13.2"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</row>
    <row r="290" spans="3:37" ht="13.2"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</row>
    <row r="291" spans="3:37" ht="13.2"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</row>
    <row r="292" spans="3:37" ht="13.2"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</row>
    <row r="293" spans="3:37" ht="13.2"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</row>
    <row r="294" spans="3:37" ht="13.2"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</row>
    <row r="295" spans="3:37" ht="13.2"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</row>
    <row r="296" spans="3:37" ht="13.2"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</row>
    <row r="297" spans="3:37" ht="13.2"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</row>
    <row r="298" spans="3:37" ht="13.2"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</row>
    <row r="299" spans="3:37" ht="13.2"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</row>
    <row r="300" spans="3:37" ht="13.2"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</row>
    <row r="301" spans="3:37" ht="13.2"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</row>
    <row r="302" spans="3:37" ht="13.2"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</row>
    <row r="303" spans="3:37" ht="13.2"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</row>
    <row r="304" spans="3:37" ht="13.2"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</row>
    <row r="305" spans="3:37" ht="13.2"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</row>
    <row r="306" spans="3:37" ht="13.2"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</row>
    <row r="307" spans="3:37" ht="13.2"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</row>
    <row r="308" spans="3:37" ht="13.2"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</row>
    <row r="309" spans="3:37" ht="13.2"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</row>
    <row r="310" spans="3:37" ht="13.2"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</row>
    <row r="311" spans="3:37" ht="13.2"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</row>
    <row r="312" spans="3:37" ht="13.2"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</row>
    <row r="313" spans="3:37" ht="13.2"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</row>
    <row r="314" spans="3:37" ht="13.2"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</row>
    <row r="315" spans="3:37" ht="13.2"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</row>
    <row r="316" spans="3:37" ht="13.2"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</row>
    <row r="317" spans="3:37" ht="13.2"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</row>
    <row r="318" spans="3:37" ht="13.2"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</row>
    <row r="319" spans="3:37" ht="13.2"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</row>
    <row r="320" spans="3:37" ht="13.2"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</row>
    <row r="321" spans="3:37" ht="13.2"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</row>
    <row r="322" spans="3:37" ht="13.2"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</row>
    <row r="323" spans="3:37" ht="13.2"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</row>
    <row r="324" spans="3:37" ht="13.2"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</row>
    <row r="325" spans="3:37" ht="13.2"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</row>
    <row r="326" spans="3:37" ht="13.2"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</row>
    <row r="327" spans="3:37" ht="13.2"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</row>
    <row r="328" spans="3:37" ht="13.2"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</row>
    <row r="329" spans="3:37" ht="13.2"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</row>
    <row r="330" spans="3:37" ht="13.2"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</row>
    <row r="331" spans="3:37" ht="13.2"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</row>
    <row r="332" spans="3:37" ht="13.2"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</row>
    <row r="333" spans="3:37" ht="13.2"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</row>
    <row r="334" spans="3:37" ht="13.2"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</row>
    <row r="335" spans="3:37" ht="13.2"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</row>
    <row r="336" spans="3:37" ht="13.2"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</row>
    <row r="337" spans="3:37" ht="13.2"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</row>
    <row r="338" spans="3:37" ht="13.2"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</row>
    <row r="339" spans="3:37" ht="13.2"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</row>
    <row r="340" spans="3:37" ht="13.2"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</row>
    <row r="341" spans="3:37" ht="13.2"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</row>
    <row r="342" spans="3:37" ht="13.2"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</row>
    <row r="343" spans="3:37" ht="13.2"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</row>
    <row r="344" spans="3:37" ht="13.2"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</row>
    <row r="345" spans="3:37" ht="13.2"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</row>
    <row r="346" spans="3:37" ht="13.2"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</row>
    <row r="347" spans="3:37" ht="13.2"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</row>
    <row r="348" spans="3:37" ht="13.2"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</row>
    <row r="349" spans="3:37" ht="13.2"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</row>
    <row r="350" spans="3:37" ht="13.2"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</row>
    <row r="351" spans="3:37" ht="13.2"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</row>
    <row r="352" spans="3:37" ht="13.2"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</row>
    <row r="353" spans="3:37" ht="13.2"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</row>
    <row r="354" spans="3:37" ht="13.2"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</row>
    <row r="355" spans="3:37" ht="13.2"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</row>
    <row r="356" spans="3:37" ht="13.2"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</row>
    <row r="357" spans="3:37" ht="13.2"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</row>
    <row r="358" spans="3:37" ht="13.2"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</row>
    <row r="359" spans="3:37" ht="13.2"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</row>
    <row r="360" spans="3:37" ht="13.2"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</row>
    <row r="361" spans="3:37" ht="13.2"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</row>
    <row r="362" spans="3:37" ht="13.2"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</row>
    <row r="363" spans="3:37" ht="13.2"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</row>
    <row r="364" spans="3:37" ht="13.2"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</row>
    <row r="365" spans="3:37" ht="13.2"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</row>
    <row r="366" spans="3:37" ht="13.2"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</row>
    <row r="367" spans="3:37" ht="13.2"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</row>
    <row r="368" spans="3:37" ht="13.2"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</row>
    <row r="369" spans="3:37" ht="13.2"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</row>
    <row r="370" spans="3:37" ht="13.2"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</row>
    <row r="371" spans="3:37" ht="13.2"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</row>
    <row r="372" spans="3:37" ht="13.2"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</row>
    <row r="373" spans="3:37" ht="13.2"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</row>
    <row r="374" spans="3:37" ht="13.2"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</row>
    <row r="375" spans="3:37" ht="13.2"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</row>
    <row r="376" spans="3:37" ht="13.2"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</row>
    <row r="377" spans="3:37" ht="13.2"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</row>
    <row r="378" spans="3:37" ht="13.2"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</row>
    <row r="379" spans="3:37" ht="13.2"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</row>
    <row r="380" spans="3:37" ht="13.2"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</row>
    <row r="381" spans="3:37" ht="13.2"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</row>
    <row r="382" spans="3:37" ht="13.2"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</row>
    <row r="383" spans="3:37" ht="13.2"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</row>
    <row r="384" spans="3:37" ht="13.2"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</row>
    <row r="385" spans="3:37" ht="13.2"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</row>
    <row r="386" spans="3:37" ht="13.2"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</row>
    <row r="387" spans="3:37" ht="13.2"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</row>
    <row r="388" spans="3:37" ht="13.2"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</row>
    <row r="389" spans="3:37" ht="13.2"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</row>
    <row r="390" spans="3:37" ht="13.2"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</row>
    <row r="391" spans="3:37" ht="13.2"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</row>
    <row r="392" spans="3:37" ht="13.2"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</row>
    <row r="393" spans="3:37" ht="13.2"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</row>
    <row r="394" spans="3:37" ht="13.2"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</row>
    <row r="395" spans="3:37" ht="13.2"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</row>
    <row r="396" spans="3:37" ht="13.2"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</row>
    <row r="397" spans="3:37" ht="13.2"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</row>
    <row r="398" spans="3:37" ht="13.2"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</row>
    <row r="399" spans="3:37" ht="13.2"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</row>
    <row r="400" spans="3:37" ht="13.2"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</row>
    <row r="401" spans="3:37" ht="13.2"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</row>
    <row r="402" spans="3:37" ht="13.2"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</row>
    <row r="403" spans="3:37" ht="13.2"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</row>
    <row r="404" spans="3:37" ht="13.2"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</row>
    <row r="405" spans="3:37" ht="13.2"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</row>
    <row r="406" spans="3:37" ht="13.2"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</row>
    <row r="407" spans="3:37" ht="13.2"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</row>
    <row r="408" spans="3:37" ht="13.2"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</row>
    <row r="409" spans="3:37" ht="13.2"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</row>
    <row r="410" spans="3:37" ht="13.2"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</row>
    <row r="411" spans="3:37" ht="13.2"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</row>
    <row r="412" spans="3:37" ht="13.2"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</row>
    <row r="413" spans="3:37" ht="13.2"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</row>
    <row r="414" spans="3:37" ht="13.2"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</row>
    <row r="415" spans="3:37" ht="13.2"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</row>
    <row r="416" spans="3:37" ht="13.2"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</row>
    <row r="417" spans="3:37" ht="13.2"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</row>
    <row r="418" spans="3:37" ht="13.2"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</row>
    <row r="419" spans="3:37" ht="13.2"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</row>
    <row r="420" spans="3:37" ht="13.2"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</row>
    <row r="421" spans="3:37" ht="13.2"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</row>
    <row r="422" spans="3:37" ht="13.2"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</row>
    <row r="423" spans="3:37" ht="13.2"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</row>
    <row r="424" spans="3:37" ht="13.2"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</row>
    <row r="425" spans="3:37" ht="13.2"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</row>
    <row r="426" spans="3:37" ht="13.2"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</row>
    <row r="427" spans="3:37" ht="13.2"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</row>
    <row r="428" spans="3:37" ht="13.2"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</row>
    <row r="429" spans="3:37" ht="13.2"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</row>
    <row r="430" spans="3:37" ht="13.2"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</row>
    <row r="431" spans="3:37" ht="13.2"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</row>
    <row r="432" spans="3:37" ht="13.2"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</row>
    <row r="433" spans="3:37" ht="13.2"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</row>
    <row r="434" spans="3:37" ht="13.2"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</row>
    <row r="435" spans="3:37" ht="13.2"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</row>
    <row r="436" spans="3:37" ht="13.2"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</row>
    <row r="437" spans="3:37" ht="13.2"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</row>
    <row r="438" spans="3:37" ht="13.2"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</row>
    <row r="439" spans="3:37" ht="13.2"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</row>
    <row r="440" spans="3:37" ht="13.2"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</row>
    <row r="441" spans="3:37" ht="13.2"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</row>
    <row r="442" spans="3:37" ht="13.2"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</row>
    <row r="443" spans="3:37" ht="13.2"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</row>
    <row r="444" spans="3:37" ht="13.2"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</row>
    <row r="445" spans="3:37" ht="13.2"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</row>
    <row r="446" spans="3:37" ht="13.2"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</row>
    <row r="447" spans="3:37" ht="13.2"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</row>
    <row r="448" spans="3:37" ht="13.2"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</row>
    <row r="449" spans="3:37" ht="13.2"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</row>
    <row r="450" spans="3:37" ht="13.2"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</row>
    <row r="451" spans="3:37" ht="13.2"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</row>
    <row r="452" spans="3:37" ht="13.2"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</row>
    <row r="453" spans="3:37" ht="13.2"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</row>
    <row r="454" spans="3:37" ht="13.2"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</row>
    <row r="455" spans="3:37" ht="13.2"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</row>
    <row r="456" spans="3:37" ht="13.2"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</row>
    <row r="457" spans="3:37" ht="13.2"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</row>
    <row r="458" spans="3:37" ht="13.2"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</row>
    <row r="459" spans="3:37" ht="13.2"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</row>
    <row r="460" spans="3:37" ht="13.2"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</row>
    <row r="461" spans="3:37" ht="13.2"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</row>
    <row r="462" spans="3:37" ht="13.2"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</row>
    <row r="463" spans="3:37" ht="13.2"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</row>
    <row r="464" spans="3:37" ht="13.2"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</row>
    <row r="465" spans="3:37" ht="13.2"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</row>
    <row r="466" spans="3:37" ht="13.2"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</row>
    <row r="467" spans="3:37" ht="13.2"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</row>
    <row r="468" spans="3:37" ht="13.2"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</row>
    <row r="469" spans="3:37" ht="13.2"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</row>
    <row r="470" spans="3:37" ht="13.2"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</row>
    <row r="471" spans="3:37" ht="13.2"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</row>
    <row r="472" spans="3:37" ht="13.2"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</row>
    <row r="473" spans="3:37" ht="13.2"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</row>
    <row r="474" spans="3:37" ht="13.2"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</row>
    <row r="475" spans="3:37" ht="13.2"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</row>
    <row r="476" spans="3:37" ht="13.2"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</row>
    <row r="477" spans="3:37" ht="13.2"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</row>
    <row r="478" spans="3:37" ht="13.2"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</row>
    <row r="479" spans="3:37" ht="13.2"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</row>
    <row r="480" spans="3:37" ht="13.2"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</row>
    <row r="481" spans="3:37" ht="13.2"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</row>
    <row r="482" spans="3:37" ht="13.2"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</row>
    <row r="483" spans="3:37" ht="13.2"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</row>
    <row r="484" spans="3:37" ht="13.2"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</row>
    <row r="485" spans="3:37" ht="13.2"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</row>
    <row r="486" spans="3:37" ht="13.2"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</row>
    <row r="487" spans="3:37" ht="13.2"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</row>
    <row r="488" spans="3:37" ht="13.2"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</row>
    <row r="489" spans="3:37" ht="13.2"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</row>
    <row r="490" spans="3:37" ht="13.2"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</row>
    <row r="491" spans="3:37" ht="13.2"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</row>
    <row r="492" spans="3:37" ht="13.2"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</row>
    <row r="493" spans="3:37" ht="13.2"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</row>
    <row r="494" spans="3:37" ht="13.2"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</row>
    <row r="495" spans="3:37" ht="13.2"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</row>
    <row r="496" spans="3:37" ht="13.2"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</row>
    <row r="497" spans="3:37" ht="13.2"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</row>
    <row r="498" spans="3:37" ht="13.2"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</row>
    <row r="499" spans="3:37" ht="13.2"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</row>
    <row r="500" spans="3:37" ht="13.2"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</row>
    <row r="501" spans="3:37" ht="13.2"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</row>
    <row r="502" spans="3:37" ht="13.2"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</row>
    <row r="503" spans="3:37" ht="13.2"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</row>
    <row r="504" spans="3:37" ht="13.2"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</row>
    <row r="505" spans="3:37" ht="13.2"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</row>
    <row r="506" spans="3:37" ht="13.2"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</row>
    <row r="507" spans="3:37" ht="13.2"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</row>
    <row r="508" spans="3:37" ht="13.2"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</row>
    <row r="509" spans="3:37" ht="13.2"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</row>
    <row r="510" spans="3:37" ht="13.2"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</row>
    <row r="511" spans="3:37" ht="13.2"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</row>
    <row r="512" spans="3:37" ht="13.2"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</row>
    <row r="513" spans="3:37" ht="13.2"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</row>
    <row r="514" spans="3:37" ht="13.2"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</row>
    <row r="515" spans="3:37" ht="13.2"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</row>
    <row r="516" spans="3:37" ht="13.2"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</row>
    <row r="517" spans="3:37" ht="13.2"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</row>
    <row r="518" spans="3:37" ht="13.2"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</row>
    <row r="519" spans="3:37" ht="13.2"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</row>
    <row r="520" spans="3:37" ht="13.2"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</row>
    <row r="521" spans="3:37" ht="13.2"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</row>
    <row r="522" spans="3:37" ht="13.2"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</row>
    <row r="523" spans="3:37" ht="13.2"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</row>
    <row r="524" spans="3:37" ht="13.2"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</row>
    <row r="525" spans="3:37" ht="13.2"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</row>
    <row r="526" spans="3:37" ht="13.2"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</row>
    <row r="527" spans="3:37" ht="13.2"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</row>
    <row r="528" spans="3:37" ht="13.2"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</row>
    <row r="529" spans="3:37" ht="13.2"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</row>
    <row r="530" spans="3:37" ht="13.2"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</row>
    <row r="531" spans="3:37" ht="13.2"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</row>
    <row r="532" spans="3:37" ht="13.2"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</row>
    <row r="533" spans="3:37" ht="13.2"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</row>
    <row r="534" spans="3:37" ht="13.2"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</row>
    <row r="535" spans="3:37" ht="13.2"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</row>
    <row r="536" spans="3:37" ht="13.2"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</row>
    <row r="537" spans="3:37" ht="13.2"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</row>
    <row r="538" spans="3:37" ht="13.2"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</row>
    <row r="539" spans="3:37" ht="13.2"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</row>
    <row r="540" spans="3:37" ht="13.2"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</row>
    <row r="541" spans="3:37" ht="13.2"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</row>
    <row r="542" spans="3:37" ht="13.2"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</row>
    <row r="543" spans="3:37" ht="13.2"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</row>
    <row r="544" spans="3:37" ht="13.2"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</row>
    <row r="545" spans="3:37" ht="13.2"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</row>
    <row r="546" spans="3:37" ht="13.2"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</row>
    <row r="547" spans="3:37" ht="13.2"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</row>
    <row r="548" spans="3:37" ht="13.2"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</row>
    <row r="549" spans="3:37" ht="13.2"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</row>
    <row r="550" spans="3:37" ht="13.2"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</row>
    <row r="551" spans="3:37" ht="13.2"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</row>
    <row r="552" spans="3:37" ht="13.2"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</row>
    <row r="553" spans="3:37" ht="13.2"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</row>
    <row r="554" spans="3:37" ht="13.2"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</row>
    <row r="555" spans="3:37" ht="13.2"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</row>
    <row r="556" spans="3:37" ht="13.2"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</row>
    <row r="557" spans="3:37" ht="13.2"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</row>
    <row r="558" spans="3:37" ht="13.2"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</row>
    <row r="559" spans="3:37" ht="13.2"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</row>
    <row r="560" spans="3:37" ht="13.2"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</row>
    <row r="561" spans="3:37" ht="13.2"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</row>
    <row r="562" spans="3:37" ht="13.2"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</row>
    <row r="563" spans="3:37" ht="13.2"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</row>
    <row r="564" spans="3:37" ht="13.2"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</row>
    <row r="565" spans="3:37" ht="13.2"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</row>
    <row r="566" spans="3:37" ht="13.2"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</row>
    <row r="567" spans="3:37" ht="13.2"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</row>
    <row r="568" spans="3:37" ht="13.2"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</row>
    <row r="569" spans="3:37" ht="13.2"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</row>
    <row r="570" spans="3:37" ht="13.2"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</row>
    <row r="571" spans="3:37" ht="13.2"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</row>
    <row r="572" spans="3:37" ht="13.2"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</row>
    <row r="573" spans="3:37" ht="13.2"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</row>
    <row r="574" spans="3:37" ht="13.2"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</row>
    <row r="575" spans="3:37" ht="13.2"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</row>
    <row r="576" spans="3:37" ht="13.2"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</row>
    <row r="577" spans="3:37" ht="13.2"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</row>
    <row r="578" spans="3:37" ht="13.2"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</row>
    <row r="579" spans="3:37" ht="13.2"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</row>
    <row r="580" spans="3:37" ht="13.2"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</row>
    <row r="581" spans="3:37" ht="13.2"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</row>
    <row r="582" spans="3:37" ht="13.2"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</row>
    <row r="583" spans="3:37" ht="13.2"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</row>
    <row r="584" spans="3:37" ht="13.2"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</row>
    <row r="585" spans="3:37" ht="13.2"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</row>
    <row r="586" spans="3:37" ht="13.2"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</row>
    <row r="587" spans="3:37" ht="13.2"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</row>
    <row r="588" spans="3:37" ht="13.2"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</row>
    <row r="589" spans="3:37" ht="13.2"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</row>
    <row r="590" spans="3:37" ht="13.2"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</row>
    <row r="591" spans="3:37" ht="13.2"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</row>
    <row r="592" spans="3:37" ht="13.2"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</row>
    <row r="593" spans="3:37" ht="13.2"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</row>
    <row r="594" spans="3:37" ht="13.2"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</row>
    <row r="595" spans="3:37" ht="13.2"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</row>
    <row r="596" spans="3:37" ht="13.2"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</row>
    <row r="597" spans="3:37" ht="13.2"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</row>
    <row r="598" spans="3:37" ht="13.2"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</row>
    <row r="599" spans="3:37" ht="13.2"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</row>
    <row r="600" spans="3:37" ht="13.2"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</row>
    <row r="601" spans="3:37" ht="13.2"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</row>
    <row r="602" spans="3:37" ht="13.2"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</row>
    <row r="603" spans="3:37" ht="13.2"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</row>
    <row r="604" spans="3:37" ht="13.2"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</row>
    <row r="605" spans="3:37" ht="13.2"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</row>
    <row r="606" spans="3:37" ht="13.2"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</row>
    <row r="607" spans="3:37" ht="13.2"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</row>
    <row r="608" spans="3:37" ht="13.2"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</row>
    <row r="609" spans="3:37" ht="13.2"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</row>
    <row r="610" spans="3:37" ht="13.2"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</row>
    <row r="611" spans="3:37" ht="13.2"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</row>
    <row r="612" spans="3:37" ht="13.2"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</row>
    <row r="613" spans="3:37" ht="13.2"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</row>
    <row r="614" spans="3:37" ht="13.2"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</row>
    <row r="615" spans="3:37" ht="13.2"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</row>
    <row r="616" spans="3:37" ht="13.2"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</row>
    <row r="617" spans="3:37" ht="13.2"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</row>
    <row r="618" spans="3:37" ht="13.2"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</row>
    <row r="619" spans="3:37" ht="13.2"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</row>
    <row r="620" spans="3:37" ht="13.2"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</row>
    <row r="621" spans="3:37" ht="13.2"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</row>
    <row r="622" spans="3:37" ht="13.2"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</row>
    <row r="623" spans="3:37" ht="13.2"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</row>
    <row r="624" spans="3:37" ht="13.2"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</row>
    <row r="625" spans="3:37" ht="13.2"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</row>
    <row r="626" spans="3:37" ht="13.2"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</row>
    <row r="627" spans="3:37" ht="13.2"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</row>
    <row r="628" spans="3:37" ht="13.2"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</row>
    <row r="629" spans="3:37" ht="13.2"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</row>
    <row r="630" spans="3:37" ht="13.2"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</row>
    <row r="631" spans="3:37" ht="13.2"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</row>
    <row r="632" spans="3:37" ht="13.2"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</row>
    <row r="633" spans="3:37" ht="13.2"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</row>
    <row r="634" spans="3:37" ht="13.2"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</row>
    <row r="635" spans="3:37" ht="13.2"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</row>
    <row r="636" spans="3:37" ht="13.2"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</row>
    <row r="637" spans="3:37" ht="13.2"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</row>
    <row r="638" spans="3:37" ht="13.2"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</row>
    <row r="639" spans="3:37" ht="13.2"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</row>
    <row r="640" spans="3:37" ht="13.2"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</row>
    <row r="641" spans="3:37" ht="13.2"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</row>
    <row r="642" spans="3:37" ht="13.2"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</row>
    <row r="643" spans="3:37" ht="13.2"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</row>
    <row r="644" spans="3:37" ht="13.2"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</row>
    <row r="645" spans="3:37" ht="13.2"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</row>
    <row r="646" spans="3:37" ht="13.2"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</row>
    <row r="647" spans="3:37" ht="13.2"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</row>
    <row r="648" spans="3:37" ht="13.2"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</row>
    <row r="649" spans="3:37" ht="13.2"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</row>
    <row r="650" spans="3:37" ht="13.2"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</row>
    <row r="651" spans="3:37" ht="13.2"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</row>
    <row r="652" spans="3:37" ht="13.2"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</row>
    <row r="653" spans="3:37" ht="13.2"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</row>
    <row r="654" spans="3:37" ht="13.2"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</row>
    <row r="655" spans="3:37" ht="13.2"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</row>
    <row r="656" spans="3:37" ht="13.2"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</row>
    <row r="657" spans="3:37" ht="13.2"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</row>
    <row r="658" spans="3:37" ht="13.2"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</row>
    <row r="659" spans="3:37" ht="13.2"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</row>
    <row r="660" spans="3:37" ht="13.2"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</row>
    <row r="661" spans="3:37" ht="13.2"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</row>
    <row r="662" spans="3:37" ht="13.2"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</row>
    <row r="663" spans="3:37" ht="13.2"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</row>
    <row r="664" spans="3:37" ht="13.2"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</row>
    <row r="665" spans="3:37" ht="13.2"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</row>
    <row r="666" spans="3:37" ht="13.2"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</row>
    <row r="667" spans="3:37" ht="13.2"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</row>
    <row r="668" spans="3:37" ht="13.2"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</row>
    <row r="669" spans="3:37" ht="13.2"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</row>
    <row r="670" spans="3:37" ht="13.2"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</row>
    <row r="671" spans="3:37" ht="13.2"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</row>
    <row r="672" spans="3:37" ht="13.2"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</row>
    <row r="673" spans="3:37" ht="13.2"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</row>
    <row r="674" spans="3:37" ht="13.2"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</row>
    <row r="675" spans="3:37" ht="13.2"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</row>
    <row r="676" spans="3:37" ht="13.2"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</row>
    <row r="677" spans="3:37" ht="13.2"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</row>
    <row r="678" spans="3:37" ht="13.2"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</row>
    <row r="679" spans="3:37" ht="13.2"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</row>
    <row r="680" spans="3:37" ht="13.2"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</row>
    <row r="681" spans="3:37" ht="13.2"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</row>
    <row r="682" spans="3:37" ht="13.2"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</row>
    <row r="683" spans="3:37" ht="13.2"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</row>
    <row r="684" spans="3:37" ht="13.2"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</row>
    <row r="685" spans="3:37" ht="13.2"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</row>
    <row r="686" spans="3:37" ht="13.2"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</row>
    <row r="687" spans="3:37" ht="13.2"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</row>
    <row r="688" spans="3:37" ht="13.2"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</row>
    <row r="689" spans="3:37" ht="13.2"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</row>
    <row r="690" spans="3:37" ht="13.2"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</row>
    <row r="691" spans="3:37" ht="13.2"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</row>
    <row r="692" spans="3:37" ht="13.2"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</row>
    <row r="693" spans="3:37" ht="13.2"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</row>
    <row r="694" spans="3:37" ht="13.2"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</row>
    <row r="695" spans="3:37" ht="13.2"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</row>
    <row r="696" spans="3:37" ht="13.2"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</row>
    <row r="697" spans="3:37" ht="13.2"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</row>
    <row r="698" spans="3:37" ht="13.2"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</row>
    <row r="699" spans="3:37" ht="13.2"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</row>
    <row r="700" spans="3:37" ht="13.2"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</row>
    <row r="701" spans="3:37" ht="13.2"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</row>
    <row r="702" spans="3:37" ht="13.2"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</row>
    <row r="703" spans="3:37" ht="13.2"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</row>
    <row r="704" spans="3:37" ht="13.2"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</row>
    <row r="705" spans="3:37" ht="13.2"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</row>
    <row r="706" spans="3:37" ht="13.2"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</row>
    <row r="707" spans="3:37" ht="13.2"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</row>
    <row r="708" spans="3:37" ht="13.2"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</row>
    <row r="709" spans="3:37" ht="13.2"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</row>
    <row r="710" spans="3:37" ht="13.2"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</row>
    <row r="711" spans="3:37" ht="13.2"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</row>
    <row r="712" spans="3:37" ht="13.2"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</row>
    <row r="713" spans="3:37" ht="13.2"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</row>
    <row r="714" spans="3:37" ht="13.2"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</row>
    <row r="715" spans="3:37" ht="13.2"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</row>
    <row r="716" spans="3:37" ht="13.2"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</row>
    <row r="717" spans="3:37" ht="13.2"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</row>
    <row r="718" spans="3:37" ht="13.2"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</row>
    <row r="719" spans="3:37" ht="13.2"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</row>
    <row r="720" spans="3:37" ht="13.2"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</row>
    <row r="721" spans="3:37" ht="13.2"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</row>
    <row r="722" spans="3:37" ht="13.2"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</row>
    <row r="723" spans="3:37" ht="13.2"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</row>
    <row r="724" spans="3:37" ht="13.2"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</row>
    <row r="725" spans="3:37" ht="13.2"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</row>
    <row r="726" spans="3:37" ht="13.2"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</row>
    <row r="727" spans="3:37" ht="13.2"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</row>
    <row r="728" spans="3:37" ht="13.2"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</row>
    <row r="729" spans="3:37" ht="13.2"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</row>
    <row r="730" spans="3:37" ht="13.2"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</row>
    <row r="731" spans="3:37" ht="13.2"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</row>
    <row r="732" spans="3:37" ht="13.2"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</row>
    <row r="733" spans="3:37" ht="13.2"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</row>
    <row r="734" spans="3:37" ht="13.2"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</row>
    <row r="735" spans="3:37" ht="13.2"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</row>
    <row r="736" spans="3:37" ht="13.2"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</row>
    <row r="737" spans="3:37" ht="13.2"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</row>
    <row r="738" spans="3:37" ht="13.2"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</row>
    <row r="739" spans="3:37" ht="13.2"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</row>
    <row r="740" spans="3:37" ht="13.2"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</row>
    <row r="741" spans="3:37" ht="13.2"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</row>
    <row r="742" spans="3:37" ht="13.2"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</row>
    <row r="743" spans="3:37" ht="13.2"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</row>
    <row r="744" spans="3:37" ht="13.2"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</row>
    <row r="745" spans="3:37" ht="13.2"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</row>
    <row r="746" spans="3:37" ht="13.2"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</row>
    <row r="747" spans="3:37" ht="13.2"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</row>
    <row r="748" spans="3:37" ht="13.2"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</row>
    <row r="749" spans="3:37" ht="13.2"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</row>
    <row r="750" spans="3:37" ht="13.2"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</row>
    <row r="751" spans="3:37" ht="13.2"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</row>
    <row r="752" spans="3:37" ht="13.2"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</row>
    <row r="753" spans="3:37" ht="13.2"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</row>
    <row r="754" spans="3:37" ht="13.2"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</row>
    <row r="755" spans="3:37" ht="13.2"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</row>
    <row r="756" spans="3:37" ht="13.2"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</row>
    <row r="757" spans="3:37" ht="13.2"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</row>
    <row r="758" spans="3:37" ht="13.2"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</row>
    <row r="759" spans="3:37" ht="13.2"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</row>
    <row r="760" spans="3:37" ht="13.2"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</row>
    <row r="761" spans="3:37" ht="13.2"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</row>
    <row r="762" spans="3:37" ht="13.2"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</row>
    <row r="763" spans="3:37" ht="13.2"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</row>
    <row r="764" spans="3:37" ht="13.2"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</row>
    <row r="765" spans="3:37" ht="13.2"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</row>
    <row r="766" spans="3:37" ht="13.2"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</row>
    <row r="767" spans="3:37" ht="13.2"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</row>
    <row r="768" spans="3:37" ht="13.2"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</row>
    <row r="769" spans="3:37" ht="13.2"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</row>
    <row r="770" spans="3:37" ht="13.2"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</row>
    <row r="771" spans="3:37" ht="13.2"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</row>
    <row r="772" spans="3:37" ht="13.2"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</row>
    <row r="773" spans="3:37" ht="13.2"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</row>
    <row r="774" spans="3:37" ht="13.2"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</row>
    <row r="775" spans="3:37" ht="13.2"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</row>
    <row r="776" spans="3:37" ht="13.2"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</row>
    <row r="777" spans="3:37" ht="13.2"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</row>
    <row r="778" spans="3:37" ht="13.2"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</row>
    <row r="779" spans="3:37" ht="13.2"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</row>
    <row r="780" spans="3:37" ht="13.2"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</row>
    <row r="781" spans="3:37" ht="13.2"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</row>
    <row r="782" spans="3:37" ht="13.2"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</row>
    <row r="783" spans="3:37" ht="13.2"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</row>
    <row r="784" spans="3:37" ht="13.2"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</row>
    <row r="785" spans="3:37" ht="13.2"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</row>
    <row r="786" spans="3:37" ht="13.2"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</row>
    <row r="787" spans="3:37" ht="13.2"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</row>
    <row r="788" spans="3:37" ht="13.2"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</row>
    <row r="789" spans="3:37" ht="13.2"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</row>
    <row r="790" spans="3:37" ht="13.2"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</row>
    <row r="791" spans="3:37" ht="13.2"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</row>
    <row r="792" spans="3:37" ht="13.2"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</row>
    <row r="793" spans="3:37" ht="13.2"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</row>
    <row r="794" spans="3:37" ht="13.2"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</row>
    <row r="795" spans="3:37" ht="13.2"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</row>
    <row r="796" spans="3:37" ht="13.2"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</row>
    <row r="797" spans="3:37" ht="13.2"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</row>
    <row r="798" spans="3:37" ht="13.2"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</row>
    <row r="799" spans="3:37" ht="13.2"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</row>
    <row r="800" spans="3:37" ht="13.2"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</row>
    <row r="801" spans="3:37" ht="13.2"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</row>
    <row r="802" spans="3:37" ht="13.2"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</row>
    <row r="803" spans="3:37" ht="13.2"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</row>
    <row r="804" spans="3:37" ht="13.2"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</row>
    <row r="805" spans="3:37" ht="13.2"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</row>
    <row r="806" spans="3:37" ht="13.2"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</row>
    <row r="807" spans="3:37" ht="13.2"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</row>
    <row r="808" spans="3:37" ht="13.2"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</row>
    <row r="809" spans="3:37" ht="13.2"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</row>
    <row r="810" spans="3:37" ht="13.2"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</row>
    <row r="811" spans="3:37" ht="13.2"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</row>
    <row r="812" spans="3:37" ht="13.2"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</row>
    <row r="813" spans="3:37" ht="13.2"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</row>
    <row r="814" spans="3:37" ht="13.2"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</row>
    <row r="815" spans="3:37" ht="13.2"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</row>
    <row r="816" spans="3:37" ht="13.2"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</row>
    <row r="817" spans="3:37" ht="13.2"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</row>
    <row r="818" spans="3:37" ht="13.2"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</row>
    <row r="819" spans="3:37" ht="13.2"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</row>
    <row r="820" spans="3:37" ht="13.2"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</row>
    <row r="821" spans="3:37" ht="13.2"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</row>
    <row r="822" spans="3:37" ht="13.2"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</row>
    <row r="823" spans="3:37" ht="13.2"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</row>
    <row r="824" spans="3:37" ht="13.2"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</row>
    <row r="825" spans="3:37" ht="13.2"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</row>
    <row r="826" spans="3:37" ht="13.2"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</row>
    <row r="827" spans="3:37" ht="13.2"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</row>
    <row r="828" spans="3:37" ht="13.2"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</row>
    <row r="829" spans="3:37" ht="13.2"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</row>
    <row r="830" spans="3:37" ht="13.2"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</row>
    <row r="831" spans="3:37" ht="13.2"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</row>
    <row r="832" spans="3:37" ht="13.2"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</row>
    <row r="833" spans="3:37" ht="13.2"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</row>
    <row r="834" spans="3:37" ht="13.2"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</row>
    <row r="835" spans="3:37" ht="13.2"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</row>
    <row r="836" spans="3:37" ht="13.2"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</row>
    <row r="837" spans="3:37" ht="13.2"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</row>
    <row r="838" spans="3:37" ht="13.2"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</row>
    <row r="839" spans="3:37" ht="13.2"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</row>
    <row r="840" spans="3:37" ht="13.2"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</row>
    <row r="841" spans="3:37" ht="13.2"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</row>
    <row r="842" spans="3:37" ht="13.2"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</row>
    <row r="843" spans="3:37" ht="13.2"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</row>
    <row r="844" spans="3:37" ht="13.2"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</row>
    <row r="845" spans="3:37" ht="13.2"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</row>
    <row r="846" spans="3:37" ht="13.2"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</row>
    <row r="847" spans="3:37" ht="13.2"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</row>
    <row r="848" spans="3:37" ht="13.2"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</row>
    <row r="849" spans="3:37" ht="13.2"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</row>
    <row r="850" spans="3:37" ht="13.2"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</row>
    <row r="851" spans="3:37" ht="13.2"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</row>
    <row r="852" spans="3:37" ht="13.2"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</row>
    <row r="853" spans="3:37" ht="13.2"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</row>
    <row r="854" spans="3:37" ht="13.2"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</row>
    <row r="855" spans="3:37" ht="13.2"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</row>
    <row r="856" spans="3:37" ht="13.2"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</row>
    <row r="857" spans="3:37" ht="13.2"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</row>
    <row r="858" spans="3:37" ht="13.2"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</row>
    <row r="859" spans="3:37" ht="13.2"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</row>
    <row r="860" spans="3:37" ht="13.2"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</row>
    <row r="861" spans="3:37" ht="13.2"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</row>
    <row r="862" spans="3:37" ht="13.2"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</row>
    <row r="863" spans="3:37" ht="13.2"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</row>
    <row r="864" spans="3:37" ht="13.2"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</row>
    <row r="865" spans="3:37" ht="13.2"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</row>
    <row r="866" spans="3:37" ht="13.2"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</row>
    <row r="867" spans="3:37" ht="13.2"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</row>
    <row r="868" spans="3:37" ht="13.2"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</row>
    <row r="869" spans="3:37" ht="13.2"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</row>
    <row r="870" spans="3:37" ht="13.2"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</row>
    <row r="871" spans="3:37" ht="13.2"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</row>
    <row r="872" spans="3:37" ht="13.2"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</row>
    <row r="873" spans="3:37" ht="13.2"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</row>
    <row r="874" spans="3:37" ht="13.2"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</row>
    <row r="875" spans="3:37" ht="13.2"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</row>
    <row r="876" spans="3:37" ht="13.2"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</row>
    <row r="877" spans="3:37" ht="13.2"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</row>
    <row r="878" spans="3:37" ht="13.2"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</row>
    <row r="879" spans="3:37" ht="13.2"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</row>
    <row r="880" spans="3:37" ht="13.2"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</row>
    <row r="881" spans="3:37" ht="13.2"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</row>
    <row r="882" spans="3:37" ht="13.2"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</row>
    <row r="883" spans="3:37" ht="13.2"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</row>
    <row r="884" spans="3:37" ht="13.2"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</row>
    <row r="885" spans="3:37" ht="13.2"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</row>
    <row r="886" spans="3:37" ht="13.2"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</row>
    <row r="887" spans="3:37" ht="13.2"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</row>
    <row r="888" spans="3:37" ht="13.2"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</row>
    <row r="889" spans="3:37" ht="13.2"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</row>
    <row r="890" spans="3:37" ht="13.2"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</row>
    <row r="891" spans="3:37" ht="13.2"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</row>
    <row r="892" spans="3:37" ht="13.2"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</row>
    <row r="893" spans="3:37" ht="13.2"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</row>
    <row r="894" spans="3:37" ht="13.2"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</row>
    <row r="895" spans="3:37" ht="13.2"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</row>
    <row r="896" spans="3:37" ht="13.2"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</row>
    <row r="897" spans="3:37" ht="13.2"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</row>
    <row r="898" spans="3:37" ht="13.2"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</row>
    <row r="899" spans="3:37" ht="13.2"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</row>
    <row r="900" spans="3:37" ht="13.2"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</row>
    <row r="901" spans="3:37" ht="13.2"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</row>
    <row r="902" spans="3:37" ht="13.2"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</row>
    <row r="903" spans="3:37" ht="13.2"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</row>
    <row r="904" spans="3:37" ht="13.2"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</row>
    <row r="905" spans="3:37" ht="13.2"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</row>
    <row r="906" spans="3:37" ht="13.2"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</row>
    <row r="907" spans="3:37" ht="13.2"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</row>
    <row r="908" spans="3:37" ht="13.2"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</row>
    <row r="909" spans="3:37" ht="13.2"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</row>
    <row r="910" spans="3:37" ht="13.2"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</row>
    <row r="911" spans="3:37" ht="13.2"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</row>
    <row r="912" spans="3:37" ht="13.2"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</row>
    <row r="913" spans="3:37" ht="13.2"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</row>
    <row r="914" spans="3:37" ht="13.2"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</row>
    <row r="915" spans="3:37" ht="13.2"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</row>
    <row r="916" spans="3:37" ht="13.2"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</row>
    <row r="917" spans="3:37" ht="13.2"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</row>
    <row r="918" spans="3:37" ht="13.2"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</row>
    <row r="919" spans="3:37" ht="13.2"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</row>
    <row r="920" spans="3:37" ht="13.2"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</row>
    <row r="921" spans="3:37" ht="13.2"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</row>
    <row r="922" spans="3:37" ht="13.2"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</row>
    <row r="923" spans="3:37" ht="13.2"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</row>
    <row r="924" spans="3:37" ht="13.2"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</row>
    <row r="925" spans="3:37" ht="13.2"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</row>
    <row r="926" spans="3:37" ht="13.2"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</row>
    <row r="927" spans="3:37" ht="13.2"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</row>
    <row r="928" spans="3:37" ht="13.2"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</row>
    <row r="929" spans="3:37" ht="13.2"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</row>
    <row r="930" spans="3:37" ht="13.2"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</row>
    <row r="931" spans="3:37" ht="13.2"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</row>
    <row r="932" spans="3:37" ht="13.2"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</row>
    <row r="933" spans="3:37" ht="13.2"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</row>
    <row r="934" spans="3:37" ht="13.2"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</row>
    <row r="935" spans="3:37" ht="13.2"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</row>
    <row r="936" spans="3:37" ht="13.2"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</row>
    <row r="937" spans="3:37" ht="13.2"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</row>
    <row r="938" spans="3:37" ht="13.2"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</row>
    <row r="939" spans="3:37" ht="13.2"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</row>
    <row r="940" spans="3:37" ht="13.2"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</row>
    <row r="941" spans="3:37" ht="13.2"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</row>
    <row r="942" spans="3:37" ht="13.2"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</row>
    <row r="943" spans="3:37" ht="13.2"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</row>
    <row r="944" spans="3:37" ht="13.2"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</row>
    <row r="945" spans="3:37" ht="13.2"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</row>
    <row r="946" spans="3:37" ht="13.2"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</row>
    <row r="947" spans="3:37" ht="13.2"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</row>
    <row r="948" spans="3:37" ht="13.2"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</row>
    <row r="949" spans="3:37" ht="13.2"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</row>
    <row r="950" spans="3:37" ht="13.2"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</row>
    <row r="951" spans="3:37" ht="13.2"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</row>
    <row r="952" spans="3:37" ht="13.2"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</row>
    <row r="953" spans="3:37" ht="13.2"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</row>
    <row r="954" spans="3:37" ht="13.2"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</row>
    <row r="955" spans="3:37" ht="13.2"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</row>
    <row r="956" spans="3:37" ht="13.2"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</row>
    <row r="957" spans="3:37" ht="13.2"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</row>
    <row r="958" spans="3:37" ht="13.2"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</row>
    <row r="959" spans="3:37" ht="13.2"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</row>
    <row r="960" spans="3:37" ht="13.2"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</row>
    <row r="961" spans="3:37" ht="13.2"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</row>
    <row r="962" spans="3:37" ht="13.2"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</row>
    <row r="963" spans="3:37" ht="13.2"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</row>
    <row r="964" spans="3:37" ht="13.2"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</row>
    <row r="965" spans="3:37" ht="13.2"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</row>
    <row r="966" spans="3:37" ht="13.2"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</row>
    <row r="967" spans="3:37" ht="13.2"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</row>
    <row r="968" spans="3:37" ht="13.2"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</row>
    <row r="969" spans="3:37" ht="13.2"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</row>
    <row r="970" spans="3:37" ht="13.2"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</row>
    <row r="971" spans="3:37" ht="13.2"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</row>
    <row r="972" spans="3:37" ht="13.2"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</row>
    <row r="973" spans="3:37" ht="13.2"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</row>
    <row r="974" spans="3:37" ht="13.2"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</row>
    <row r="975" spans="3:37" ht="13.2"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</row>
    <row r="976" spans="3:37" ht="13.2"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</row>
    <row r="977" spans="3:37" ht="13.2"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</row>
    <row r="978" spans="3:37" ht="13.2"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</row>
    <row r="979" spans="3:37" ht="13.2"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</row>
    <row r="980" spans="3:37" ht="13.2"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</row>
    <row r="981" spans="3:37" ht="13.2"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</row>
    <row r="982" spans="3:37" ht="13.2"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</row>
    <row r="983" spans="3:37" ht="13.2"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</row>
    <row r="984" spans="3:37" ht="13.2"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</row>
    <row r="985" spans="3:37" ht="13.2"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</row>
    <row r="986" spans="3:37" ht="13.2"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</row>
    <row r="987" spans="3:37" ht="13.2"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</row>
    <row r="988" spans="3:37" ht="13.2"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</row>
    <row r="989" spans="3:37" ht="13.2"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</row>
    <row r="990" spans="3:37" ht="13.2"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</row>
    <row r="991" spans="3:37" ht="13.2"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</row>
    <row r="992" spans="3:37" ht="13.2"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</row>
    <row r="993" spans="3:37" ht="13.2"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</row>
    <row r="994" spans="3:37" ht="13.2"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</row>
    <row r="995" spans="3:37" ht="13.2"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</row>
    <row r="996" spans="3:37" ht="13.2"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</row>
    <row r="997" spans="3:37" ht="13.2"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</row>
    <row r="998" spans="3:37" ht="13.2"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</row>
    <row r="999" spans="3:37" ht="13.2"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</row>
    <row r="1000" spans="3:37" ht="13.2"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</row>
    <row r="1001" spans="3:37" ht="13.2"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  <c r="AJ1001" s="100"/>
      <c r="AK1001" s="100"/>
    </row>
    <row r="1002" spans="3:37" ht="13.2"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  <c r="AJ1002" s="100"/>
      <c r="AK1002" s="100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M999"/>
  <sheetViews>
    <sheetView workbookViewId="0"/>
  </sheetViews>
  <sheetFormatPr defaultColWidth="12.6640625" defaultRowHeight="15.75" customHeight="1"/>
  <cols>
    <col min="1" max="1" width="3" customWidth="1"/>
    <col min="2" max="3" width="14.109375" customWidth="1"/>
    <col min="4" max="4" width="10.44140625" hidden="1" customWidth="1"/>
    <col min="5" max="35" width="12.6640625" hidden="1"/>
  </cols>
  <sheetData>
    <row r="1" spans="1:39" ht="13.2">
      <c r="A1" s="100" t="s">
        <v>67</v>
      </c>
      <c r="AD1" s="100"/>
      <c r="AE1" s="100"/>
      <c r="AF1" s="100"/>
      <c r="AG1" s="100"/>
      <c r="AH1" s="100"/>
      <c r="AI1" s="100"/>
      <c r="AJ1" s="100"/>
      <c r="AK1" s="100"/>
      <c r="AL1" s="100"/>
      <c r="AM1" s="100"/>
    </row>
    <row r="2" spans="1:39" ht="25.2">
      <c r="B2" s="188" t="s">
        <v>256</v>
      </c>
      <c r="C2" s="189"/>
      <c r="D2" s="190"/>
      <c r="E2" s="190"/>
      <c r="F2" s="190"/>
      <c r="G2" s="190"/>
      <c r="H2" s="190"/>
      <c r="I2" s="190"/>
      <c r="J2" s="190"/>
      <c r="K2" s="190"/>
      <c r="L2" s="190"/>
      <c r="M2" s="190"/>
      <c r="AD2" s="100"/>
      <c r="AE2" s="100"/>
      <c r="AF2" s="100"/>
      <c r="AG2" s="100"/>
      <c r="AH2" s="100"/>
      <c r="AI2" s="100"/>
      <c r="AJ2" s="100"/>
      <c r="AK2" s="100"/>
      <c r="AL2" s="100"/>
      <c r="AM2" s="100"/>
    </row>
    <row r="3" spans="1:39" ht="14.4">
      <c r="B3" s="191" t="s">
        <v>257</v>
      </c>
      <c r="C3" s="192"/>
      <c r="D3" s="190"/>
      <c r="E3" s="190"/>
      <c r="F3" s="190"/>
      <c r="G3" s="190"/>
      <c r="H3" s="190"/>
      <c r="I3" s="190"/>
      <c r="J3" s="190"/>
      <c r="K3" s="190"/>
      <c r="L3" s="190"/>
      <c r="M3" s="190"/>
      <c r="AD3" s="100"/>
      <c r="AE3" s="100"/>
      <c r="AF3" s="100"/>
      <c r="AG3" s="100"/>
      <c r="AH3" s="100"/>
      <c r="AI3" s="100"/>
      <c r="AJ3" s="100"/>
      <c r="AK3" s="100"/>
      <c r="AL3" s="100"/>
      <c r="AM3" s="100"/>
    </row>
    <row r="4" spans="1:39" ht="14.4">
      <c r="B4" s="191" t="s">
        <v>258</v>
      </c>
      <c r="C4" s="192"/>
      <c r="D4" s="190"/>
      <c r="E4" s="190"/>
      <c r="F4" s="190"/>
      <c r="G4" s="190"/>
      <c r="H4" s="190"/>
      <c r="I4" s="190"/>
      <c r="J4" s="190"/>
      <c r="K4" s="190"/>
      <c r="L4" s="190"/>
      <c r="M4" s="190"/>
      <c r="AD4" s="100"/>
      <c r="AE4" s="100"/>
      <c r="AF4" s="100"/>
      <c r="AG4" s="100"/>
      <c r="AH4" s="100"/>
      <c r="AI4" s="100"/>
      <c r="AJ4" s="100"/>
      <c r="AK4" s="100"/>
      <c r="AL4" s="100"/>
      <c r="AM4" s="100"/>
    </row>
    <row r="5" spans="1:39" ht="13.2" hidden="1">
      <c r="B5" s="87" t="s">
        <v>259</v>
      </c>
      <c r="C5" s="87"/>
      <c r="Q5" s="85">
        <v>3500</v>
      </c>
      <c r="AD5" s="100"/>
      <c r="AE5" s="100"/>
      <c r="AF5" s="100"/>
      <c r="AG5" s="100"/>
      <c r="AH5" s="100"/>
      <c r="AI5" s="100"/>
      <c r="AJ5" s="100"/>
      <c r="AK5" s="100"/>
      <c r="AL5" s="100"/>
      <c r="AM5" s="100"/>
    </row>
    <row r="6" spans="1:39" ht="13.2">
      <c r="AD6" s="100"/>
      <c r="AE6" s="100"/>
      <c r="AF6" s="100"/>
      <c r="AG6" s="100"/>
      <c r="AH6" s="100"/>
      <c r="AI6" s="100"/>
      <c r="AJ6" s="100"/>
      <c r="AK6" s="100"/>
      <c r="AL6" s="100"/>
      <c r="AM6" s="100"/>
    </row>
    <row r="7" spans="1:39" ht="14.4">
      <c r="A7" s="193"/>
      <c r="B7" s="194" t="s">
        <v>260</v>
      </c>
      <c r="C7" s="195"/>
      <c r="K7" s="85" t="s">
        <v>261</v>
      </c>
      <c r="AD7" s="100"/>
      <c r="AE7" s="100"/>
      <c r="AF7" s="100"/>
      <c r="AG7" s="100"/>
      <c r="AH7" s="100"/>
      <c r="AI7" s="100"/>
      <c r="AJ7" s="100" t="s">
        <v>1</v>
      </c>
      <c r="AK7" s="100"/>
      <c r="AL7" s="100"/>
      <c r="AM7" s="100"/>
    </row>
    <row r="8" spans="1:39" ht="14.4">
      <c r="A8" s="196" t="s">
        <v>212</v>
      </c>
      <c r="B8" s="196" t="s">
        <v>232</v>
      </c>
      <c r="C8" s="196"/>
      <c r="D8" s="197">
        <v>45905</v>
      </c>
      <c r="E8" s="197">
        <v>45912</v>
      </c>
      <c r="F8" s="197">
        <v>45919</v>
      </c>
      <c r="G8" s="198">
        <v>45926</v>
      </c>
      <c r="H8" s="197">
        <v>45933</v>
      </c>
      <c r="I8" s="197">
        <v>45940</v>
      </c>
      <c r="J8" s="197">
        <v>45947</v>
      </c>
      <c r="K8" s="197">
        <v>45954</v>
      </c>
      <c r="L8" s="197">
        <v>45968</v>
      </c>
      <c r="M8" s="197">
        <v>45975</v>
      </c>
      <c r="N8" s="197">
        <v>45982</v>
      </c>
      <c r="O8" s="197">
        <v>45989</v>
      </c>
      <c r="P8" s="197">
        <v>45996</v>
      </c>
      <c r="Q8" s="197">
        <v>46003</v>
      </c>
      <c r="R8" s="197">
        <v>46010</v>
      </c>
      <c r="S8" s="197">
        <v>46017</v>
      </c>
      <c r="T8" s="171" t="s">
        <v>128</v>
      </c>
      <c r="U8" s="197">
        <v>46031</v>
      </c>
      <c r="V8" s="197">
        <v>46038</v>
      </c>
      <c r="W8" s="197">
        <v>46045</v>
      </c>
      <c r="X8" s="197">
        <v>46052</v>
      </c>
      <c r="Y8" s="171" t="s">
        <v>128</v>
      </c>
      <c r="Z8" s="197">
        <v>46059</v>
      </c>
      <c r="AA8" s="197">
        <v>46066</v>
      </c>
      <c r="AB8" s="197">
        <v>46073</v>
      </c>
      <c r="AC8" s="197">
        <v>46080</v>
      </c>
      <c r="AD8" s="171" t="s">
        <v>128</v>
      </c>
      <c r="AE8" s="199">
        <v>46094</v>
      </c>
      <c r="AF8" s="197">
        <v>46101</v>
      </c>
      <c r="AG8" s="197">
        <v>46108</v>
      </c>
      <c r="AH8" s="171"/>
      <c r="AI8" s="190"/>
      <c r="AJ8" s="200">
        <v>46115</v>
      </c>
      <c r="AK8" s="200"/>
      <c r="AL8" s="200"/>
      <c r="AM8" s="200"/>
    </row>
    <row r="9" spans="1:39" ht="14.4">
      <c r="A9" s="201">
        <v>1</v>
      </c>
      <c r="B9" s="109" t="s">
        <v>262</v>
      </c>
      <c r="C9" s="109" t="s">
        <v>263</v>
      </c>
      <c r="D9" s="91"/>
      <c r="E9" s="91"/>
      <c r="F9" s="91">
        <v>1</v>
      </c>
      <c r="G9" s="91"/>
      <c r="H9" s="91">
        <v>1</v>
      </c>
      <c r="I9" s="91">
        <v>1</v>
      </c>
      <c r="J9" s="91">
        <v>1</v>
      </c>
      <c r="K9" s="91">
        <v>1</v>
      </c>
      <c r="L9" s="91">
        <v>1</v>
      </c>
      <c r="M9" s="91">
        <v>1</v>
      </c>
      <c r="N9" s="91">
        <v>1</v>
      </c>
      <c r="O9" s="91">
        <v>1</v>
      </c>
      <c r="P9" s="91">
        <v>1</v>
      </c>
      <c r="Q9" s="91">
        <v>1</v>
      </c>
      <c r="R9" s="91">
        <v>1</v>
      </c>
      <c r="S9" s="91">
        <v>1</v>
      </c>
      <c r="T9" s="202" t="s">
        <v>264</v>
      </c>
      <c r="U9" s="140">
        <v>1</v>
      </c>
      <c r="V9" s="140">
        <v>1</v>
      </c>
      <c r="W9" s="140">
        <v>1</v>
      </c>
      <c r="X9" s="140">
        <v>1</v>
      </c>
      <c r="Y9" s="140">
        <v>14000</v>
      </c>
      <c r="Z9" s="140">
        <v>1</v>
      </c>
      <c r="AA9" s="140">
        <v>1</v>
      </c>
      <c r="AB9" s="140">
        <v>1</v>
      </c>
      <c r="AC9" s="91"/>
      <c r="AD9" s="140">
        <v>10500</v>
      </c>
      <c r="AE9" s="140">
        <v>1</v>
      </c>
      <c r="AF9" s="138"/>
      <c r="AG9" s="140">
        <v>1</v>
      </c>
      <c r="AH9" s="138"/>
      <c r="AI9" s="100"/>
      <c r="AJ9" s="100">
        <v>1</v>
      </c>
      <c r="AK9" s="100"/>
      <c r="AL9" s="100"/>
      <c r="AM9" s="100"/>
    </row>
    <row r="10" spans="1:39" ht="14.4" hidden="1">
      <c r="A10" s="201">
        <v>2</v>
      </c>
      <c r="B10" s="109" t="s">
        <v>265</v>
      </c>
      <c r="C10" s="109"/>
      <c r="D10" s="91">
        <v>1</v>
      </c>
      <c r="E10" s="91"/>
      <c r="F10" s="91">
        <v>1</v>
      </c>
      <c r="G10" s="91"/>
      <c r="H10" s="91">
        <v>1</v>
      </c>
      <c r="I10" s="91"/>
      <c r="J10" s="91"/>
      <c r="K10" s="91">
        <v>1</v>
      </c>
      <c r="L10" s="91">
        <v>1</v>
      </c>
      <c r="M10" s="91">
        <v>1</v>
      </c>
      <c r="N10" s="91">
        <v>1</v>
      </c>
      <c r="O10" s="91">
        <v>1</v>
      </c>
      <c r="P10" s="91">
        <v>1</v>
      </c>
      <c r="Q10" s="91">
        <v>1</v>
      </c>
      <c r="R10" s="91">
        <v>1</v>
      </c>
      <c r="S10" s="91">
        <v>1</v>
      </c>
      <c r="T10" s="202" t="s">
        <v>264</v>
      </c>
      <c r="U10" s="140">
        <v>1</v>
      </c>
      <c r="V10" s="140">
        <v>1</v>
      </c>
      <c r="W10" s="138"/>
      <c r="X10" s="140">
        <v>1</v>
      </c>
      <c r="Y10" s="140">
        <v>10500</v>
      </c>
      <c r="Z10" s="91"/>
      <c r="AA10" s="91"/>
      <c r="AB10" s="91"/>
      <c r="AC10" s="91"/>
      <c r="AD10" s="138"/>
      <c r="AE10" s="138"/>
      <c r="AF10" s="138"/>
      <c r="AG10" s="138"/>
      <c r="AH10" s="138"/>
      <c r="AI10" s="100"/>
      <c r="AJ10" s="100"/>
      <c r="AK10" s="100"/>
      <c r="AL10" s="100"/>
      <c r="AM10" s="100"/>
    </row>
    <row r="11" spans="1:39" ht="14.4" hidden="1">
      <c r="A11" s="201">
        <v>3</v>
      </c>
      <c r="B11" s="109" t="s">
        <v>266</v>
      </c>
      <c r="C11" s="109"/>
      <c r="D11" s="91">
        <v>1</v>
      </c>
      <c r="E11" s="91">
        <v>1</v>
      </c>
      <c r="F11" s="91">
        <v>1</v>
      </c>
      <c r="G11" s="91"/>
      <c r="H11" s="91">
        <v>1</v>
      </c>
      <c r="I11" s="91">
        <v>1</v>
      </c>
      <c r="J11" s="91">
        <v>1</v>
      </c>
      <c r="K11" s="91">
        <v>1</v>
      </c>
      <c r="L11" s="91">
        <v>1</v>
      </c>
      <c r="M11" s="91">
        <v>1</v>
      </c>
      <c r="N11" s="91">
        <v>1</v>
      </c>
      <c r="O11" s="91">
        <v>1</v>
      </c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138"/>
      <c r="AE11" s="138"/>
      <c r="AF11" s="138"/>
      <c r="AG11" s="138"/>
      <c r="AH11" s="138"/>
      <c r="AI11" s="100"/>
      <c r="AJ11" s="100"/>
      <c r="AK11" s="100"/>
      <c r="AL11" s="100"/>
      <c r="AM11" s="100"/>
    </row>
    <row r="12" spans="1:39" ht="14.4">
      <c r="A12" s="201">
        <v>3</v>
      </c>
      <c r="B12" s="109" t="s">
        <v>267</v>
      </c>
      <c r="C12" s="109" t="s">
        <v>268</v>
      </c>
      <c r="D12" s="91">
        <v>1</v>
      </c>
      <c r="E12" s="91"/>
      <c r="F12" s="91">
        <v>1</v>
      </c>
      <c r="G12" s="91"/>
      <c r="H12" s="91">
        <v>1</v>
      </c>
      <c r="I12" s="91">
        <v>1</v>
      </c>
      <c r="J12" s="91">
        <v>1</v>
      </c>
      <c r="K12" s="91">
        <v>1</v>
      </c>
      <c r="L12" s="91"/>
      <c r="M12" s="91"/>
      <c r="N12" s="91">
        <v>1</v>
      </c>
      <c r="O12" s="91">
        <v>1</v>
      </c>
      <c r="P12" s="91">
        <v>1</v>
      </c>
      <c r="Q12" s="91">
        <v>1</v>
      </c>
      <c r="R12" s="91">
        <v>1</v>
      </c>
      <c r="S12" s="91">
        <v>1</v>
      </c>
      <c r="T12" s="202" t="s">
        <v>264</v>
      </c>
      <c r="U12" s="140">
        <v>1</v>
      </c>
      <c r="V12" s="140">
        <v>1</v>
      </c>
      <c r="W12" s="140">
        <v>1</v>
      </c>
      <c r="X12" s="140">
        <v>1</v>
      </c>
      <c r="Y12" s="140">
        <v>14000</v>
      </c>
      <c r="Z12" s="91"/>
      <c r="AA12" s="140">
        <v>1</v>
      </c>
      <c r="AB12" s="140">
        <v>1</v>
      </c>
      <c r="AC12" s="91"/>
      <c r="AD12" s="140">
        <v>7000</v>
      </c>
      <c r="AE12" s="140">
        <v>1</v>
      </c>
      <c r="AF12" s="140">
        <v>1</v>
      </c>
      <c r="AG12" s="140">
        <v>1</v>
      </c>
      <c r="AH12" s="138"/>
      <c r="AI12" s="100"/>
      <c r="AJ12" s="100"/>
      <c r="AK12" s="100"/>
      <c r="AL12" s="100"/>
      <c r="AM12" s="100"/>
    </row>
    <row r="13" spans="1:39" ht="14.4" hidden="1">
      <c r="A13" s="201">
        <v>5</v>
      </c>
      <c r="B13" s="109" t="s">
        <v>269</v>
      </c>
      <c r="C13" s="109"/>
      <c r="D13" s="91"/>
      <c r="E13" s="91"/>
      <c r="F13" s="91">
        <v>1</v>
      </c>
      <c r="G13" s="91"/>
      <c r="H13" s="91">
        <v>1</v>
      </c>
      <c r="I13" s="91"/>
      <c r="J13" s="91"/>
      <c r="K13" s="91">
        <v>1</v>
      </c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138"/>
      <c r="AE13" s="138"/>
      <c r="AF13" s="138"/>
      <c r="AG13" s="138"/>
      <c r="AH13" s="138"/>
      <c r="AI13" s="100"/>
      <c r="AJ13" s="100"/>
      <c r="AK13" s="100"/>
      <c r="AL13" s="100"/>
      <c r="AM13" s="100"/>
    </row>
    <row r="14" spans="1:39" ht="14.4">
      <c r="A14" s="201">
        <v>4</v>
      </c>
      <c r="B14" s="109" t="s">
        <v>270</v>
      </c>
      <c r="C14" s="109" t="s">
        <v>271</v>
      </c>
      <c r="D14" s="91">
        <v>1</v>
      </c>
      <c r="E14" s="91">
        <v>1</v>
      </c>
      <c r="F14" s="91"/>
      <c r="G14" s="91">
        <v>1</v>
      </c>
      <c r="H14" s="91">
        <v>1</v>
      </c>
      <c r="I14" s="91">
        <v>1</v>
      </c>
      <c r="J14" s="91">
        <v>1</v>
      </c>
      <c r="K14" s="91">
        <v>1</v>
      </c>
      <c r="L14" s="91">
        <v>1</v>
      </c>
      <c r="M14" s="91">
        <v>1</v>
      </c>
      <c r="N14" s="91">
        <v>1</v>
      </c>
      <c r="O14" s="91">
        <v>1</v>
      </c>
      <c r="P14" s="91">
        <v>1</v>
      </c>
      <c r="Q14" s="91">
        <v>1</v>
      </c>
      <c r="R14" s="91">
        <v>1</v>
      </c>
      <c r="S14" s="91"/>
      <c r="T14" s="202" t="s">
        <v>272</v>
      </c>
      <c r="U14" s="91"/>
      <c r="V14" s="140">
        <v>1</v>
      </c>
      <c r="W14" s="140">
        <v>1</v>
      </c>
      <c r="X14" s="140">
        <v>1</v>
      </c>
      <c r="Y14" s="140">
        <v>10500</v>
      </c>
      <c r="Z14" s="140">
        <v>1</v>
      </c>
      <c r="AA14" s="140">
        <v>1</v>
      </c>
      <c r="AB14" s="140">
        <v>1</v>
      </c>
      <c r="AC14" s="91"/>
      <c r="AD14" s="140">
        <v>10500</v>
      </c>
      <c r="AE14" s="138"/>
      <c r="AF14" s="138"/>
      <c r="AG14" s="138"/>
      <c r="AH14" s="138"/>
      <c r="AI14" s="100"/>
      <c r="AJ14" s="100">
        <v>1</v>
      </c>
      <c r="AK14" s="100"/>
      <c r="AL14" s="100"/>
      <c r="AM14" s="100"/>
    </row>
    <row r="15" spans="1:39" ht="14.4" hidden="1">
      <c r="A15" s="201">
        <v>7</v>
      </c>
      <c r="B15" s="109" t="s">
        <v>273</v>
      </c>
      <c r="C15" s="109"/>
      <c r="D15" s="91">
        <v>1</v>
      </c>
      <c r="E15" s="91"/>
      <c r="F15" s="91">
        <v>1</v>
      </c>
      <c r="G15" s="91"/>
      <c r="H15" s="91">
        <v>1</v>
      </c>
      <c r="I15" s="91">
        <v>1</v>
      </c>
      <c r="J15" s="91"/>
      <c r="K15" s="91">
        <v>1</v>
      </c>
      <c r="L15" s="91"/>
      <c r="M15" s="91"/>
      <c r="N15" s="91">
        <v>1</v>
      </c>
      <c r="O15" s="91">
        <v>1</v>
      </c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138"/>
      <c r="AE15" s="138"/>
      <c r="AF15" s="138"/>
      <c r="AG15" s="138"/>
      <c r="AH15" s="138"/>
      <c r="AI15" s="100"/>
      <c r="AJ15" s="100"/>
      <c r="AK15" s="100"/>
      <c r="AL15" s="100"/>
      <c r="AM15" s="100"/>
    </row>
    <row r="16" spans="1:39" ht="14.4" hidden="1">
      <c r="A16" s="201">
        <v>8</v>
      </c>
      <c r="B16" s="109" t="s">
        <v>274</v>
      </c>
      <c r="C16" s="109"/>
      <c r="D16" s="91">
        <v>1</v>
      </c>
      <c r="E16" s="91"/>
      <c r="F16" s="91">
        <v>1</v>
      </c>
      <c r="G16" s="91"/>
      <c r="H16" s="91">
        <v>1</v>
      </c>
      <c r="I16" s="91"/>
      <c r="J16" s="91">
        <v>1</v>
      </c>
      <c r="K16" s="91">
        <v>1</v>
      </c>
      <c r="L16" s="91">
        <v>1</v>
      </c>
      <c r="M16" s="91">
        <v>1</v>
      </c>
      <c r="N16" s="91"/>
      <c r="O16" s="91">
        <v>1</v>
      </c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138"/>
      <c r="AE16" s="138"/>
      <c r="AF16" s="138"/>
      <c r="AG16" s="138"/>
      <c r="AH16" s="138"/>
      <c r="AI16" s="100"/>
      <c r="AJ16" s="100"/>
      <c r="AK16" s="100"/>
      <c r="AL16" s="100"/>
      <c r="AM16" s="100"/>
    </row>
    <row r="17" spans="1:39" ht="14.4" hidden="1">
      <c r="A17" s="201">
        <v>9</v>
      </c>
      <c r="B17" s="109" t="s">
        <v>275</v>
      </c>
      <c r="C17" s="109"/>
      <c r="D17" s="91">
        <v>1</v>
      </c>
      <c r="E17" s="91">
        <v>1</v>
      </c>
      <c r="F17" s="91">
        <v>1</v>
      </c>
      <c r="G17" s="91">
        <v>1</v>
      </c>
      <c r="H17" s="91">
        <v>1</v>
      </c>
      <c r="I17" s="91">
        <v>1</v>
      </c>
      <c r="J17" s="91">
        <v>1</v>
      </c>
      <c r="K17" s="91">
        <v>1</v>
      </c>
      <c r="L17" s="91">
        <v>1</v>
      </c>
      <c r="M17" s="91"/>
      <c r="N17" s="91">
        <v>1</v>
      </c>
      <c r="O17" s="91">
        <v>1</v>
      </c>
      <c r="P17" s="91"/>
      <c r="Q17" s="91"/>
      <c r="R17" s="91"/>
      <c r="S17" s="91"/>
      <c r="T17" s="91"/>
      <c r="U17" s="91"/>
      <c r="V17" s="91"/>
      <c r="W17" s="91"/>
      <c r="X17" s="140">
        <v>1</v>
      </c>
      <c r="Y17" s="140">
        <v>3500</v>
      </c>
      <c r="Z17" s="91"/>
      <c r="AA17" s="91"/>
      <c r="AB17" s="91"/>
      <c r="AC17" s="91"/>
      <c r="AD17" s="138"/>
      <c r="AE17" s="138"/>
      <c r="AF17" s="138"/>
      <c r="AG17" s="138"/>
      <c r="AH17" s="138"/>
      <c r="AI17" s="100"/>
      <c r="AJ17" s="100"/>
      <c r="AK17" s="100"/>
      <c r="AL17" s="100"/>
      <c r="AM17" s="100"/>
    </row>
    <row r="18" spans="1:39" ht="14.4">
      <c r="A18" s="201">
        <v>5</v>
      </c>
      <c r="B18" s="109" t="s">
        <v>276</v>
      </c>
      <c r="C18" s="109" t="s">
        <v>277</v>
      </c>
      <c r="D18" s="91">
        <v>1</v>
      </c>
      <c r="E18" s="91">
        <v>1</v>
      </c>
      <c r="F18" s="91">
        <v>1</v>
      </c>
      <c r="G18" s="91">
        <v>1</v>
      </c>
      <c r="H18" s="91">
        <v>1</v>
      </c>
      <c r="I18" s="91">
        <v>1</v>
      </c>
      <c r="J18" s="91">
        <v>1</v>
      </c>
      <c r="K18" s="91">
        <v>1</v>
      </c>
      <c r="L18" s="91">
        <v>1</v>
      </c>
      <c r="M18" s="91">
        <v>1</v>
      </c>
      <c r="N18" s="91">
        <v>1</v>
      </c>
      <c r="O18" s="91">
        <v>1</v>
      </c>
      <c r="P18" s="91">
        <v>1</v>
      </c>
      <c r="Q18" s="91">
        <v>1</v>
      </c>
      <c r="R18" s="91">
        <v>1</v>
      </c>
      <c r="S18" s="91">
        <v>1</v>
      </c>
      <c r="T18" s="202" t="s">
        <v>264</v>
      </c>
      <c r="U18" s="140">
        <v>1</v>
      </c>
      <c r="V18" s="140">
        <v>1</v>
      </c>
      <c r="W18" s="140">
        <v>1</v>
      </c>
      <c r="X18" s="140">
        <v>1</v>
      </c>
      <c r="Y18" s="140">
        <v>14000</v>
      </c>
      <c r="Z18" s="140">
        <v>1</v>
      </c>
      <c r="AA18" s="140">
        <v>1</v>
      </c>
      <c r="AB18" s="140">
        <v>1</v>
      </c>
      <c r="AC18" s="91"/>
      <c r="AD18" s="140">
        <v>10500</v>
      </c>
      <c r="AE18" s="138">
        <v>1</v>
      </c>
      <c r="AF18" s="138">
        <v>1</v>
      </c>
      <c r="AG18" s="140">
        <v>1</v>
      </c>
      <c r="AH18" s="138"/>
      <c r="AI18" s="100"/>
      <c r="AJ18" s="100">
        <v>1</v>
      </c>
      <c r="AK18" s="100"/>
      <c r="AL18" s="100"/>
      <c r="AM18" s="100"/>
    </row>
    <row r="19" spans="1:39" ht="14.4" hidden="1">
      <c r="A19" s="201">
        <v>11</v>
      </c>
      <c r="B19" s="109" t="s">
        <v>278</v>
      </c>
      <c r="C19" s="109"/>
      <c r="D19" s="91">
        <v>1</v>
      </c>
      <c r="E19" s="91">
        <v>1</v>
      </c>
      <c r="F19" s="91">
        <v>1</v>
      </c>
      <c r="G19" s="91">
        <v>1</v>
      </c>
      <c r="H19" s="91">
        <v>1</v>
      </c>
      <c r="I19" s="91"/>
      <c r="J19" s="91">
        <v>1</v>
      </c>
      <c r="K19" s="91">
        <v>1</v>
      </c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138"/>
      <c r="AE19" s="138"/>
      <c r="AF19" s="138"/>
      <c r="AG19" s="138"/>
      <c r="AH19" s="138"/>
      <c r="AI19" s="100"/>
      <c r="AJ19" s="100"/>
      <c r="AK19" s="100"/>
      <c r="AL19" s="100"/>
      <c r="AM19" s="100"/>
    </row>
    <row r="20" spans="1:39" ht="14.4" hidden="1">
      <c r="A20" s="201">
        <v>6</v>
      </c>
      <c r="B20" s="109" t="s">
        <v>279</v>
      </c>
      <c r="C20" s="109"/>
      <c r="D20" s="91"/>
      <c r="E20" s="91"/>
      <c r="F20" s="91">
        <v>1</v>
      </c>
      <c r="G20" s="91"/>
      <c r="H20" s="91">
        <v>1</v>
      </c>
      <c r="I20" s="91">
        <v>1</v>
      </c>
      <c r="J20" s="91">
        <v>1</v>
      </c>
      <c r="K20" s="91">
        <v>1</v>
      </c>
      <c r="L20" s="91"/>
      <c r="M20" s="91">
        <v>1</v>
      </c>
      <c r="N20" s="91">
        <v>1</v>
      </c>
      <c r="O20" s="91">
        <v>1</v>
      </c>
      <c r="P20" s="91">
        <v>1</v>
      </c>
      <c r="Q20" s="91">
        <v>1</v>
      </c>
      <c r="R20" s="91"/>
      <c r="S20" s="91"/>
      <c r="T20" s="202">
        <v>7000</v>
      </c>
      <c r="U20" s="91"/>
      <c r="V20" s="91"/>
      <c r="W20" s="91"/>
      <c r="X20" s="91"/>
      <c r="Y20" s="91"/>
      <c r="Z20" s="91"/>
      <c r="AA20" s="91"/>
      <c r="AB20" s="91"/>
      <c r="AC20" s="91"/>
      <c r="AD20" s="138"/>
      <c r="AE20" s="138"/>
      <c r="AF20" s="138"/>
      <c r="AG20" s="138"/>
      <c r="AH20" s="138"/>
      <c r="AI20" s="100"/>
      <c r="AJ20" s="100"/>
      <c r="AK20" s="100"/>
      <c r="AL20" s="100"/>
      <c r="AM20" s="100"/>
    </row>
    <row r="21" spans="1:39" ht="14.4">
      <c r="A21" s="201">
        <v>7</v>
      </c>
      <c r="B21" s="109" t="s">
        <v>280</v>
      </c>
      <c r="C21" s="109" t="s">
        <v>281</v>
      </c>
      <c r="D21" s="91"/>
      <c r="E21" s="91"/>
      <c r="F21" s="91"/>
      <c r="G21" s="91"/>
      <c r="H21" s="91"/>
      <c r="I21" s="91"/>
      <c r="J21" s="91"/>
      <c r="K21" s="91"/>
      <c r="L21" s="91">
        <v>1</v>
      </c>
      <c r="M21" s="91"/>
      <c r="N21" s="91">
        <v>1</v>
      </c>
      <c r="O21" s="91"/>
      <c r="P21" s="91"/>
      <c r="Q21" s="91">
        <v>1</v>
      </c>
      <c r="R21" s="91"/>
      <c r="S21" s="91"/>
      <c r="T21" s="202">
        <v>3500</v>
      </c>
      <c r="U21" s="140">
        <v>1</v>
      </c>
      <c r="V21" s="140">
        <v>1</v>
      </c>
      <c r="W21" s="138"/>
      <c r="X21" s="140">
        <v>1</v>
      </c>
      <c r="Y21" s="140">
        <v>10500</v>
      </c>
      <c r="Z21" s="140">
        <v>1</v>
      </c>
      <c r="AA21" s="140">
        <v>1</v>
      </c>
      <c r="AB21" s="140">
        <v>1</v>
      </c>
      <c r="AC21" s="91"/>
      <c r="AD21" s="140">
        <v>10500</v>
      </c>
      <c r="AE21" s="138">
        <v>1</v>
      </c>
      <c r="AF21" s="138"/>
      <c r="AG21" s="138">
        <v>1</v>
      </c>
      <c r="AH21" s="138"/>
      <c r="AI21" s="143" t="s">
        <v>282</v>
      </c>
      <c r="AJ21" s="100">
        <v>1</v>
      </c>
      <c r="AK21" s="100"/>
      <c r="AL21" s="100"/>
      <c r="AM21" s="100"/>
    </row>
    <row r="22" spans="1:39" ht="14.4" hidden="1">
      <c r="A22" s="201">
        <v>14</v>
      </c>
      <c r="B22" s="109" t="s">
        <v>283</v>
      </c>
      <c r="C22" s="109"/>
      <c r="D22" s="91"/>
      <c r="E22" s="91"/>
      <c r="F22" s="91"/>
      <c r="G22" s="91"/>
      <c r="H22" s="91"/>
      <c r="I22" s="91"/>
      <c r="J22" s="91"/>
      <c r="K22" s="91"/>
      <c r="L22" s="91">
        <v>1</v>
      </c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138"/>
      <c r="AE22" s="138"/>
      <c r="AF22" s="138"/>
      <c r="AG22" s="138"/>
      <c r="AH22" s="138"/>
      <c r="AI22" s="100"/>
      <c r="AJ22" s="100"/>
      <c r="AK22" s="100"/>
      <c r="AL22" s="100"/>
      <c r="AM22" s="100"/>
    </row>
    <row r="23" spans="1:39" ht="14.4" hidden="1">
      <c r="A23" s="201">
        <v>15</v>
      </c>
      <c r="B23" s="109" t="s">
        <v>108</v>
      </c>
      <c r="C23" s="109"/>
      <c r="D23" s="91"/>
      <c r="E23" s="91"/>
      <c r="F23" s="91"/>
      <c r="G23" s="91"/>
      <c r="H23" s="91"/>
      <c r="I23" s="91"/>
      <c r="J23" s="91"/>
      <c r="K23" s="91"/>
      <c r="L23" s="91">
        <v>1</v>
      </c>
      <c r="M23" s="91">
        <v>1</v>
      </c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138"/>
      <c r="AE23" s="138"/>
      <c r="AF23" s="138"/>
      <c r="AG23" s="138"/>
      <c r="AH23" s="138"/>
      <c r="AI23" s="100"/>
      <c r="AJ23" s="100"/>
      <c r="AK23" s="100"/>
      <c r="AL23" s="100"/>
      <c r="AM23" s="100"/>
    </row>
    <row r="24" spans="1:39" ht="14.4">
      <c r="A24" s="201">
        <v>8</v>
      </c>
      <c r="B24" s="109" t="s">
        <v>284</v>
      </c>
      <c r="C24" s="109" t="s">
        <v>285</v>
      </c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>
        <v>1</v>
      </c>
      <c r="Q24" s="91">
        <v>1</v>
      </c>
      <c r="R24" s="91">
        <v>1</v>
      </c>
      <c r="S24" s="91">
        <v>1</v>
      </c>
      <c r="T24" s="202" t="s">
        <v>264</v>
      </c>
      <c r="U24" s="91"/>
      <c r="V24" s="91"/>
      <c r="W24" s="140">
        <v>1</v>
      </c>
      <c r="X24" s="140">
        <v>1</v>
      </c>
      <c r="Y24" s="140">
        <v>7000</v>
      </c>
      <c r="Z24" s="140">
        <v>1</v>
      </c>
      <c r="AA24" s="91"/>
      <c r="AB24" s="140">
        <v>1</v>
      </c>
      <c r="AC24" s="140">
        <v>1</v>
      </c>
      <c r="AD24" s="140">
        <v>10500</v>
      </c>
      <c r="AE24" s="140">
        <v>1</v>
      </c>
      <c r="AF24" s="138"/>
      <c r="AG24" s="138"/>
      <c r="AH24" s="138"/>
      <c r="AI24" s="100"/>
      <c r="AJ24" s="100"/>
      <c r="AK24" s="100"/>
      <c r="AL24" s="100"/>
      <c r="AM24" s="100"/>
    </row>
    <row r="25" spans="1:39" ht="14.4">
      <c r="A25" s="201">
        <v>9</v>
      </c>
      <c r="B25" s="109" t="s">
        <v>218</v>
      </c>
      <c r="C25" s="109" t="s">
        <v>286</v>
      </c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>
        <v>1</v>
      </c>
      <c r="Q25" s="91">
        <v>1</v>
      </c>
      <c r="R25" s="91">
        <v>1</v>
      </c>
      <c r="S25" s="91"/>
      <c r="T25" s="202" t="s">
        <v>272</v>
      </c>
      <c r="U25" s="140">
        <v>1</v>
      </c>
      <c r="V25" s="140">
        <v>1</v>
      </c>
      <c r="W25" s="140">
        <v>1</v>
      </c>
      <c r="X25" s="140">
        <v>1</v>
      </c>
      <c r="Y25" s="140">
        <v>14000</v>
      </c>
      <c r="Z25" s="140">
        <v>1</v>
      </c>
      <c r="AA25" s="140">
        <v>1</v>
      </c>
      <c r="AB25" s="140">
        <v>1</v>
      </c>
      <c r="AC25" s="91"/>
      <c r="AD25" s="140">
        <v>10500</v>
      </c>
      <c r="AE25" s="138"/>
      <c r="AF25" s="138"/>
      <c r="AG25" s="138"/>
      <c r="AH25" s="138"/>
      <c r="AI25" s="100"/>
      <c r="AJ25" s="100"/>
      <c r="AK25" s="100"/>
      <c r="AL25" s="100"/>
      <c r="AM25" s="100"/>
    </row>
    <row r="26" spans="1:39" ht="14.4" hidden="1">
      <c r="A26" s="201"/>
      <c r="B26" s="109" t="s">
        <v>287</v>
      </c>
      <c r="C26" s="109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202"/>
      <c r="U26" s="91"/>
      <c r="V26" s="91"/>
      <c r="W26" s="91"/>
      <c r="X26" s="91"/>
      <c r="Y26" s="91"/>
      <c r="Z26" s="91"/>
      <c r="AA26" s="91"/>
      <c r="AB26" s="91"/>
      <c r="AC26" s="91"/>
      <c r="AD26" s="138"/>
      <c r="AE26" s="138"/>
      <c r="AF26" s="138"/>
      <c r="AG26" s="138"/>
      <c r="AH26" s="138"/>
      <c r="AI26" s="100"/>
      <c r="AJ26" s="100"/>
      <c r="AK26" s="100"/>
      <c r="AL26" s="100"/>
      <c r="AM26" s="100"/>
    </row>
    <row r="27" spans="1:39" ht="14.4">
      <c r="A27" s="201"/>
      <c r="B27" s="109" t="s">
        <v>288</v>
      </c>
      <c r="C27" s="109" t="s">
        <v>289</v>
      </c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202"/>
      <c r="U27" s="91"/>
      <c r="V27" s="91"/>
      <c r="W27" s="91"/>
      <c r="X27" s="91"/>
      <c r="Y27" s="91"/>
      <c r="Z27" s="140">
        <v>1</v>
      </c>
      <c r="AA27" s="140">
        <v>1</v>
      </c>
      <c r="AB27" s="140">
        <v>1</v>
      </c>
      <c r="AC27" s="138"/>
      <c r="AD27" s="140">
        <v>10500</v>
      </c>
      <c r="AE27" s="140">
        <v>1</v>
      </c>
      <c r="AF27" s="140">
        <v>1</v>
      </c>
      <c r="AG27" s="140">
        <v>1</v>
      </c>
      <c r="AH27" s="138"/>
      <c r="AI27" s="100"/>
      <c r="AJ27" s="100">
        <v>1</v>
      </c>
      <c r="AK27" s="100"/>
      <c r="AL27" s="100"/>
      <c r="AM27" s="100"/>
    </row>
    <row r="28" spans="1:39" ht="14.4">
      <c r="A28" s="201"/>
      <c r="B28" s="109" t="s">
        <v>290</v>
      </c>
      <c r="C28" s="109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202"/>
      <c r="U28" s="91"/>
      <c r="V28" s="91"/>
      <c r="W28" s="91"/>
      <c r="X28" s="91"/>
      <c r="Y28" s="91"/>
      <c r="Z28" s="91"/>
      <c r="AA28" s="91"/>
      <c r="AB28" s="91"/>
      <c r="AC28" s="91"/>
      <c r="AD28" s="138"/>
      <c r="AE28" s="138">
        <v>1</v>
      </c>
      <c r="AF28" s="138">
        <v>1</v>
      </c>
      <c r="AG28" s="138"/>
      <c r="AH28" s="138"/>
      <c r="AI28" s="100"/>
      <c r="AJ28" s="100">
        <v>1</v>
      </c>
      <c r="AK28" s="100"/>
      <c r="AL28" s="100"/>
      <c r="AM28" s="100"/>
    </row>
    <row r="29" spans="1:39" ht="14.4">
      <c r="A29" s="203"/>
      <c r="B29" s="196" t="s">
        <v>147</v>
      </c>
      <c r="C29" s="196"/>
      <c r="D29" s="171">
        <v>12</v>
      </c>
      <c r="E29" s="171">
        <v>6</v>
      </c>
      <c r="F29" s="171">
        <v>11</v>
      </c>
      <c r="G29" s="171">
        <v>4</v>
      </c>
      <c r="H29" s="171">
        <v>13</v>
      </c>
      <c r="I29" s="171">
        <v>9</v>
      </c>
      <c r="J29" s="171">
        <v>10</v>
      </c>
      <c r="K29" s="171">
        <v>12</v>
      </c>
      <c r="L29" s="171">
        <v>10</v>
      </c>
      <c r="M29" s="171">
        <v>8</v>
      </c>
      <c r="N29" s="171">
        <v>9</v>
      </c>
      <c r="O29" s="171">
        <v>10</v>
      </c>
      <c r="P29" s="171">
        <v>8</v>
      </c>
      <c r="Q29" s="171">
        <v>9</v>
      </c>
      <c r="R29" s="171">
        <v>7</v>
      </c>
      <c r="S29" s="171">
        <v>5</v>
      </c>
      <c r="T29" s="171"/>
      <c r="U29" s="171">
        <v>6</v>
      </c>
      <c r="V29" s="171">
        <v>7</v>
      </c>
      <c r="W29" s="171">
        <v>6</v>
      </c>
      <c r="X29" s="171">
        <v>9</v>
      </c>
      <c r="Y29" s="171"/>
      <c r="Z29" s="171">
        <v>8</v>
      </c>
      <c r="AA29" s="171">
        <v>8</v>
      </c>
      <c r="AB29" s="171">
        <v>6</v>
      </c>
      <c r="AC29" s="171">
        <v>1</v>
      </c>
      <c r="AD29" s="171"/>
      <c r="AE29" s="171">
        <v>7</v>
      </c>
      <c r="AF29" s="171">
        <v>4</v>
      </c>
      <c r="AG29" s="171">
        <v>5</v>
      </c>
      <c r="AH29" s="171"/>
      <c r="AI29" s="190"/>
      <c r="AJ29" s="190">
        <v>6</v>
      </c>
      <c r="AK29" s="190"/>
      <c r="AL29" s="190"/>
      <c r="AM29" s="190"/>
    </row>
    <row r="30" spans="1:39" ht="14.4">
      <c r="A30" s="204"/>
      <c r="B30" s="205"/>
      <c r="C30" s="205"/>
      <c r="D30" s="100"/>
      <c r="E30" s="100"/>
      <c r="F30" s="100"/>
      <c r="G30" s="100">
        <v>33</v>
      </c>
      <c r="H30" s="100"/>
      <c r="I30" s="100"/>
      <c r="J30" s="100"/>
      <c r="K30" s="100">
        <v>44</v>
      </c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>
        <v>16</v>
      </c>
      <c r="AI30" s="100"/>
      <c r="AJ30" s="100"/>
      <c r="AK30" s="100"/>
      <c r="AL30" s="100"/>
      <c r="AM30" s="100"/>
    </row>
    <row r="31" spans="1:39" ht="13.2">
      <c r="AC31" s="85">
        <v>23</v>
      </c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</row>
    <row r="32" spans="1:39" ht="14.4">
      <c r="A32" s="193"/>
      <c r="B32" s="206" t="s">
        <v>291</v>
      </c>
      <c r="C32" s="195"/>
      <c r="K32" s="85" t="s">
        <v>261</v>
      </c>
      <c r="AD32" s="100"/>
      <c r="AE32" s="100"/>
      <c r="AF32" s="100"/>
      <c r="AG32" s="100"/>
      <c r="AH32" s="100"/>
      <c r="AI32" s="100"/>
      <c r="AJ32" s="100" t="s">
        <v>1</v>
      </c>
      <c r="AK32" s="100"/>
      <c r="AL32" s="100"/>
      <c r="AM32" s="100"/>
    </row>
    <row r="33" spans="1:39" ht="14.4">
      <c r="A33" s="196" t="s">
        <v>212</v>
      </c>
      <c r="B33" s="196" t="s">
        <v>232</v>
      </c>
      <c r="C33" s="196"/>
      <c r="D33" s="197">
        <v>45905</v>
      </c>
      <c r="E33" s="197">
        <v>45912</v>
      </c>
      <c r="F33" s="197">
        <v>45919</v>
      </c>
      <c r="G33" s="197">
        <v>45926</v>
      </c>
      <c r="H33" s="197">
        <v>45933</v>
      </c>
      <c r="I33" s="197">
        <v>45940</v>
      </c>
      <c r="J33" s="197">
        <v>45947</v>
      </c>
      <c r="K33" s="197">
        <v>45954</v>
      </c>
      <c r="L33" s="197">
        <v>45968</v>
      </c>
      <c r="M33" s="197">
        <v>45975</v>
      </c>
      <c r="N33" s="197">
        <v>45982</v>
      </c>
      <c r="O33" s="197">
        <v>45989</v>
      </c>
      <c r="P33" s="197">
        <v>45996</v>
      </c>
      <c r="Q33" s="197">
        <v>46003</v>
      </c>
      <c r="R33" s="197">
        <v>46010</v>
      </c>
      <c r="S33" s="197">
        <v>46017</v>
      </c>
      <c r="T33" s="171" t="s">
        <v>128</v>
      </c>
      <c r="U33" s="197">
        <v>46031</v>
      </c>
      <c r="V33" s="197">
        <v>46038</v>
      </c>
      <c r="W33" s="197">
        <v>46045</v>
      </c>
      <c r="X33" s="197">
        <v>46052</v>
      </c>
      <c r="Y33" s="197"/>
      <c r="Z33" s="197">
        <v>46059</v>
      </c>
      <c r="AA33" s="197">
        <v>46066</v>
      </c>
      <c r="AB33" s="197">
        <v>46073</v>
      </c>
      <c r="AC33" s="197">
        <v>46080</v>
      </c>
      <c r="AD33" s="171" t="s">
        <v>128</v>
      </c>
      <c r="AE33" s="207">
        <v>46094</v>
      </c>
      <c r="AF33" s="197">
        <v>46101</v>
      </c>
      <c r="AG33" s="197">
        <v>46108</v>
      </c>
      <c r="AH33" s="171"/>
      <c r="AI33" s="190"/>
      <c r="AJ33" s="200">
        <v>46115</v>
      </c>
      <c r="AK33" s="200"/>
      <c r="AL33" s="200"/>
      <c r="AM33" s="200"/>
    </row>
    <row r="34" spans="1:39" ht="14.4">
      <c r="A34" s="203">
        <v>1</v>
      </c>
      <c r="B34" s="112" t="s">
        <v>292</v>
      </c>
      <c r="C34" s="112" t="s">
        <v>293</v>
      </c>
      <c r="D34" s="91"/>
      <c r="E34" s="91" t="s">
        <v>294</v>
      </c>
      <c r="F34" s="91">
        <v>1</v>
      </c>
      <c r="G34" s="91">
        <v>1</v>
      </c>
      <c r="H34" s="91">
        <v>1</v>
      </c>
      <c r="I34" s="91">
        <v>1</v>
      </c>
      <c r="J34" s="91">
        <v>1</v>
      </c>
      <c r="K34" s="91"/>
      <c r="L34" s="91">
        <v>1</v>
      </c>
      <c r="M34" s="91">
        <v>1</v>
      </c>
      <c r="N34" s="91">
        <v>1</v>
      </c>
      <c r="O34" s="91">
        <v>1</v>
      </c>
      <c r="P34" s="91">
        <v>1</v>
      </c>
      <c r="Q34" s="91">
        <v>1</v>
      </c>
      <c r="R34" s="91">
        <v>1</v>
      </c>
      <c r="S34" s="91"/>
      <c r="T34" s="202" t="s">
        <v>272</v>
      </c>
      <c r="U34" s="91"/>
      <c r="V34" s="140">
        <v>1</v>
      </c>
      <c r="W34" s="140">
        <v>1</v>
      </c>
      <c r="X34" s="140">
        <v>1</v>
      </c>
      <c r="Y34" s="140">
        <v>10500</v>
      </c>
      <c r="Z34" s="91">
        <v>1</v>
      </c>
      <c r="AA34" s="91">
        <v>1</v>
      </c>
      <c r="AB34" s="91">
        <v>1</v>
      </c>
      <c r="AC34" s="91"/>
      <c r="AD34" s="140">
        <v>10500</v>
      </c>
      <c r="AE34" s="138"/>
      <c r="AF34" s="138"/>
      <c r="AG34" s="138"/>
      <c r="AH34" s="138"/>
      <c r="AI34" s="100"/>
      <c r="AJ34" s="100">
        <v>1</v>
      </c>
      <c r="AK34" s="100"/>
      <c r="AL34" s="100"/>
      <c r="AM34" s="100"/>
    </row>
    <row r="35" spans="1:39" ht="14.4" hidden="1">
      <c r="A35" s="201">
        <v>2</v>
      </c>
      <c r="B35" s="109" t="s">
        <v>295</v>
      </c>
      <c r="C35" s="109"/>
      <c r="D35" s="91"/>
      <c r="E35" s="91"/>
      <c r="F35" s="91">
        <v>1</v>
      </c>
      <c r="G35" s="91">
        <v>1</v>
      </c>
      <c r="H35" s="91">
        <v>1</v>
      </c>
      <c r="I35" s="91">
        <v>1</v>
      </c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138"/>
      <c r="AE35" s="138"/>
      <c r="AF35" s="138"/>
      <c r="AG35" s="138"/>
      <c r="AH35" s="138"/>
      <c r="AI35" s="100"/>
      <c r="AJ35" s="100"/>
      <c r="AK35" s="100"/>
      <c r="AL35" s="100"/>
      <c r="AM35" s="100"/>
    </row>
    <row r="36" spans="1:39" ht="14.4" hidden="1">
      <c r="A36" s="201">
        <v>3</v>
      </c>
      <c r="B36" s="109" t="s">
        <v>273</v>
      </c>
      <c r="C36" s="109"/>
      <c r="D36" s="91"/>
      <c r="E36" s="91"/>
      <c r="F36" s="91"/>
      <c r="G36" s="91">
        <v>1</v>
      </c>
      <c r="H36" s="91">
        <v>1</v>
      </c>
      <c r="I36" s="91"/>
      <c r="J36" s="91"/>
      <c r="K36" s="91"/>
      <c r="L36" s="91">
        <v>1</v>
      </c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138"/>
      <c r="AE36" s="138"/>
      <c r="AF36" s="138"/>
      <c r="AG36" s="138"/>
      <c r="AH36" s="138"/>
      <c r="AI36" s="100"/>
      <c r="AJ36" s="100"/>
      <c r="AK36" s="100"/>
      <c r="AL36" s="100"/>
      <c r="AM36" s="100"/>
    </row>
    <row r="37" spans="1:39" ht="14.4" hidden="1">
      <c r="A37" s="201">
        <v>4</v>
      </c>
      <c r="B37" s="109" t="s">
        <v>296</v>
      </c>
      <c r="C37" s="109"/>
      <c r="D37" s="91"/>
      <c r="E37" s="91"/>
      <c r="F37" s="91">
        <v>1</v>
      </c>
      <c r="G37" s="91">
        <v>1</v>
      </c>
      <c r="H37" s="91"/>
      <c r="I37" s="91">
        <v>1</v>
      </c>
      <c r="J37" s="91">
        <v>1</v>
      </c>
      <c r="K37" s="91">
        <v>1</v>
      </c>
      <c r="L37" s="91">
        <v>1</v>
      </c>
      <c r="M37" s="91">
        <v>1</v>
      </c>
      <c r="N37" s="91"/>
      <c r="O37" s="91">
        <v>1</v>
      </c>
      <c r="P37" s="91">
        <v>1</v>
      </c>
      <c r="Q37" s="91">
        <v>1</v>
      </c>
      <c r="R37" s="91">
        <v>1</v>
      </c>
      <c r="S37" s="91">
        <v>1</v>
      </c>
      <c r="T37" s="202" t="s">
        <v>264</v>
      </c>
      <c r="U37" s="91"/>
      <c r="V37" s="91"/>
      <c r="W37" s="91"/>
      <c r="X37" s="91"/>
      <c r="Y37" s="91"/>
      <c r="Z37" s="91"/>
      <c r="AA37" s="91"/>
      <c r="AB37" s="91"/>
      <c r="AC37" s="91"/>
      <c r="AD37" s="138"/>
      <c r="AE37" s="138"/>
      <c r="AF37" s="138"/>
      <c r="AG37" s="138"/>
      <c r="AH37" s="138"/>
      <c r="AI37" s="100"/>
      <c r="AJ37" s="100"/>
      <c r="AK37" s="100"/>
      <c r="AL37" s="100"/>
      <c r="AM37" s="100"/>
    </row>
    <row r="38" spans="1:39" ht="14.4" hidden="1">
      <c r="A38" s="201">
        <v>5</v>
      </c>
      <c r="B38" s="109" t="s">
        <v>297</v>
      </c>
      <c r="C38" s="109"/>
      <c r="D38" s="91"/>
      <c r="E38" s="91"/>
      <c r="F38" s="91">
        <v>1</v>
      </c>
      <c r="G38" s="91"/>
      <c r="H38" s="91">
        <v>1</v>
      </c>
      <c r="I38" s="91">
        <v>1</v>
      </c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138"/>
      <c r="AE38" s="138"/>
      <c r="AF38" s="138"/>
      <c r="AG38" s="138"/>
      <c r="AH38" s="138"/>
      <c r="AI38" s="100"/>
      <c r="AJ38" s="100"/>
      <c r="AK38" s="100"/>
      <c r="AL38" s="100"/>
      <c r="AM38" s="100"/>
    </row>
    <row r="39" spans="1:39" ht="14.4">
      <c r="A39" s="201">
        <v>6</v>
      </c>
      <c r="B39" s="109" t="s">
        <v>298</v>
      </c>
      <c r="C39" s="109" t="s">
        <v>299</v>
      </c>
      <c r="D39" s="91"/>
      <c r="E39" s="91"/>
      <c r="F39" s="91"/>
      <c r="G39" s="91">
        <v>1</v>
      </c>
      <c r="H39" s="91"/>
      <c r="I39" s="91"/>
      <c r="J39" s="91"/>
      <c r="K39" s="91">
        <v>1</v>
      </c>
      <c r="L39" s="91">
        <v>1</v>
      </c>
      <c r="M39" s="91">
        <v>1</v>
      </c>
      <c r="N39" s="91">
        <v>1</v>
      </c>
      <c r="O39" s="91">
        <v>1</v>
      </c>
      <c r="P39" s="91">
        <v>1</v>
      </c>
      <c r="Q39" s="91">
        <v>1</v>
      </c>
      <c r="R39" s="91">
        <v>1</v>
      </c>
      <c r="S39" s="91">
        <v>1</v>
      </c>
      <c r="T39" s="202" t="s">
        <v>264</v>
      </c>
      <c r="U39" s="140">
        <v>1</v>
      </c>
      <c r="V39" s="140">
        <v>1</v>
      </c>
      <c r="W39" s="140">
        <v>1</v>
      </c>
      <c r="X39" s="140">
        <v>1</v>
      </c>
      <c r="Y39" s="140">
        <v>14000</v>
      </c>
      <c r="Z39" s="91"/>
      <c r="AA39" s="140">
        <v>1</v>
      </c>
      <c r="AB39" s="140">
        <v>1</v>
      </c>
      <c r="AC39" s="140">
        <v>1</v>
      </c>
      <c r="AD39" s="140">
        <v>10500</v>
      </c>
      <c r="AE39" s="140">
        <v>1</v>
      </c>
      <c r="AF39" s="140">
        <v>1</v>
      </c>
      <c r="AG39" s="138"/>
      <c r="AH39" s="138"/>
      <c r="AI39" s="208">
        <v>46113</v>
      </c>
      <c r="AJ39" s="100">
        <v>1</v>
      </c>
      <c r="AK39" s="209"/>
      <c r="AL39" s="209"/>
      <c r="AM39" s="209"/>
    </row>
    <row r="40" spans="1:39" ht="14.4">
      <c r="A40" s="201">
        <v>7</v>
      </c>
      <c r="B40" s="109" t="s">
        <v>300</v>
      </c>
      <c r="C40" s="109" t="s">
        <v>301</v>
      </c>
      <c r="D40" s="91"/>
      <c r="E40" s="91"/>
      <c r="F40" s="91">
        <v>1</v>
      </c>
      <c r="G40" s="91">
        <v>1</v>
      </c>
      <c r="H40" s="91">
        <v>1</v>
      </c>
      <c r="I40" s="91">
        <v>1</v>
      </c>
      <c r="J40" s="91">
        <v>1</v>
      </c>
      <c r="K40" s="91">
        <v>1</v>
      </c>
      <c r="L40" s="91">
        <v>1</v>
      </c>
      <c r="M40" s="91"/>
      <c r="N40" s="91">
        <v>1</v>
      </c>
      <c r="O40" s="91">
        <v>1</v>
      </c>
      <c r="P40" s="91">
        <v>1</v>
      </c>
      <c r="Q40" s="91"/>
      <c r="R40" s="91"/>
      <c r="S40" s="91">
        <v>1</v>
      </c>
      <c r="T40" s="202">
        <v>7000</v>
      </c>
      <c r="U40" s="140">
        <v>1</v>
      </c>
      <c r="V40" s="140">
        <v>1</v>
      </c>
      <c r="W40" s="91"/>
      <c r="X40" s="91"/>
      <c r="Y40" s="140">
        <v>7000</v>
      </c>
      <c r="Z40" s="91">
        <v>1</v>
      </c>
      <c r="AA40" s="91">
        <v>1</v>
      </c>
      <c r="AB40" s="91">
        <v>1</v>
      </c>
      <c r="AC40" s="91">
        <v>1</v>
      </c>
      <c r="AD40" s="140">
        <v>14000</v>
      </c>
      <c r="AE40" s="138"/>
      <c r="AF40" s="140">
        <v>1</v>
      </c>
      <c r="AG40" s="140">
        <v>1</v>
      </c>
      <c r="AH40" s="138"/>
      <c r="AI40" s="100"/>
      <c r="AJ40" s="100">
        <v>1</v>
      </c>
      <c r="AK40" s="100"/>
      <c r="AL40" s="100"/>
      <c r="AM40" s="100"/>
    </row>
    <row r="41" spans="1:39" ht="14.4" hidden="1">
      <c r="A41" s="201">
        <v>8</v>
      </c>
      <c r="B41" s="109" t="s">
        <v>169</v>
      </c>
      <c r="C41" s="109"/>
      <c r="D41" s="91"/>
      <c r="E41" s="91"/>
      <c r="F41" s="91"/>
      <c r="G41" s="91">
        <v>1</v>
      </c>
      <c r="H41" s="91">
        <v>1</v>
      </c>
      <c r="I41" s="91">
        <v>1</v>
      </c>
      <c r="J41" s="91">
        <v>1</v>
      </c>
      <c r="K41" s="91">
        <v>1</v>
      </c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138"/>
      <c r="AE41" s="138"/>
      <c r="AF41" s="138"/>
      <c r="AG41" s="138"/>
      <c r="AH41" s="138"/>
      <c r="AI41" s="100"/>
      <c r="AJ41" s="100"/>
      <c r="AK41" s="100"/>
      <c r="AL41" s="100"/>
      <c r="AM41" s="100"/>
    </row>
    <row r="42" spans="1:39" ht="14.4">
      <c r="A42" s="201">
        <v>9</v>
      </c>
      <c r="B42" s="109" t="s">
        <v>302</v>
      </c>
      <c r="C42" s="109" t="s">
        <v>303</v>
      </c>
      <c r="D42" s="91"/>
      <c r="E42" s="91"/>
      <c r="F42" s="91"/>
      <c r="G42" s="91"/>
      <c r="H42" s="91"/>
      <c r="I42" s="91"/>
      <c r="J42" s="91"/>
      <c r="K42" s="91" t="s">
        <v>195</v>
      </c>
      <c r="L42" s="91">
        <v>1</v>
      </c>
      <c r="M42" s="91">
        <v>1</v>
      </c>
      <c r="N42" s="91"/>
      <c r="O42" s="91">
        <v>1</v>
      </c>
      <c r="P42" s="91">
        <v>1</v>
      </c>
      <c r="Q42" s="91">
        <v>1</v>
      </c>
      <c r="R42" s="91"/>
      <c r="S42" s="91"/>
      <c r="T42" s="202">
        <v>7000</v>
      </c>
      <c r="U42" s="91"/>
      <c r="V42" s="140">
        <v>1</v>
      </c>
      <c r="W42" s="91"/>
      <c r="X42" s="140">
        <v>1</v>
      </c>
      <c r="Y42" s="140">
        <v>7000</v>
      </c>
      <c r="Z42" s="91">
        <v>1</v>
      </c>
      <c r="AA42" s="91"/>
      <c r="AB42" s="91">
        <v>1</v>
      </c>
      <c r="AC42" s="91"/>
      <c r="AD42" s="140">
        <v>7000</v>
      </c>
      <c r="AE42" s="140">
        <v>1</v>
      </c>
      <c r="AF42" s="140">
        <v>1</v>
      </c>
      <c r="AG42" s="140">
        <v>1</v>
      </c>
      <c r="AH42" s="138"/>
      <c r="AI42" s="100"/>
      <c r="AJ42" s="100">
        <v>1</v>
      </c>
      <c r="AK42" s="100"/>
      <c r="AL42" s="100"/>
      <c r="AM42" s="100"/>
    </row>
    <row r="43" spans="1:39" ht="14.4">
      <c r="A43" s="201"/>
      <c r="B43" s="109" t="s">
        <v>169</v>
      </c>
      <c r="C43" s="109" t="s">
        <v>304</v>
      </c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202"/>
      <c r="U43" s="91"/>
      <c r="V43" s="91"/>
      <c r="W43" s="91"/>
      <c r="X43" s="91"/>
      <c r="Y43" s="91"/>
      <c r="Z43" s="91">
        <v>1</v>
      </c>
      <c r="AA43" s="91">
        <v>1</v>
      </c>
      <c r="AB43" s="91">
        <v>1</v>
      </c>
      <c r="AC43" s="91">
        <v>1</v>
      </c>
      <c r="AD43" s="140">
        <v>14000</v>
      </c>
      <c r="AE43" s="140">
        <v>1</v>
      </c>
      <c r="AF43" s="140">
        <v>1</v>
      </c>
      <c r="AG43" s="140">
        <v>1</v>
      </c>
      <c r="AH43" s="138"/>
      <c r="AI43" s="100"/>
      <c r="AJ43" s="100">
        <v>1</v>
      </c>
      <c r="AK43" s="100"/>
      <c r="AL43" s="100"/>
      <c r="AM43" s="100"/>
    </row>
    <row r="44" spans="1:39" ht="14.4">
      <c r="A44" s="201"/>
      <c r="B44" s="109" t="s">
        <v>192</v>
      </c>
      <c r="C44" s="109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202"/>
      <c r="U44" s="91"/>
      <c r="V44" s="91"/>
      <c r="W44" s="91"/>
      <c r="X44" s="91"/>
      <c r="Y44" s="91"/>
      <c r="Z44" s="91"/>
      <c r="AA44" s="91">
        <v>1</v>
      </c>
      <c r="AB44" s="91"/>
      <c r="AC44" s="91"/>
      <c r="AD44" s="140">
        <v>3500</v>
      </c>
      <c r="AE44" s="138"/>
      <c r="AF44" s="138"/>
      <c r="AG44" s="138"/>
      <c r="AH44" s="138"/>
      <c r="AI44" s="100"/>
      <c r="AJ44" s="100"/>
      <c r="AK44" s="100"/>
      <c r="AL44" s="100"/>
      <c r="AM44" s="100"/>
    </row>
    <row r="45" spans="1:39" ht="14.4" hidden="1">
      <c r="A45" s="201">
        <v>10</v>
      </c>
      <c r="B45" s="109" t="s">
        <v>305</v>
      </c>
      <c r="C45" s="109"/>
      <c r="D45" s="91"/>
      <c r="E45" s="91"/>
      <c r="F45" s="91"/>
      <c r="G45" s="91"/>
      <c r="H45" s="91"/>
      <c r="I45" s="91"/>
      <c r="J45" s="91"/>
      <c r="K45" s="91" t="s">
        <v>195</v>
      </c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138"/>
      <c r="AE45" s="138"/>
      <c r="AF45" s="138"/>
      <c r="AG45" s="138"/>
      <c r="AH45" s="138"/>
      <c r="AI45" s="100"/>
      <c r="AJ45" s="100"/>
      <c r="AK45" s="100"/>
      <c r="AL45" s="100"/>
      <c r="AM45" s="100"/>
    </row>
    <row r="46" spans="1:39" ht="14.4" hidden="1">
      <c r="A46" s="201">
        <v>11</v>
      </c>
      <c r="B46" s="109" t="s">
        <v>218</v>
      </c>
      <c r="C46" s="109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>
        <v>1</v>
      </c>
      <c r="P46" s="91">
        <v>1</v>
      </c>
      <c r="Q46" s="91">
        <v>1</v>
      </c>
      <c r="R46" s="91">
        <v>1</v>
      </c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138"/>
      <c r="AE46" s="138"/>
      <c r="AF46" s="138"/>
      <c r="AG46" s="138"/>
      <c r="AH46" s="138"/>
      <c r="AI46" s="100"/>
      <c r="AJ46" s="100"/>
      <c r="AK46" s="100"/>
      <c r="AL46" s="100"/>
      <c r="AM46" s="100"/>
    </row>
    <row r="47" spans="1:39" ht="14.4" hidden="1">
      <c r="A47" s="201">
        <v>12</v>
      </c>
      <c r="B47" s="109" t="s">
        <v>306</v>
      </c>
      <c r="C47" s="109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138"/>
      <c r="AE47" s="138"/>
      <c r="AF47" s="138"/>
      <c r="AG47" s="138"/>
      <c r="AH47" s="138"/>
      <c r="AI47" s="100"/>
      <c r="AJ47" s="100"/>
      <c r="AK47" s="100"/>
      <c r="AL47" s="100"/>
      <c r="AM47" s="100"/>
    </row>
    <row r="48" spans="1:39" ht="14.4">
      <c r="A48" s="203"/>
      <c r="B48" s="196" t="s">
        <v>147</v>
      </c>
      <c r="C48" s="196"/>
      <c r="D48" s="171"/>
      <c r="E48" s="171">
        <v>5</v>
      </c>
      <c r="F48" s="171">
        <v>5</v>
      </c>
      <c r="G48" s="171">
        <v>6</v>
      </c>
      <c r="H48" s="171">
        <v>6</v>
      </c>
      <c r="I48" s="171">
        <v>5</v>
      </c>
      <c r="J48" s="171">
        <v>4</v>
      </c>
      <c r="K48" s="171">
        <v>7</v>
      </c>
      <c r="L48" s="171">
        <v>6</v>
      </c>
      <c r="M48" s="171">
        <v>4</v>
      </c>
      <c r="N48" s="171">
        <v>4</v>
      </c>
      <c r="O48" s="171">
        <v>6</v>
      </c>
      <c r="P48" s="171">
        <v>5</v>
      </c>
      <c r="Q48" s="171">
        <v>4</v>
      </c>
      <c r="R48" s="171">
        <v>3</v>
      </c>
      <c r="S48" s="171">
        <v>3</v>
      </c>
      <c r="T48" s="171"/>
      <c r="U48" s="171">
        <v>2</v>
      </c>
      <c r="V48" s="171">
        <v>4</v>
      </c>
      <c r="W48" s="171">
        <v>2</v>
      </c>
      <c r="X48" s="171">
        <v>3</v>
      </c>
      <c r="Y48" s="171"/>
      <c r="Z48" s="171">
        <v>4</v>
      </c>
      <c r="AA48" s="171">
        <v>5</v>
      </c>
      <c r="AB48" s="171">
        <v>5</v>
      </c>
      <c r="AC48" s="171">
        <v>3</v>
      </c>
      <c r="AD48" s="210"/>
      <c r="AE48" s="210">
        <v>3</v>
      </c>
      <c r="AF48" s="210">
        <v>4</v>
      </c>
      <c r="AG48" s="210">
        <v>3</v>
      </c>
      <c r="AH48" s="210"/>
      <c r="AI48" s="211"/>
      <c r="AJ48" s="211">
        <v>5</v>
      </c>
      <c r="AK48" s="211"/>
      <c r="AL48" s="211"/>
      <c r="AM48" s="211"/>
    </row>
    <row r="49" spans="6:39" ht="13.2">
      <c r="F49" s="95" t="s">
        <v>307</v>
      </c>
      <c r="G49" s="115">
        <v>154000</v>
      </c>
      <c r="H49" s="100"/>
      <c r="J49" s="114" t="s">
        <v>128</v>
      </c>
      <c r="K49" s="114" t="s">
        <v>308</v>
      </c>
      <c r="O49" s="85">
        <v>57</v>
      </c>
      <c r="P49" s="85"/>
      <c r="Q49" s="85"/>
      <c r="R49" s="85"/>
      <c r="S49" s="85">
        <v>44</v>
      </c>
      <c r="T49" s="85"/>
      <c r="U49" s="85"/>
      <c r="V49" s="85"/>
      <c r="W49" s="85"/>
      <c r="X49" s="85">
        <v>39</v>
      </c>
      <c r="Y49" s="85"/>
      <c r="Z49" s="85"/>
      <c r="AA49" s="85"/>
      <c r="AB49" s="85"/>
      <c r="AC49" s="85">
        <v>17</v>
      </c>
      <c r="AD49" s="100"/>
      <c r="AE49" s="100"/>
      <c r="AH49" s="85">
        <v>10</v>
      </c>
      <c r="AI49" s="100"/>
      <c r="AJ49" s="100"/>
      <c r="AK49" s="100"/>
      <c r="AL49" s="100"/>
      <c r="AM49" s="100"/>
    </row>
    <row r="50" spans="6:39" ht="13.2">
      <c r="N50" s="95" t="s">
        <v>128</v>
      </c>
      <c r="O50" s="116" t="s">
        <v>309</v>
      </c>
      <c r="P50" s="144"/>
      <c r="Q50" s="144"/>
      <c r="R50" s="144"/>
      <c r="S50" s="114" t="s">
        <v>310</v>
      </c>
      <c r="T50" s="116"/>
      <c r="U50" s="212"/>
      <c r="V50" s="212"/>
      <c r="W50" s="114" t="s">
        <v>128</v>
      </c>
      <c r="X50" s="114" t="s">
        <v>311</v>
      </c>
      <c r="Y50" s="213"/>
      <c r="Z50" s="212"/>
      <c r="AA50" s="212"/>
      <c r="AB50" s="214" t="s">
        <v>312</v>
      </c>
      <c r="AC50" s="214">
        <f>AC31+AC49</f>
        <v>40</v>
      </c>
      <c r="AD50" s="212"/>
      <c r="AE50" s="212"/>
      <c r="AF50" s="100"/>
      <c r="AG50" s="100"/>
      <c r="AH50" s="100">
        <v>26</v>
      </c>
      <c r="AI50" s="212"/>
      <c r="AJ50" s="212"/>
      <c r="AK50" s="212"/>
      <c r="AL50" s="212"/>
      <c r="AM50" s="212"/>
    </row>
    <row r="51" spans="6:39" ht="13.2">
      <c r="AB51" s="95" t="s">
        <v>128</v>
      </c>
      <c r="AC51" s="95">
        <f>AC50*3500-AC52</f>
        <v>120500</v>
      </c>
      <c r="AD51" s="100"/>
      <c r="AE51" s="100"/>
      <c r="AF51" s="212"/>
      <c r="AG51" s="214" t="s">
        <v>312</v>
      </c>
      <c r="AH51" s="214">
        <f>AH31+AH50</f>
        <v>26</v>
      </c>
      <c r="AI51" s="100"/>
      <c r="AJ51" s="100"/>
      <c r="AK51" s="100"/>
      <c r="AL51" s="100"/>
      <c r="AM51" s="100"/>
    </row>
    <row r="52" spans="6:39" ht="13.2">
      <c r="AB52" s="85" t="s">
        <v>313</v>
      </c>
      <c r="AC52" s="85">
        <v>19500</v>
      </c>
      <c r="AD52" s="100"/>
      <c r="AE52" s="100"/>
      <c r="AF52" s="100"/>
      <c r="AG52" s="95" t="s">
        <v>128</v>
      </c>
      <c r="AH52" s="95">
        <f>AH51*3500-AH53</f>
        <v>78000</v>
      </c>
      <c r="AI52" s="100"/>
      <c r="AJ52" s="100"/>
      <c r="AK52" s="100"/>
      <c r="AL52" s="100"/>
      <c r="AM52" s="100"/>
    </row>
    <row r="53" spans="6:39" ht="13.2">
      <c r="AD53" s="100"/>
      <c r="AE53" s="100"/>
      <c r="AF53" s="100"/>
      <c r="AG53" s="85" t="s">
        <v>313</v>
      </c>
      <c r="AH53" s="85">
        <f>AH51*500</f>
        <v>13000</v>
      </c>
      <c r="AI53" s="100"/>
      <c r="AJ53" s="100"/>
      <c r="AK53" s="100"/>
      <c r="AL53" s="100"/>
      <c r="AM53" s="100"/>
    </row>
    <row r="54" spans="6:39" ht="13.2"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</row>
    <row r="55" spans="6:39" ht="13.2"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</row>
    <row r="56" spans="6:39" ht="13.2"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</row>
    <row r="57" spans="6:39" ht="13.2"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</row>
    <row r="58" spans="6:39" ht="13.2">
      <c r="AD58" s="100"/>
      <c r="AE58" s="100"/>
      <c r="AF58" s="100"/>
      <c r="AG58" s="100">
        <v>0</v>
      </c>
      <c r="AH58" s="100"/>
      <c r="AI58" s="100"/>
      <c r="AJ58" s="100"/>
      <c r="AK58" s="100"/>
      <c r="AL58" s="100"/>
      <c r="AM58" s="100"/>
    </row>
    <row r="59" spans="6:39" ht="13.2"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</row>
    <row r="60" spans="6:39" ht="13.2"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</row>
    <row r="61" spans="6:39" ht="13.2"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</row>
    <row r="62" spans="6:39" ht="13.2"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</row>
    <row r="63" spans="6:39" ht="13.2"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</row>
    <row r="64" spans="6:39" ht="13.2"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</row>
    <row r="65" spans="30:39" ht="13.2"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</row>
    <row r="66" spans="30:39" ht="13.2"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</row>
    <row r="67" spans="30:39" ht="13.2"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</row>
    <row r="68" spans="30:39" ht="13.2"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</row>
    <row r="69" spans="30:39" ht="13.2"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</row>
    <row r="70" spans="30:39" ht="13.2"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</row>
    <row r="71" spans="30:39" ht="13.2"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</row>
    <row r="72" spans="30:39" ht="13.2"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</row>
    <row r="73" spans="30:39" ht="13.2"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</row>
    <row r="74" spans="30:39" ht="13.2"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</row>
    <row r="75" spans="30:39" ht="13.2"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</row>
    <row r="76" spans="30:39" ht="13.2"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</row>
    <row r="77" spans="30:39" ht="13.2"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</row>
    <row r="78" spans="30:39" ht="13.2"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</row>
    <row r="79" spans="30:39" ht="13.2"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</row>
    <row r="80" spans="30:39" ht="13.2"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</row>
    <row r="81" spans="30:39" ht="13.2"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</row>
    <row r="82" spans="30:39" ht="13.2"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</row>
    <row r="83" spans="30:39" ht="13.2"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</row>
    <row r="84" spans="30:39" ht="13.2"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</row>
    <row r="85" spans="30:39" ht="13.2"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</row>
    <row r="86" spans="30:39" ht="13.2"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</row>
    <row r="87" spans="30:39" ht="13.2"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</row>
    <row r="88" spans="30:39" ht="13.2"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</row>
    <row r="89" spans="30:39" ht="13.2"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</row>
    <row r="90" spans="30:39" ht="13.2"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</row>
    <row r="91" spans="30:39" ht="13.2"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</row>
    <row r="92" spans="30:39" ht="13.2"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</row>
    <row r="93" spans="30:39" ht="13.2"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</row>
    <row r="94" spans="30:39" ht="13.2"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</row>
    <row r="95" spans="30:39" ht="13.2"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</row>
    <row r="96" spans="30:39" ht="13.2"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</row>
    <row r="97" spans="30:39" ht="13.2"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</row>
    <row r="98" spans="30:39" ht="13.2"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</row>
    <row r="99" spans="30:39" ht="13.2"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</row>
    <row r="100" spans="30:39" ht="13.2"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</row>
    <row r="101" spans="30:39" ht="13.2"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</row>
    <row r="102" spans="30:39" ht="13.2"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</row>
    <row r="103" spans="30:39" ht="13.2"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</row>
    <row r="104" spans="30:39" ht="13.2"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</row>
    <row r="105" spans="30:39" ht="13.2"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</row>
    <row r="106" spans="30:39" ht="13.2"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</row>
    <row r="107" spans="30:39" ht="13.2"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</row>
    <row r="108" spans="30:39" ht="13.2"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</row>
    <row r="109" spans="30:39" ht="13.2"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</row>
    <row r="110" spans="30:39" ht="13.2"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</row>
    <row r="111" spans="30:39" ht="13.2"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</row>
    <row r="112" spans="30:39" ht="13.2"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</row>
    <row r="113" spans="30:39" ht="13.2"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</row>
    <row r="114" spans="30:39" ht="13.2"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</row>
    <row r="115" spans="30:39" ht="13.2"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</row>
    <row r="116" spans="30:39" ht="13.2"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</row>
    <row r="117" spans="30:39" ht="13.2"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</row>
    <row r="118" spans="30:39" ht="13.2"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</row>
    <row r="119" spans="30:39" ht="13.2"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</row>
    <row r="120" spans="30:39" ht="13.2"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</row>
    <row r="121" spans="30:39" ht="13.2"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</row>
    <row r="122" spans="30:39" ht="13.2"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</row>
    <row r="123" spans="30:39" ht="13.2"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</row>
    <row r="124" spans="30:39" ht="13.2"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</row>
    <row r="125" spans="30:39" ht="13.2"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</row>
    <row r="126" spans="30:39" ht="13.2"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</row>
    <row r="127" spans="30:39" ht="13.2"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</row>
    <row r="128" spans="30:39" ht="13.2"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</row>
    <row r="129" spans="30:39" ht="13.2"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</row>
    <row r="130" spans="30:39" ht="13.2"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</row>
    <row r="131" spans="30:39" ht="13.2"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</row>
    <row r="132" spans="30:39" ht="13.2"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</row>
    <row r="133" spans="30:39" ht="13.2"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</row>
    <row r="134" spans="30:39" ht="13.2"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</row>
    <row r="135" spans="30:39" ht="13.2"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</row>
    <row r="136" spans="30:39" ht="13.2"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</row>
    <row r="137" spans="30:39" ht="13.2"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</row>
    <row r="138" spans="30:39" ht="13.2"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</row>
    <row r="139" spans="30:39" ht="13.2"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</row>
    <row r="140" spans="30:39" ht="13.2"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</row>
    <row r="141" spans="30:39" ht="13.2"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</row>
    <row r="142" spans="30:39" ht="13.2"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</row>
    <row r="143" spans="30:39" ht="13.2"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</row>
    <row r="144" spans="30:39" ht="13.2"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</row>
    <row r="145" spans="30:39" ht="13.2"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</row>
    <row r="146" spans="30:39" ht="13.2"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</row>
    <row r="147" spans="30:39" ht="13.2"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</row>
    <row r="148" spans="30:39" ht="13.2"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</row>
    <row r="149" spans="30:39" ht="13.2"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</row>
    <row r="150" spans="30:39" ht="13.2"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</row>
    <row r="151" spans="30:39" ht="13.2"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</row>
    <row r="152" spans="30:39" ht="13.2"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</row>
    <row r="153" spans="30:39" ht="13.2"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</row>
    <row r="154" spans="30:39" ht="13.2"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</row>
    <row r="155" spans="30:39" ht="13.2"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</row>
    <row r="156" spans="30:39" ht="13.2"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</row>
    <row r="157" spans="30:39" ht="13.2"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</row>
    <row r="158" spans="30:39" ht="13.2"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</row>
    <row r="159" spans="30:39" ht="13.2"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</row>
    <row r="160" spans="30:39" ht="13.2"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</row>
    <row r="161" spans="30:39" ht="13.2"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</row>
    <row r="162" spans="30:39" ht="13.2"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</row>
    <row r="163" spans="30:39" ht="13.2"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</row>
    <row r="164" spans="30:39" ht="13.2"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</row>
    <row r="165" spans="30:39" ht="13.2"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</row>
    <row r="166" spans="30:39" ht="13.2"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</row>
    <row r="167" spans="30:39" ht="13.2"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</row>
    <row r="168" spans="30:39" ht="13.2"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</row>
    <row r="169" spans="30:39" ht="13.2"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</row>
    <row r="170" spans="30:39" ht="13.2"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</row>
    <row r="171" spans="30:39" ht="13.2"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</row>
    <row r="172" spans="30:39" ht="13.2"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</row>
    <row r="173" spans="30:39" ht="13.2"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</row>
    <row r="174" spans="30:39" ht="13.2"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</row>
    <row r="175" spans="30:39" ht="13.2"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</row>
    <row r="176" spans="30:39" ht="13.2"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</row>
    <row r="177" spans="30:39" ht="13.2"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</row>
    <row r="178" spans="30:39" ht="13.2"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</row>
    <row r="179" spans="30:39" ht="13.2"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</row>
    <row r="180" spans="30:39" ht="13.2"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</row>
    <row r="181" spans="30:39" ht="13.2"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</row>
    <row r="182" spans="30:39" ht="13.2"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</row>
    <row r="183" spans="30:39" ht="13.2"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</row>
    <row r="184" spans="30:39" ht="13.2"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</row>
    <row r="185" spans="30:39" ht="13.2"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</row>
    <row r="186" spans="30:39" ht="13.2"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</row>
    <row r="187" spans="30:39" ht="13.2"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</row>
    <row r="188" spans="30:39" ht="13.2"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</row>
    <row r="189" spans="30:39" ht="13.2"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</row>
    <row r="190" spans="30:39" ht="13.2"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</row>
    <row r="191" spans="30:39" ht="13.2"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</row>
    <row r="192" spans="30:39" ht="13.2"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</row>
    <row r="193" spans="30:39" ht="13.2"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</row>
    <row r="194" spans="30:39" ht="13.2"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</row>
    <row r="195" spans="30:39" ht="13.2"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</row>
    <row r="196" spans="30:39" ht="13.2"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</row>
    <row r="197" spans="30:39" ht="13.2"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</row>
    <row r="198" spans="30:39" ht="13.2"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</row>
    <row r="199" spans="30:39" ht="13.2"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</row>
    <row r="200" spans="30:39" ht="13.2"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</row>
    <row r="201" spans="30:39" ht="13.2"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</row>
    <row r="202" spans="30:39" ht="13.2"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</row>
    <row r="203" spans="30:39" ht="13.2"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</row>
    <row r="204" spans="30:39" ht="13.2"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</row>
    <row r="205" spans="30:39" ht="13.2"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</row>
    <row r="206" spans="30:39" ht="13.2"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</row>
    <row r="207" spans="30:39" ht="13.2"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</row>
    <row r="208" spans="30:39" ht="13.2"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</row>
    <row r="209" spans="30:39" ht="13.2"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</row>
    <row r="210" spans="30:39" ht="13.2"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</row>
    <row r="211" spans="30:39" ht="13.2"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</row>
    <row r="212" spans="30:39" ht="13.2"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</row>
    <row r="213" spans="30:39" ht="13.2"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</row>
    <row r="214" spans="30:39" ht="13.2"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</row>
    <row r="215" spans="30:39" ht="13.2"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</row>
    <row r="216" spans="30:39" ht="13.2"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</row>
    <row r="217" spans="30:39" ht="13.2"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</row>
    <row r="218" spans="30:39" ht="13.2"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</row>
    <row r="219" spans="30:39" ht="13.2"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</row>
    <row r="220" spans="30:39" ht="13.2"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</row>
    <row r="221" spans="30:39" ht="13.2"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</row>
    <row r="222" spans="30:39" ht="13.2"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</row>
    <row r="223" spans="30:39" ht="13.2"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</row>
    <row r="224" spans="30:39" ht="13.2"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</row>
    <row r="225" spans="30:39" ht="13.2"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</row>
    <row r="226" spans="30:39" ht="13.2"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</row>
    <row r="227" spans="30:39" ht="13.2"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</row>
    <row r="228" spans="30:39" ht="13.2"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</row>
    <row r="229" spans="30:39" ht="13.2"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</row>
    <row r="230" spans="30:39" ht="13.2"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</row>
    <row r="231" spans="30:39" ht="13.2"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</row>
    <row r="232" spans="30:39" ht="13.2"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</row>
    <row r="233" spans="30:39" ht="13.2"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</row>
    <row r="234" spans="30:39" ht="13.2"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</row>
    <row r="235" spans="30:39" ht="13.2"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</row>
    <row r="236" spans="30:39" ht="13.2"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</row>
    <row r="237" spans="30:39" ht="13.2"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</row>
    <row r="238" spans="30:39" ht="13.2"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</row>
    <row r="239" spans="30:39" ht="13.2"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</row>
    <row r="240" spans="30:39" ht="13.2"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</row>
    <row r="241" spans="30:39" ht="13.2"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</row>
    <row r="242" spans="30:39" ht="13.2"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</row>
    <row r="243" spans="30:39" ht="13.2"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</row>
    <row r="244" spans="30:39" ht="13.2"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</row>
    <row r="245" spans="30:39" ht="13.2"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</row>
    <row r="246" spans="30:39" ht="13.2"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</row>
    <row r="247" spans="30:39" ht="13.2"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</row>
    <row r="248" spans="30:39" ht="13.2"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</row>
    <row r="249" spans="30:39" ht="13.2"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</row>
    <row r="250" spans="30:39" ht="13.2"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</row>
    <row r="251" spans="30:39" ht="13.2"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</row>
    <row r="252" spans="30:39" ht="13.2"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</row>
    <row r="253" spans="30:39" ht="13.2"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</row>
    <row r="254" spans="30:39" ht="13.2"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</row>
    <row r="255" spans="30:39" ht="13.2"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</row>
    <row r="256" spans="30:39" ht="13.2"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</row>
    <row r="257" spans="30:39" ht="13.2"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</row>
    <row r="258" spans="30:39" ht="13.2"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</row>
    <row r="259" spans="30:39" ht="13.2"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</row>
    <row r="260" spans="30:39" ht="13.2"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</row>
    <row r="261" spans="30:39" ht="13.2"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</row>
    <row r="262" spans="30:39" ht="13.2"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</row>
    <row r="263" spans="30:39" ht="13.2"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</row>
    <row r="264" spans="30:39" ht="13.2"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</row>
    <row r="265" spans="30:39" ht="13.2"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</row>
    <row r="266" spans="30:39" ht="13.2"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</row>
    <row r="267" spans="30:39" ht="13.2"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</row>
    <row r="268" spans="30:39" ht="13.2"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</row>
    <row r="269" spans="30:39" ht="13.2"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</row>
    <row r="270" spans="30:39" ht="13.2"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</row>
    <row r="271" spans="30:39" ht="13.2"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</row>
    <row r="272" spans="30:39" ht="13.2"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</row>
    <row r="273" spans="30:39" ht="13.2"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</row>
    <row r="274" spans="30:39" ht="13.2"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</row>
    <row r="275" spans="30:39" ht="13.2"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</row>
    <row r="276" spans="30:39" ht="13.2"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</row>
    <row r="277" spans="30:39" ht="13.2"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</row>
    <row r="278" spans="30:39" ht="13.2"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</row>
    <row r="279" spans="30:39" ht="13.2"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</row>
    <row r="280" spans="30:39" ht="13.2"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</row>
    <row r="281" spans="30:39" ht="13.2"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</row>
    <row r="282" spans="30:39" ht="13.2"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</row>
    <row r="283" spans="30:39" ht="13.2"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</row>
    <row r="284" spans="30:39" ht="13.2"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</row>
    <row r="285" spans="30:39" ht="13.2"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</row>
    <row r="286" spans="30:39" ht="13.2"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</row>
    <row r="287" spans="30:39" ht="13.2"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</row>
    <row r="288" spans="30:39" ht="13.2"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</row>
    <row r="289" spans="30:39" ht="13.2"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</row>
    <row r="290" spans="30:39" ht="13.2"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</row>
    <row r="291" spans="30:39" ht="13.2"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</row>
    <row r="292" spans="30:39" ht="13.2"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</row>
    <row r="293" spans="30:39" ht="13.2"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</row>
    <row r="294" spans="30:39" ht="13.2"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</row>
    <row r="295" spans="30:39" ht="13.2"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</row>
    <row r="296" spans="30:39" ht="13.2"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</row>
    <row r="297" spans="30:39" ht="13.2"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</row>
    <row r="298" spans="30:39" ht="13.2"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</row>
    <row r="299" spans="30:39" ht="13.2"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</row>
    <row r="300" spans="30:39" ht="13.2"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</row>
    <row r="301" spans="30:39" ht="13.2"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</row>
    <row r="302" spans="30:39" ht="13.2"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</row>
    <row r="303" spans="30:39" ht="13.2"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</row>
    <row r="304" spans="30:39" ht="13.2"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</row>
    <row r="305" spans="30:39" ht="13.2"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</row>
    <row r="306" spans="30:39" ht="13.2"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</row>
    <row r="307" spans="30:39" ht="13.2"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</row>
    <row r="308" spans="30:39" ht="13.2"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</row>
    <row r="309" spans="30:39" ht="13.2"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</row>
    <row r="310" spans="30:39" ht="13.2"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</row>
    <row r="311" spans="30:39" ht="13.2"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</row>
    <row r="312" spans="30:39" ht="13.2"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</row>
    <row r="313" spans="30:39" ht="13.2"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</row>
    <row r="314" spans="30:39" ht="13.2"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</row>
    <row r="315" spans="30:39" ht="13.2"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</row>
    <row r="316" spans="30:39" ht="13.2"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</row>
    <row r="317" spans="30:39" ht="13.2"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</row>
    <row r="318" spans="30:39" ht="13.2"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</row>
    <row r="319" spans="30:39" ht="13.2"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</row>
    <row r="320" spans="30:39" ht="13.2"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</row>
    <row r="321" spans="30:39" ht="13.2"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</row>
    <row r="322" spans="30:39" ht="13.2"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</row>
    <row r="323" spans="30:39" ht="13.2"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</row>
    <row r="324" spans="30:39" ht="13.2"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</row>
    <row r="325" spans="30:39" ht="13.2"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</row>
    <row r="326" spans="30:39" ht="13.2"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</row>
    <row r="327" spans="30:39" ht="13.2"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</row>
    <row r="328" spans="30:39" ht="13.2"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</row>
    <row r="329" spans="30:39" ht="13.2"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</row>
    <row r="330" spans="30:39" ht="13.2"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</row>
    <row r="331" spans="30:39" ht="13.2"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</row>
    <row r="332" spans="30:39" ht="13.2"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</row>
    <row r="333" spans="30:39" ht="13.2"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</row>
    <row r="334" spans="30:39" ht="13.2"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</row>
    <row r="335" spans="30:39" ht="13.2"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</row>
    <row r="336" spans="30:39" ht="13.2"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</row>
    <row r="337" spans="30:39" ht="13.2"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</row>
    <row r="338" spans="30:39" ht="13.2"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</row>
    <row r="339" spans="30:39" ht="13.2"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</row>
    <row r="340" spans="30:39" ht="13.2"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</row>
    <row r="341" spans="30:39" ht="13.2"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</row>
    <row r="342" spans="30:39" ht="13.2"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</row>
    <row r="343" spans="30:39" ht="13.2"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</row>
    <row r="344" spans="30:39" ht="13.2"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</row>
    <row r="345" spans="30:39" ht="13.2"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</row>
    <row r="346" spans="30:39" ht="13.2"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</row>
    <row r="347" spans="30:39" ht="13.2"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</row>
    <row r="348" spans="30:39" ht="13.2"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</row>
    <row r="349" spans="30:39" ht="13.2"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</row>
    <row r="350" spans="30:39" ht="13.2"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</row>
    <row r="351" spans="30:39" ht="13.2"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</row>
    <row r="352" spans="30:39" ht="13.2"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</row>
    <row r="353" spans="30:39" ht="13.2"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</row>
    <row r="354" spans="30:39" ht="13.2"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</row>
    <row r="355" spans="30:39" ht="13.2"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</row>
    <row r="356" spans="30:39" ht="13.2"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</row>
    <row r="357" spans="30:39" ht="13.2"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</row>
    <row r="358" spans="30:39" ht="13.2"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</row>
    <row r="359" spans="30:39" ht="13.2"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</row>
    <row r="360" spans="30:39" ht="13.2"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</row>
    <row r="361" spans="30:39" ht="13.2"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</row>
    <row r="362" spans="30:39" ht="13.2"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</row>
    <row r="363" spans="30:39" ht="13.2"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</row>
    <row r="364" spans="30:39" ht="13.2"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</row>
    <row r="365" spans="30:39" ht="13.2"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</row>
    <row r="366" spans="30:39" ht="13.2"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</row>
    <row r="367" spans="30:39" ht="13.2"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</row>
    <row r="368" spans="30:39" ht="13.2"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</row>
    <row r="369" spans="30:39" ht="13.2"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</row>
    <row r="370" spans="30:39" ht="13.2"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</row>
    <row r="371" spans="30:39" ht="13.2"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</row>
    <row r="372" spans="30:39" ht="13.2"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</row>
    <row r="373" spans="30:39" ht="13.2"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</row>
    <row r="374" spans="30:39" ht="13.2"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</row>
    <row r="375" spans="30:39" ht="13.2"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</row>
    <row r="376" spans="30:39" ht="13.2"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</row>
    <row r="377" spans="30:39" ht="13.2"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</row>
    <row r="378" spans="30:39" ht="13.2"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</row>
    <row r="379" spans="30:39" ht="13.2"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</row>
    <row r="380" spans="30:39" ht="13.2"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</row>
    <row r="381" spans="30:39" ht="13.2"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</row>
    <row r="382" spans="30:39" ht="13.2"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</row>
    <row r="383" spans="30:39" ht="13.2"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</row>
    <row r="384" spans="30:39" ht="13.2"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</row>
    <row r="385" spans="30:39" ht="13.2"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</row>
    <row r="386" spans="30:39" ht="13.2"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</row>
    <row r="387" spans="30:39" ht="13.2"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</row>
    <row r="388" spans="30:39" ht="13.2"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</row>
    <row r="389" spans="30:39" ht="13.2"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</row>
    <row r="390" spans="30:39" ht="13.2"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</row>
    <row r="391" spans="30:39" ht="13.2"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</row>
    <row r="392" spans="30:39" ht="13.2"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</row>
    <row r="393" spans="30:39" ht="13.2"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</row>
    <row r="394" spans="30:39" ht="13.2"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</row>
    <row r="395" spans="30:39" ht="13.2"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</row>
    <row r="396" spans="30:39" ht="13.2"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</row>
    <row r="397" spans="30:39" ht="13.2"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</row>
    <row r="398" spans="30:39" ht="13.2"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</row>
    <row r="399" spans="30:39" ht="13.2"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</row>
    <row r="400" spans="30:39" ht="13.2"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</row>
    <row r="401" spans="30:39" ht="13.2"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</row>
    <row r="402" spans="30:39" ht="13.2"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</row>
    <row r="403" spans="30:39" ht="13.2"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</row>
    <row r="404" spans="30:39" ht="13.2"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</row>
    <row r="405" spans="30:39" ht="13.2"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</row>
    <row r="406" spans="30:39" ht="13.2"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</row>
    <row r="407" spans="30:39" ht="13.2"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</row>
    <row r="408" spans="30:39" ht="13.2"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</row>
    <row r="409" spans="30:39" ht="13.2"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</row>
    <row r="410" spans="30:39" ht="13.2"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</row>
    <row r="411" spans="30:39" ht="13.2"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</row>
    <row r="412" spans="30:39" ht="13.2"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</row>
    <row r="413" spans="30:39" ht="13.2"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</row>
    <row r="414" spans="30:39" ht="13.2"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</row>
    <row r="415" spans="30:39" ht="13.2"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</row>
    <row r="416" spans="30:39" ht="13.2"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</row>
    <row r="417" spans="30:39" ht="13.2"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</row>
    <row r="418" spans="30:39" ht="13.2"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</row>
    <row r="419" spans="30:39" ht="13.2"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</row>
    <row r="420" spans="30:39" ht="13.2"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</row>
    <row r="421" spans="30:39" ht="13.2"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</row>
    <row r="422" spans="30:39" ht="13.2"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</row>
    <row r="423" spans="30:39" ht="13.2"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</row>
    <row r="424" spans="30:39" ht="13.2"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</row>
    <row r="425" spans="30:39" ht="13.2"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</row>
    <row r="426" spans="30:39" ht="13.2"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</row>
    <row r="427" spans="30:39" ht="13.2"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</row>
    <row r="428" spans="30:39" ht="13.2"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</row>
    <row r="429" spans="30:39" ht="13.2"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</row>
    <row r="430" spans="30:39" ht="13.2"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</row>
    <row r="431" spans="30:39" ht="13.2"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</row>
    <row r="432" spans="30:39" ht="13.2"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</row>
    <row r="433" spans="30:39" ht="13.2"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</row>
    <row r="434" spans="30:39" ht="13.2"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</row>
    <row r="435" spans="30:39" ht="13.2"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</row>
    <row r="436" spans="30:39" ht="13.2"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</row>
    <row r="437" spans="30:39" ht="13.2"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</row>
    <row r="438" spans="30:39" ht="13.2"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</row>
    <row r="439" spans="30:39" ht="13.2"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</row>
    <row r="440" spans="30:39" ht="13.2"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</row>
    <row r="441" spans="30:39" ht="13.2"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</row>
    <row r="442" spans="30:39" ht="13.2"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</row>
    <row r="443" spans="30:39" ht="13.2"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</row>
    <row r="444" spans="30:39" ht="13.2"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</row>
    <row r="445" spans="30:39" ht="13.2"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</row>
    <row r="446" spans="30:39" ht="13.2"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</row>
    <row r="447" spans="30:39" ht="13.2"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</row>
    <row r="448" spans="30:39" ht="13.2"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</row>
    <row r="449" spans="30:39" ht="13.2"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</row>
    <row r="450" spans="30:39" ht="13.2"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</row>
    <row r="451" spans="30:39" ht="13.2"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</row>
    <row r="452" spans="30:39" ht="13.2"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</row>
    <row r="453" spans="30:39" ht="13.2"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</row>
    <row r="454" spans="30:39" ht="13.2"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</row>
    <row r="455" spans="30:39" ht="13.2"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</row>
    <row r="456" spans="30:39" ht="13.2"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</row>
    <row r="457" spans="30:39" ht="13.2"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</row>
    <row r="458" spans="30:39" ht="13.2"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</row>
    <row r="459" spans="30:39" ht="13.2"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</row>
    <row r="460" spans="30:39" ht="13.2"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</row>
    <row r="461" spans="30:39" ht="13.2"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</row>
    <row r="462" spans="30:39" ht="13.2"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</row>
    <row r="463" spans="30:39" ht="13.2"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</row>
    <row r="464" spans="30:39" ht="13.2"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</row>
    <row r="465" spans="30:39" ht="13.2"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</row>
    <row r="466" spans="30:39" ht="13.2"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</row>
    <row r="467" spans="30:39" ht="13.2"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</row>
    <row r="468" spans="30:39" ht="13.2"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</row>
    <row r="469" spans="30:39" ht="13.2"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</row>
    <row r="470" spans="30:39" ht="13.2"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</row>
    <row r="471" spans="30:39" ht="13.2"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</row>
    <row r="472" spans="30:39" ht="13.2"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</row>
    <row r="473" spans="30:39" ht="13.2"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</row>
    <row r="474" spans="30:39" ht="13.2"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</row>
    <row r="475" spans="30:39" ht="13.2"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</row>
    <row r="476" spans="30:39" ht="13.2"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</row>
    <row r="477" spans="30:39" ht="13.2"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</row>
    <row r="478" spans="30:39" ht="13.2"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</row>
    <row r="479" spans="30:39" ht="13.2"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</row>
    <row r="480" spans="30:39" ht="13.2"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</row>
    <row r="481" spans="30:39" ht="13.2"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</row>
    <row r="482" spans="30:39" ht="13.2"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</row>
    <row r="483" spans="30:39" ht="13.2"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</row>
    <row r="484" spans="30:39" ht="13.2"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</row>
    <row r="485" spans="30:39" ht="13.2"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</row>
    <row r="486" spans="30:39" ht="13.2"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</row>
    <row r="487" spans="30:39" ht="13.2"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</row>
    <row r="488" spans="30:39" ht="13.2"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</row>
    <row r="489" spans="30:39" ht="13.2"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</row>
    <row r="490" spans="30:39" ht="13.2"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</row>
    <row r="491" spans="30:39" ht="13.2"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</row>
    <row r="492" spans="30:39" ht="13.2"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</row>
    <row r="493" spans="30:39" ht="13.2"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</row>
    <row r="494" spans="30:39" ht="13.2"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</row>
    <row r="495" spans="30:39" ht="13.2"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</row>
    <row r="496" spans="30:39" ht="13.2"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</row>
    <row r="497" spans="30:39" ht="13.2"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</row>
    <row r="498" spans="30:39" ht="13.2"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</row>
    <row r="499" spans="30:39" ht="13.2"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</row>
    <row r="500" spans="30:39" ht="13.2"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</row>
    <row r="501" spans="30:39" ht="13.2"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</row>
    <row r="502" spans="30:39" ht="13.2"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</row>
    <row r="503" spans="30:39" ht="13.2"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</row>
    <row r="504" spans="30:39" ht="13.2"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</row>
    <row r="505" spans="30:39" ht="13.2"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</row>
    <row r="506" spans="30:39" ht="13.2"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</row>
    <row r="507" spans="30:39" ht="13.2"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</row>
    <row r="508" spans="30:39" ht="13.2"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</row>
    <row r="509" spans="30:39" ht="13.2"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</row>
    <row r="510" spans="30:39" ht="13.2"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</row>
    <row r="511" spans="30:39" ht="13.2"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</row>
    <row r="512" spans="30:39" ht="13.2"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</row>
    <row r="513" spans="30:39" ht="13.2"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</row>
    <row r="514" spans="30:39" ht="13.2"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</row>
    <row r="515" spans="30:39" ht="13.2"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</row>
    <row r="516" spans="30:39" ht="13.2"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</row>
    <row r="517" spans="30:39" ht="13.2"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</row>
    <row r="518" spans="30:39" ht="13.2"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</row>
    <row r="519" spans="30:39" ht="13.2"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</row>
    <row r="520" spans="30:39" ht="13.2"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</row>
    <row r="521" spans="30:39" ht="13.2"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</row>
    <row r="522" spans="30:39" ht="13.2"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</row>
    <row r="523" spans="30:39" ht="13.2"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</row>
    <row r="524" spans="30:39" ht="13.2"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</row>
    <row r="525" spans="30:39" ht="13.2"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</row>
    <row r="526" spans="30:39" ht="13.2"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</row>
    <row r="527" spans="30:39" ht="13.2"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</row>
    <row r="528" spans="30:39" ht="13.2"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</row>
    <row r="529" spans="30:39" ht="13.2"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</row>
    <row r="530" spans="30:39" ht="13.2"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</row>
    <row r="531" spans="30:39" ht="13.2"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</row>
    <row r="532" spans="30:39" ht="13.2"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</row>
    <row r="533" spans="30:39" ht="13.2"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</row>
    <row r="534" spans="30:39" ht="13.2"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</row>
    <row r="535" spans="30:39" ht="13.2"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</row>
    <row r="536" spans="30:39" ht="13.2"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</row>
    <row r="537" spans="30:39" ht="13.2"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</row>
    <row r="538" spans="30:39" ht="13.2"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</row>
    <row r="539" spans="30:39" ht="13.2"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</row>
    <row r="540" spans="30:39" ht="13.2"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</row>
    <row r="541" spans="30:39" ht="13.2"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</row>
    <row r="542" spans="30:39" ht="13.2"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</row>
    <row r="543" spans="30:39" ht="13.2"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</row>
    <row r="544" spans="30:39" ht="13.2"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</row>
    <row r="545" spans="30:39" ht="13.2"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</row>
    <row r="546" spans="30:39" ht="13.2"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</row>
    <row r="547" spans="30:39" ht="13.2"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</row>
    <row r="548" spans="30:39" ht="13.2"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</row>
    <row r="549" spans="30:39" ht="13.2"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</row>
    <row r="550" spans="30:39" ht="13.2"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</row>
    <row r="551" spans="30:39" ht="13.2"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</row>
    <row r="552" spans="30:39" ht="13.2"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</row>
    <row r="553" spans="30:39" ht="13.2"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</row>
    <row r="554" spans="30:39" ht="13.2"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</row>
    <row r="555" spans="30:39" ht="13.2"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</row>
    <row r="556" spans="30:39" ht="13.2"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</row>
    <row r="557" spans="30:39" ht="13.2"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</row>
    <row r="558" spans="30:39" ht="13.2"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</row>
    <row r="559" spans="30:39" ht="13.2"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</row>
    <row r="560" spans="30:39" ht="13.2"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</row>
    <row r="561" spans="30:39" ht="13.2"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</row>
    <row r="562" spans="30:39" ht="13.2"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</row>
    <row r="563" spans="30:39" ht="13.2"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</row>
    <row r="564" spans="30:39" ht="13.2"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</row>
    <row r="565" spans="30:39" ht="13.2"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</row>
    <row r="566" spans="30:39" ht="13.2"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</row>
    <row r="567" spans="30:39" ht="13.2"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</row>
    <row r="568" spans="30:39" ht="13.2"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</row>
    <row r="569" spans="30:39" ht="13.2"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</row>
    <row r="570" spans="30:39" ht="13.2"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</row>
    <row r="571" spans="30:39" ht="13.2"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</row>
    <row r="572" spans="30:39" ht="13.2"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</row>
    <row r="573" spans="30:39" ht="13.2"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</row>
    <row r="574" spans="30:39" ht="13.2"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</row>
    <row r="575" spans="30:39" ht="13.2"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</row>
    <row r="576" spans="30:39" ht="13.2"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</row>
    <row r="577" spans="30:39" ht="13.2"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</row>
    <row r="578" spans="30:39" ht="13.2"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</row>
    <row r="579" spans="30:39" ht="13.2"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</row>
    <row r="580" spans="30:39" ht="13.2"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</row>
    <row r="581" spans="30:39" ht="13.2"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</row>
    <row r="582" spans="30:39" ht="13.2"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</row>
    <row r="583" spans="30:39" ht="13.2"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</row>
    <row r="584" spans="30:39" ht="13.2"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</row>
    <row r="585" spans="30:39" ht="13.2"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</row>
    <row r="586" spans="30:39" ht="13.2"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</row>
    <row r="587" spans="30:39" ht="13.2"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</row>
    <row r="588" spans="30:39" ht="13.2"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</row>
    <row r="589" spans="30:39" ht="13.2"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</row>
    <row r="590" spans="30:39" ht="13.2"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</row>
    <row r="591" spans="30:39" ht="13.2"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</row>
    <row r="592" spans="30:39" ht="13.2"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</row>
    <row r="593" spans="30:39" ht="13.2"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</row>
    <row r="594" spans="30:39" ht="13.2"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</row>
    <row r="595" spans="30:39" ht="13.2"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</row>
    <row r="596" spans="30:39" ht="13.2"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</row>
    <row r="597" spans="30:39" ht="13.2"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</row>
    <row r="598" spans="30:39" ht="13.2"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</row>
    <row r="599" spans="30:39" ht="13.2"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</row>
    <row r="600" spans="30:39" ht="13.2"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</row>
    <row r="601" spans="30:39" ht="13.2"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</row>
    <row r="602" spans="30:39" ht="13.2"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</row>
    <row r="603" spans="30:39" ht="13.2"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</row>
    <row r="604" spans="30:39" ht="13.2"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</row>
    <row r="605" spans="30:39" ht="13.2"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</row>
    <row r="606" spans="30:39" ht="13.2"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</row>
    <row r="607" spans="30:39" ht="13.2"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</row>
    <row r="608" spans="30:39" ht="13.2"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</row>
    <row r="609" spans="30:39" ht="13.2"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</row>
    <row r="610" spans="30:39" ht="13.2"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</row>
    <row r="611" spans="30:39" ht="13.2"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</row>
    <row r="612" spans="30:39" ht="13.2"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</row>
    <row r="613" spans="30:39" ht="13.2"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</row>
    <row r="614" spans="30:39" ht="13.2"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</row>
    <row r="615" spans="30:39" ht="13.2"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</row>
    <row r="616" spans="30:39" ht="13.2"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</row>
    <row r="617" spans="30:39" ht="13.2"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</row>
    <row r="618" spans="30:39" ht="13.2"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</row>
    <row r="619" spans="30:39" ht="13.2"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</row>
    <row r="620" spans="30:39" ht="13.2"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</row>
    <row r="621" spans="30:39" ht="13.2"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</row>
    <row r="622" spans="30:39" ht="13.2"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</row>
    <row r="623" spans="30:39" ht="13.2"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</row>
    <row r="624" spans="30:39" ht="13.2"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</row>
    <row r="625" spans="30:39" ht="13.2"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</row>
    <row r="626" spans="30:39" ht="13.2"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</row>
    <row r="627" spans="30:39" ht="13.2"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</row>
    <row r="628" spans="30:39" ht="13.2"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</row>
    <row r="629" spans="30:39" ht="13.2"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</row>
    <row r="630" spans="30:39" ht="13.2"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</row>
    <row r="631" spans="30:39" ht="13.2"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</row>
    <row r="632" spans="30:39" ht="13.2"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</row>
    <row r="633" spans="30:39" ht="13.2"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</row>
    <row r="634" spans="30:39" ht="13.2"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</row>
    <row r="635" spans="30:39" ht="13.2"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</row>
    <row r="636" spans="30:39" ht="13.2"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</row>
    <row r="637" spans="30:39" ht="13.2"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</row>
    <row r="638" spans="30:39" ht="13.2"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</row>
    <row r="639" spans="30:39" ht="13.2"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</row>
    <row r="640" spans="30:39" ht="13.2"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</row>
    <row r="641" spans="30:39" ht="13.2"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</row>
    <row r="642" spans="30:39" ht="13.2"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</row>
    <row r="643" spans="30:39" ht="13.2"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</row>
    <row r="644" spans="30:39" ht="13.2"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</row>
    <row r="645" spans="30:39" ht="13.2"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</row>
    <row r="646" spans="30:39" ht="13.2"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</row>
    <row r="647" spans="30:39" ht="13.2"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</row>
    <row r="648" spans="30:39" ht="13.2"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</row>
    <row r="649" spans="30:39" ht="13.2"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</row>
    <row r="650" spans="30:39" ht="13.2"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</row>
    <row r="651" spans="30:39" ht="13.2"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</row>
    <row r="652" spans="30:39" ht="13.2"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</row>
    <row r="653" spans="30:39" ht="13.2"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</row>
    <row r="654" spans="30:39" ht="13.2"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</row>
    <row r="655" spans="30:39" ht="13.2"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</row>
    <row r="656" spans="30:39" ht="13.2"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</row>
    <row r="657" spans="30:39" ht="13.2"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</row>
    <row r="658" spans="30:39" ht="13.2"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</row>
    <row r="659" spans="30:39" ht="13.2"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</row>
    <row r="660" spans="30:39" ht="13.2"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</row>
    <row r="661" spans="30:39" ht="13.2"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</row>
    <row r="662" spans="30:39" ht="13.2"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</row>
    <row r="663" spans="30:39" ht="13.2"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</row>
    <row r="664" spans="30:39" ht="13.2"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</row>
    <row r="665" spans="30:39" ht="13.2"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</row>
    <row r="666" spans="30:39" ht="13.2"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</row>
    <row r="667" spans="30:39" ht="13.2"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</row>
    <row r="668" spans="30:39" ht="13.2"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</row>
    <row r="669" spans="30:39" ht="13.2"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</row>
    <row r="670" spans="30:39" ht="13.2"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</row>
    <row r="671" spans="30:39" ht="13.2"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</row>
    <row r="672" spans="30:39" ht="13.2"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</row>
    <row r="673" spans="30:39" ht="13.2"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</row>
    <row r="674" spans="30:39" ht="13.2"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</row>
    <row r="675" spans="30:39" ht="13.2"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</row>
    <row r="676" spans="30:39" ht="13.2"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</row>
    <row r="677" spans="30:39" ht="13.2"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</row>
    <row r="678" spans="30:39" ht="13.2"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</row>
    <row r="679" spans="30:39" ht="13.2"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</row>
    <row r="680" spans="30:39" ht="13.2"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</row>
    <row r="681" spans="30:39" ht="13.2"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</row>
    <row r="682" spans="30:39" ht="13.2"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</row>
    <row r="683" spans="30:39" ht="13.2"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</row>
    <row r="684" spans="30:39" ht="13.2"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</row>
    <row r="685" spans="30:39" ht="13.2"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</row>
    <row r="686" spans="30:39" ht="13.2"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</row>
    <row r="687" spans="30:39" ht="13.2"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</row>
    <row r="688" spans="30:39" ht="13.2"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</row>
    <row r="689" spans="30:39" ht="13.2"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</row>
    <row r="690" spans="30:39" ht="13.2"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</row>
    <row r="691" spans="30:39" ht="13.2"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</row>
    <row r="692" spans="30:39" ht="13.2"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</row>
    <row r="693" spans="30:39" ht="13.2"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</row>
    <row r="694" spans="30:39" ht="13.2"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</row>
    <row r="695" spans="30:39" ht="13.2"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</row>
    <row r="696" spans="30:39" ht="13.2"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</row>
    <row r="697" spans="30:39" ht="13.2"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</row>
    <row r="698" spans="30:39" ht="13.2"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</row>
    <row r="699" spans="30:39" ht="13.2"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</row>
    <row r="700" spans="30:39" ht="13.2"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</row>
    <row r="701" spans="30:39" ht="13.2"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</row>
    <row r="702" spans="30:39" ht="13.2"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</row>
    <row r="703" spans="30:39" ht="13.2"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</row>
    <row r="704" spans="30:39" ht="13.2"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</row>
    <row r="705" spans="30:39" ht="13.2"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</row>
    <row r="706" spans="30:39" ht="13.2"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</row>
    <row r="707" spans="30:39" ht="13.2"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</row>
    <row r="708" spans="30:39" ht="13.2"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</row>
    <row r="709" spans="30:39" ht="13.2"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</row>
    <row r="710" spans="30:39" ht="13.2"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</row>
    <row r="711" spans="30:39" ht="13.2"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</row>
    <row r="712" spans="30:39" ht="13.2"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</row>
    <row r="713" spans="30:39" ht="13.2"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</row>
    <row r="714" spans="30:39" ht="13.2"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</row>
    <row r="715" spans="30:39" ht="13.2"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</row>
    <row r="716" spans="30:39" ht="13.2"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</row>
    <row r="717" spans="30:39" ht="13.2"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</row>
    <row r="718" spans="30:39" ht="13.2"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</row>
    <row r="719" spans="30:39" ht="13.2"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</row>
    <row r="720" spans="30:39" ht="13.2"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</row>
    <row r="721" spans="30:39" ht="13.2"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</row>
    <row r="722" spans="30:39" ht="13.2"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</row>
    <row r="723" spans="30:39" ht="13.2"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</row>
    <row r="724" spans="30:39" ht="13.2"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</row>
    <row r="725" spans="30:39" ht="13.2"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</row>
    <row r="726" spans="30:39" ht="13.2"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</row>
    <row r="727" spans="30:39" ht="13.2"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</row>
    <row r="728" spans="30:39" ht="13.2"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</row>
    <row r="729" spans="30:39" ht="13.2"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</row>
    <row r="730" spans="30:39" ht="13.2"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</row>
    <row r="731" spans="30:39" ht="13.2"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</row>
    <row r="732" spans="30:39" ht="13.2"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</row>
    <row r="733" spans="30:39" ht="13.2"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</row>
    <row r="734" spans="30:39" ht="13.2"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</row>
    <row r="735" spans="30:39" ht="13.2"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</row>
    <row r="736" spans="30:39" ht="13.2"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</row>
    <row r="737" spans="30:39" ht="13.2"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</row>
    <row r="738" spans="30:39" ht="13.2"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</row>
    <row r="739" spans="30:39" ht="13.2"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</row>
    <row r="740" spans="30:39" ht="13.2"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</row>
    <row r="741" spans="30:39" ht="13.2"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</row>
    <row r="742" spans="30:39" ht="13.2"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</row>
    <row r="743" spans="30:39" ht="13.2"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</row>
    <row r="744" spans="30:39" ht="13.2"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</row>
    <row r="745" spans="30:39" ht="13.2"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</row>
    <row r="746" spans="30:39" ht="13.2"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</row>
    <row r="747" spans="30:39" ht="13.2"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</row>
    <row r="748" spans="30:39" ht="13.2"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</row>
    <row r="749" spans="30:39" ht="13.2"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</row>
    <row r="750" spans="30:39" ht="13.2"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</row>
    <row r="751" spans="30:39" ht="13.2"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</row>
    <row r="752" spans="30:39" ht="13.2"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</row>
    <row r="753" spans="30:39" ht="13.2"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</row>
    <row r="754" spans="30:39" ht="13.2"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</row>
    <row r="755" spans="30:39" ht="13.2"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</row>
    <row r="756" spans="30:39" ht="13.2"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</row>
    <row r="757" spans="30:39" ht="13.2"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</row>
    <row r="758" spans="30:39" ht="13.2"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</row>
    <row r="759" spans="30:39" ht="13.2"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</row>
    <row r="760" spans="30:39" ht="13.2"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</row>
    <row r="761" spans="30:39" ht="13.2"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</row>
    <row r="762" spans="30:39" ht="13.2"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</row>
    <row r="763" spans="30:39" ht="13.2"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</row>
    <row r="764" spans="30:39" ht="13.2"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</row>
    <row r="765" spans="30:39" ht="13.2"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</row>
    <row r="766" spans="30:39" ht="13.2"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</row>
    <row r="767" spans="30:39" ht="13.2"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</row>
    <row r="768" spans="30:39" ht="13.2"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</row>
    <row r="769" spans="30:39" ht="13.2"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</row>
    <row r="770" spans="30:39" ht="13.2"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</row>
    <row r="771" spans="30:39" ht="13.2"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</row>
    <row r="772" spans="30:39" ht="13.2"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</row>
    <row r="773" spans="30:39" ht="13.2"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</row>
    <row r="774" spans="30:39" ht="13.2"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</row>
    <row r="775" spans="30:39" ht="13.2"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</row>
    <row r="776" spans="30:39" ht="13.2"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</row>
    <row r="777" spans="30:39" ht="13.2"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</row>
    <row r="778" spans="30:39" ht="13.2"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</row>
    <row r="779" spans="30:39" ht="13.2"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</row>
    <row r="780" spans="30:39" ht="13.2"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</row>
    <row r="781" spans="30:39" ht="13.2"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</row>
    <row r="782" spans="30:39" ht="13.2"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</row>
    <row r="783" spans="30:39" ht="13.2"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</row>
    <row r="784" spans="30:39" ht="13.2"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</row>
    <row r="785" spans="30:39" ht="13.2"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</row>
    <row r="786" spans="30:39" ht="13.2"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</row>
    <row r="787" spans="30:39" ht="13.2"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</row>
    <row r="788" spans="30:39" ht="13.2"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</row>
    <row r="789" spans="30:39" ht="13.2"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</row>
    <row r="790" spans="30:39" ht="13.2"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</row>
    <row r="791" spans="30:39" ht="13.2"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</row>
    <row r="792" spans="30:39" ht="13.2"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</row>
    <row r="793" spans="30:39" ht="13.2"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</row>
    <row r="794" spans="30:39" ht="13.2"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</row>
    <row r="795" spans="30:39" ht="13.2"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</row>
    <row r="796" spans="30:39" ht="13.2"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</row>
    <row r="797" spans="30:39" ht="13.2"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</row>
    <row r="798" spans="30:39" ht="13.2"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</row>
    <row r="799" spans="30:39" ht="13.2"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</row>
    <row r="800" spans="30:39" ht="13.2"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</row>
    <row r="801" spans="30:39" ht="13.2"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</row>
    <row r="802" spans="30:39" ht="13.2"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</row>
    <row r="803" spans="30:39" ht="13.2"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</row>
    <row r="804" spans="30:39" ht="13.2"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</row>
    <row r="805" spans="30:39" ht="13.2"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</row>
    <row r="806" spans="30:39" ht="13.2"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</row>
    <row r="807" spans="30:39" ht="13.2"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</row>
    <row r="808" spans="30:39" ht="13.2"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</row>
    <row r="809" spans="30:39" ht="13.2"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</row>
    <row r="810" spans="30:39" ht="13.2"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</row>
    <row r="811" spans="30:39" ht="13.2"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</row>
    <row r="812" spans="30:39" ht="13.2"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</row>
    <row r="813" spans="30:39" ht="13.2"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</row>
    <row r="814" spans="30:39" ht="13.2"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</row>
    <row r="815" spans="30:39" ht="13.2"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</row>
    <row r="816" spans="30:39" ht="13.2"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</row>
    <row r="817" spans="30:39" ht="13.2"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</row>
    <row r="818" spans="30:39" ht="13.2"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</row>
    <row r="819" spans="30:39" ht="13.2"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</row>
    <row r="820" spans="30:39" ht="13.2"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</row>
    <row r="821" spans="30:39" ht="13.2"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</row>
    <row r="822" spans="30:39" ht="13.2"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</row>
    <row r="823" spans="30:39" ht="13.2"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</row>
    <row r="824" spans="30:39" ht="13.2"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</row>
    <row r="825" spans="30:39" ht="13.2"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</row>
    <row r="826" spans="30:39" ht="13.2"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</row>
    <row r="827" spans="30:39" ht="13.2"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</row>
    <row r="828" spans="30:39" ht="13.2"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</row>
    <row r="829" spans="30:39" ht="13.2"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</row>
    <row r="830" spans="30:39" ht="13.2"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</row>
    <row r="831" spans="30:39" ht="13.2"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</row>
    <row r="832" spans="30:39" ht="13.2"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</row>
    <row r="833" spans="30:39" ht="13.2"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</row>
    <row r="834" spans="30:39" ht="13.2"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</row>
    <row r="835" spans="30:39" ht="13.2"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</row>
    <row r="836" spans="30:39" ht="13.2"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</row>
    <row r="837" spans="30:39" ht="13.2"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</row>
    <row r="838" spans="30:39" ht="13.2"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</row>
    <row r="839" spans="30:39" ht="13.2"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</row>
    <row r="840" spans="30:39" ht="13.2"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</row>
    <row r="841" spans="30:39" ht="13.2"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</row>
    <row r="842" spans="30:39" ht="13.2"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</row>
    <row r="843" spans="30:39" ht="13.2"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</row>
    <row r="844" spans="30:39" ht="13.2"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</row>
    <row r="845" spans="30:39" ht="13.2"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</row>
    <row r="846" spans="30:39" ht="13.2"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</row>
    <row r="847" spans="30:39" ht="13.2"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</row>
    <row r="848" spans="30:39" ht="13.2"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</row>
    <row r="849" spans="30:39" ht="13.2"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</row>
    <row r="850" spans="30:39" ht="13.2"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</row>
    <row r="851" spans="30:39" ht="13.2"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</row>
    <row r="852" spans="30:39" ht="13.2"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</row>
    <row r="853" spans="30:39" ht="13.2"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</row>
    <row r="854" spans="30:39" ht="13.2"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</row>
    <row r="855" spans="30:39" ht="13.2"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</row>
    <row r="856" spans="30:39" ht="13.2"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</row>
    <row r="857" spans="30:39" ht="13.2"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</row>
    <row r="858" spans="30:39" ht="13.2"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</row>
    <row r="859" spans="30:39" ht="13.2"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</row>
    <row r="860" spans="30:39" ht="13.2"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</row>
    <row r="861" spans="30:39" ht="13.2"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</row>
    <row r="862" spans="30:39" ht="13.2"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</row>
    <row r="863" spans="30:39" ht="13.2"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</row>
    <row r="864" spans="30:39" ht="13.2"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</row>
    <row r="865" spans="30:39" ht="13.2"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</row>
    <row r="866" spans="30:39" ht="13.2"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</row>
    <row r="867" spans="30:39" ht="13.2"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</row>
    <row r="868" spans="30:39" ht="13.2"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</row>
    <row r="869" spans="30:39" ht="13.2"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</row>
    <row r="870" spans="30:39" ht="13.2"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</row>
    <row r="871" spans="30:39" ht="13.2"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</row>
    <row r="872" spans="30:39" ht="13.2"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</row>
    <row r="873" spans="30:39" ht="13.2"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</row>
    <row r="874" spans="30:39" ht="13.2"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</row>
    <row r="875" spans="30:39" ht="13.2"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</row>
    <row r="876" spans="30:39" ht="13.2"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</row>
    <row r="877" spans="30:39" ht="13.2"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</row>
    <row r="878" spans="30:39" ht="13.2"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</row>
    <row r="879" spans="30:39" ht="13.2"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</row>
    <row r="880" spans="30:39" ht="13.2"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</row>
    <row r="881" spans="30:39" ht="13.2"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</row>
    <row r="882" spans="30:39" ht="13.2"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</row>
    <row r="883" spans="30:39" ht="13.2"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</row>
    <row r="884" spans="30:39" ht="13.2"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</row>
    <row r="885" spans="30:39" ht="13.2"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</row>
    <row r="886" spans="30:39" ht="13.2"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</row>
    <row r="887" spans="30:39" ht="13.2"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</row>
    <row r="888" spans="30:39" ht="13.2"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</row>
    <row r="889" spans="30:39" ht="13.2"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</row>
    <row r="890" spans="30:39" ht="13.2"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</row>
    <row r="891" spans="30:39" ht="13.2"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</row>
    <row r="892" spans="30:39" ht="13.2"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</row>
    <row r="893" spans="30:39" ht="13.2"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</row>
    <row r="894" spans="30:39" ht="13.2"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</row>
    <row r="895" spans="30:39" ht="13.2"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</row>
    <row r="896" spans="30:39" ht="13.2"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</row>
    <row r="897" spans="30:39" ht="13.2"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</row>
    <row r="898" spans="30:39" ht="13.2"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</row>
    <row r="899" spans="30:39" ht="13.2"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</row>
    <row r="900" spans="30:39" ht="13.2"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</row>
    <row r="901" spans="30:39" ht="13.2"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</row>
    <row r="902" spans="30:39" ht="13.2"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</row>
    <row r="903" spans="30:39" ht="13.2"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</row>
    <row r="904" spans="30:39" ht="13.2"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</row>
    <row r="905" spans="30:39" ht="13.2"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</row>
    <row r="906" spans="30:39" ht="13.2"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</row>
    <row r="907" spans="30:39" ht="13.2"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</row>
    <row r="908" spans="30:39" ht="13.2"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</row>
    <row r="909" spans="30:39" ht="13.2"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</row>
    <row r="910" spans="30:39" ht="13.2"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</row>
    <row r="911" spans="30:39" ht="13.2"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</row>
    <row r="912" spans="30:39" ht="13.2"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</row>
    <row r="913" spans="30:39" ht="13.2"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</row>
    <row r="914" spans="30:39" ht="13.2"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</row>
    <row r="915" spans="30:39" ht="13.2"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</row>
    <row r="916" spans="30:39" ht="13.2"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</row>
    <row r="917" spans="30:39" ht="13.2"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</row>
    <row r="918" spans="30:39" ht="13.2"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</row>
    <row r="919" spans="30:39" ht="13.2"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</row>
    <row r="920" spans="30:39" ht="13.2"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</row>
    <row r="921" spans="30:39" ht="13.2"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</row>
    <row r="922" spans="30:39" ht="13.2"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</row>
    <row r="923" spans="30:39" ht="13.2"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</row>
    <row r="924" spans="30:39" ht="13.2"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</row>
    <row r="925" spans="30:39" ht="13.2"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</row>
    <row r="926" spans="30:39" ht="13.2"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</row>
    <row r="927" spans="30:39" ht="13.2"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</row>
    <row r="928" spans="30:39" ht="13.2"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</row>
    <row r="929" spans="30:39" ht="13.2"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</row>
    <row r="930" spans="30:39" ht="13.2"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</row>
    <row r="931" spans="30:39" ht="13.2"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</row>
    <row r="932" spans="30:39" ht="13.2"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</row>
    <row r="933" spans="30:39" ht="13.2"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</row>
    <row r="934" spans="30:39" ht="13.2"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</row>
    <row r="935" spans="30:39" ht="13.2"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</row>
    <row r="936" spans="30:39" ht="13.2"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</row>
    <row r="937" spans="30:39" ht="13.2"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</row>
    <row r="938" spans="30:39" ht="13.2"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</row>
    <row r="939" spans="30:39" ht="13.2"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</row>
    <row r="940" spans="30:39" ht="13.2"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</row>
    <row r="941" spans="30:39" ht="13.2"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</row>
    <row r="942" spans="30:39" ht="13.2"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</row>
    <row r="943" spans="30:39" ht="13.2"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</row>
    <row r="944" spans="30:39" ht="13.2"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</row>
    <row r="945" spans="30:39" ht="13.2"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</row>
    <row r="946" spans="30:39" ht="13.2"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</row>
    <row r="947" spans="30:39" ht="13.2"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</row>
    <row r="948" spans="30:39" ht="13.2"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</row>
    <row r="949" spans="30:39" ht="13.2"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</row>
    <row r="950" spans="30:39" ht="13.2"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</row>
    <row r="951" spans="30:39" ht="13.2"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</row>
    <row r="952" spans="30:39" ht="13.2"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</row>
    <row r="953" spans="30:39" ht="13.2"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</row>
    <row r="954" spans="30:39" ht="13.2"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</row>
    <row r="955" spans="30:39" ht="13.2"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</row>
    <row r="956" spans="30:39" ht="13.2"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</row>
    <row r="957" spans="30:39" ht="13.2"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</row>
    <row r="958" spans="30:39" ht="13.2"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</row>
    <row r="959" spans="30:39" ht="13.2"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</row>
    <row r="960" spans="30:39" ht="13.2"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</row>
    <row r="961" spans="30:39" ht="13.2"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</row>
    <row r="962" spans="30:39" ht="13.2"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</row>
    <row r="963" spans="30:39" ht="13.2"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</row>
    <row r="964" spans="30:39" ht="13.2"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</row>
    <row r="965" spans="30:39" ht="13.2"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</row>
    <row r="966" spans="30:39" ht="13.2"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</row>
    <row r="967" spans="30:39" ht="13.2"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</row>
    <row r="968" spans="30:39" ht="13.2"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</row>
    <row r="969" spans="30:39" ht="13.2"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</row>
    <row r="970" spans="30:39" ht="13.2"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</row>
    <row r="971" spans="30:39" ht="13.2"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</row>
    <row r="972" spans="30:39" ht="13.2"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</row>
    <row r="973" spans="30:39" ht="13.2">
      <c r="AD973" s="100"/>
      <c r="AE973" s="100"/>
      <c r="AF973" s="100"/>
      <c r="AG973" s="100"/>
      <c r="AH973" s="100"/>
      <c r="AI973" s="100"/>
      <c r="AJ973" s="100"/>
      <c r="AK973" s="100"/>
      <c r="AL973" s="100"/>
      <c r="AM973" s="100"/>
    </row>
    <row r="974" spans="30:39" ht="13.2">
      <c r="AD974" s="100"/>
      <c r="AE974" s="100"/>
      <c r="AF974" s="100"/>
      <c r="AG974" s="100"/>
      <c r="AH974" s="100"/>
      <c r="AI974" s="100"/>
      <c r="AJ974" s="100"/>
      <c r="AK974" s="100"/>
      <c r="AL974" s="100"/>
      <c r="AM974" s="100"/>
    </row>
    <row r="975" spans="30:39" ht="13.2">
      <c r="AD975" s="100"/>
      <c r="AE975" s="100"/>
      <c r="AF975" s="100"/>
      <c r="AG975" s="100"/>
      <c r="AH975" s="100"/>
      <c r="AI975" s="100"/>
      <c r="AJ975" s="100"/>
      <c r="AK975" s="100"/>
      <c r="AL975" s="100"/>
      <c r="AM975" s="100"/>
    </row>
    <row r="976" spans="30:39" ht="13.2">
      <c r="AD976" s="100"/>
      <c r="AE976" s="100"/>
      <c r="AF976" s="100"/>
      <c r="AG976" s="100"/>
      <c r="AH976" s="100"/>
      <c r="AI976" s="100"/>
      <c r="AJ976" s="100"/>
      <c r="AK976" s="100"/>
      <c r="AL976" s="100"/>
      <c r="AM976" s="100"/>
    </row>
    <row r="977" spans="30:39" ht="13.2">
      <c r="AD977" s="100"/>
      <c r="AE977" s="100"/>
      <c r="AF977" s="100"/>
      <c r="AG977" s="100"/>
      <c r="AH977" s="100"/>
      <c r="AI977" s="100"/>
      <c r="AJ977" s="100"/>
      <c r="AK977" s="100"/>
      <c r="AL977" s="100"/>
      <c r="AM977" s="100"/>
    </row>
    <row r="978" spans="30:39" ht="13.2">
      <c r="AD978" s="100"/>
      <c r="AE978" s="100"/>
      <c r="AF978" s="100"/>
      <c r="AG978" s="100"/>
      <c r="AH978" s="100"/>
      <c r="AI978" s="100"/>
      <c r="AJ978" s="100"/>
      <c r="AK978" s="100"/>
      <c r="AL978" s="100"/>
      <c r="AM978" s="100"/>
    </row>
    <row r="979" spans="30:39" ht="13.2">
      <c r="AD979" s="100"/>
      <c r="AE979" s="100"/>
      <c r="AF979" s="100"/>
      <c r="AG979" s="100"/>
      <c r="AH979" s="100"/>
      <c r="AI979" s="100"/>
      <c r="AJ979" s="100"/>
      <c r="AK979" s="100"/>
      <c r="AL979" s="100"/>
      <c r="AM979" s="100"/>
    </row>
    <row r="980" spans="30:39" ht="13.2">
      <c r="AD980" s="100"/>
      <c r="AE980" s="100"/>
      <c r="AF980" s="100"/>
      <c r="AG980" s="100"/>
      <c r="AH980" s="100"/>
      <c r="AI980" s="100"/>
      <c r="AJ980" s="100"/>
      <c r="AK980" s="100"/>
      <c r="AL980" s="100"/>
      <c r="AM980" s="100"/>
    </row>
    <row r="981" spans="30:39" ht="13.2">
      <c r="AD981" s="100"/>
      <c r="AE981" s="100"/>
      <c r="AF981" s="100"/>
      <c r="AG981" s="100"/>
      <c r="AH981" s="100"/>
      <c r="AI981" s="100"/>
      <c r="AJ981" s="100"/>
      <c r="AK981" s="100"/>
      <c r="AL981" s="100"/>
      <c r="AM981" s="100"/>
    </row>
    <row r="982" spans="30:39" ht="13.2">
      <c r="AD982" s="100"/>
      <c r="AE982" s="100"/>
      <c r="AF982" s="100"/>
      <c r="AG982" s="100"/>
      <c r="AH982" s="100"/>
      <c r="AI982" s="100"/>
      <c r="AJ982" s="100"/>
      <c r="AK982" s="100"/>
      <c r="AL982" s="100"/>
      <c r="AM982" s="100"/>
    </row>
    <row r="983" spans="30:39" ht="13.2">
      <c r="AD983" s="100"/>
      <c r="AE983" s="100"/>
      <c r="AF983" s="100"/>
      <c r="AG983" s="100"/>
      <c r="AH983" s="100"/>
      <c r="AI983" s="100"/>
      <c r="AJ983" s="100"/>
      <c r="AK983" s="100"/>
      <c r="AL983" s="100"/>
      <c r="AM983" s="100"/>
    </row>
    <row r="984" spans="30:39" ht="13.2">
      <c r="AD984" s="100"/>
      <c r="AE984" s="100"/>
      <c r="AF984" s="100"/>
      <c r="AG984" s="100"/>
      <c r="AH984" s="100"/>
      <c r="AI984" s="100"/>
      <c r="AJ984" s="100"/>
      <c r="AK984" s="100"/>
      <c r="AL984" s="100"/>
      <c r="AM984" s="100"/>
    </row>
    <row r="985" spans="30:39" ht="13.2">
      <c r="AD985" s="100"/>
      <c r="AE985" s="100"/>
      <c r="AF985" s="100"/>
      <c r="AG985" s="100"/>
      <c r="AH985" s="100"/>
      <c r="AI985" s="100"/>
      <c r="AJ985" s="100"/>
      <c r="AK985" s="100"/>
      <c r="AL985" s="100"/>
      <c r="AM985" s="100"/>
    </row>
    <row r="986" spans="30:39" ht="13.2">
      <c r="AD986" s="100"/>
      <c r="AE986" s="100"/>
      <c r="AF986" s="100"/>
      <c r="AG986" s="100"/>
      <c r="AH986" s="100"/>
      <c r="AI986" s="100"/>
      <c r="AJ986" s="100"/>
      <c r="AK986" s="100"/>
      <c r="AL986" s="100"/>
      <c r="AM986" s="100"/>
    </row>
    <row r="987" spans="30:39" ht="13.2">
      <c r="AD987" s="100"/>
      <c r="AE987" s="100"/>
      <c r="AF987" s="100"/>
      <c r="AG987" s="100"/>
      <c r="AH987" s="100"/>
      <c r="AI987" s="100"/>
      <c r="AJ987" s="100"/>
      <c r="AK987" s="100"/>
      <c r="AL987" s="100"/>
      <c r="AM987" s="100"/>
    </row>
    <row r="988" spans="30:39" ht="13.2">
      <c r="AD988" s="100"/>
      <c r="AE988" s="100"/>
      <c r="AF988" s="100"/>
      <c r="AG988" s="100"/>
      <c r="AH988" s="100"/>
      <c r="AI988" s="100"/>
      <c r="AJ988" s="100"/>
      <c r="AK988" s="100"/>
      <c r="AL988" s="100"/>
      <c r="AM988" s="100"/>
    </row>
    <row r="989" spans="30:39" ht="13.2">
      <c r="AD989" s="100"/>
      <c r="AE989" s="100"/>
      <c r="AF989" s="100"/>
      <c r="AG989" s="100"/>
      <c r="AH989" s="100"/>
      <c r="AI989" s="100"/>
      <c r="AJ989" s="100"/>
      <c r="AK989" s="100"/>
      <c r="AL989" s="100"/>
      <c r="AM989" s="100"/>
    </row>
    <row r="990" spans="30:39" ht="13.2">
      <c r="AD990" s="100"/>
      <c r="AE990" s="100"/>
      <c r="AF990" s="100"/>
      <c r="AG990" s="100"/>
      <c r="AH990" s="100"/>
      <c r="AI990" s="100"/>
      <c r="AJ990" s="100"/>
      <c r="AK990" s="100"/>
      <c r="AL990" s="100"/>
      <c r="AM990" s="100"/>
    </row>
    <row r="991" spans="30:39" ht="13.2">
      <c r="AD991" s="100"/>
      <c r="AE991" s="100"/>
      <c r="AF991" s="100"/>
      <c r="AG991" s="100"/>
      <c r="AH991" s="100"/>
      <c r="AI991" s="100"/>
      <c r="AJ991" s="100"/>
      <c r="AK991" s="100"/>
      <c r="AL991" s="100"/>
      <c r="AM991" s="100"/>
    </row>
    <row r="992" spans="30:39" ht="13.2">
      <c r="AD992" s="100"/>
      <c r="AE992" s="100"/>
      <c r="AF992" s="100"/>
      <c r="AG992" s="100"/>
      <c r="AH992" s="100"/>
      <c r="AI992" s="100"/>
      <c r="AJ992" s="100"/>
      <c r="AK992" s="100"/>
      <c r="AL992" s="100"/>
      <c r="AM992" s="100"/>
    </row>
    <row r="993" spans="30:39" ht="13.2">
      <c r="AD993" s="100"/>
      <c r="AE993" s="100"/>
      <c r="AF993" s="100"/>
      <c r="AG993" s="100"/>
      <c r="AH993" s="100"/>
      <c r="AI993" s="100"/>
      <c r="AJ993" s="100"/>
      <c r="AK993" s="100"/>
      <c r="AL993" s="100"/>
      <c r="AM993" s="100"/>
    </row>
    <row r="994" spans="30:39" ht="13.2">
      <c r="AD994" s="100"/>
      <c r="AE994" s="100"/>
      <c r="AF994" s="100"/>
      <c r="AG994" s="100"/>
      <c r="AH994" s="100"/>
      <c r="AI994" s="100"/>
      <c r="AJ994" s="100"/>
      <c r="AK994" s="100"/>
      <c r="AL994" s="100"/>
      <c r="AM994" s="100"/>
    </row>
    <row r="995" spans="30:39" ht="13.2">
      <c r="AD995" s="100"/>
      <c r="AE995" s="100"/>
      <c r="AF995" s="100"/>
      <c r="AG995" s="100"/>
      <c r="AH995" s="100"/>
      <c r="AI995" s="100"/>
      <c r="AJ995" s="100"/>
      <c r="AK995" s="100"/>
      <c r="AL995" s="100"/>
      <c r="AM995" s="100"/>
    </row>
    <row r="996" spans="30:39" ht="13.2">
      <c r="AD996" s="100"/>
      <c r="AE996" s="100"/>
      <c r="AF996" s="100"/>
      <c r="AG996" s="100"/>
      <c r="AH996" s="100"/>
      <c r="AI996" s="100"/>
      <c r="AJ996" s="100"/>
      <c r="AK996" s="100"/>
      <c r="AL996" s="100"/>
      <c r="AM996" s="100"/>
    </row>
    <row r="997" spans="30:39" ht="13.2">
      <c r="AD997" s="100"/>
      <c r="AE997" s="100"/>
      <c r="AF997" s="100"/>
      <c r="AG997" s="100"/>
      <c r="AH997" s="100"/>
      <c r="AI997" s="100"/>
      <c r="AJ997" s="100"/>
      <c r="AK997" s="100"/>
      <c r="AL997" s="100"/>
      <c r="AM997" s="100"/>
    </row>
    <row r="998" spans="30:39" ht="13.2"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</row>
    <row r="999" spans="30:39" ht="13.2">
      <c r="AD999" s="100"/>
      <c r="AE999" s="100"/>
      <c r="AF999" s="100"/>
      <c r="AG999" s="100"/>
      <c r="AH999" s="100"/>
      <c r="AI999" s="100"/>
      <c r="AJ999" s="100"/>
      <c r="AK999" s="100"/>
      <c r="AL999" s="100"/>
      <c r="AM999" s="10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G972"/>
  <sheetViews>
    <sheetView workbookViewId="0"/>
  </sheetViews>
  <sheetFormatPr defaultColWidth="12.6640625" defaultRowHeight="15.75" customHeight="1"/>
  <cols>
    <col min="1" max="1" width="2.88671875" customWidth="1"/>
    <col min="2" max="2" width="19.77734375" customWidth="1"/>
    <col min="3" max="3" width="15.77734375" customWidth="1"/>
    <col min="4" max="4" width="7.88671875" hidden="1" customWidth="1"/>
    <col min="5" max="5" width="7.77734375" hidden="1" customWidth="1"/>
    <col min="6" max="6" width="8.109375" hidden="1" customWidth="1"/>
    <col min="7" max="7" width="8.21875" hidden="1" customWidth="1"/>
    <col min="8" max="8" width="7.77734375" hidden="1" customWidth="1"/>
    <col min="9" max="9" width="7.6640625" hidden="1" customWidth="1"/>
    <col min="10" max="10" width="7.77734375" hidden="1" customWidth="1"/>
    <col min="11" max="11" width="7.44140625" hidden="1" customWidth="1"/>
    <col min="12" max="12" width="7.88671875" hidden="1" customWidth="1"/>
    <col min="13" max="13" width="8.21875" hidden="1" customWidth="1"/>
    <col min="14" max="14" width="8.33203125" hidden="1" customWidth="1"/>
    <col min="15" max="15" width="7.88671875" hidden="1" customWidth="1"/>
    <col min="16" max="17" width="9" hidden="1" customWidth="1"/>
    <col min="18" max="20" width="12.6640625" hidden="1"/>
    <col min="21" max="28" width="12.109375" hidden="1" customWidth="1"/>
    <col min="29" max="33" width="12.109375" customWidth="1"/>
  </cols>
  <sheetData>
    <row r="1" spans="1:33" ht="13.2">
      <c r="A1" s="215" t="s">
        <v>67</v>
      </c>
      <c r="B1" s="215"/>
      <c r="C1" s="215"/>
    </row>
    <row r="2" spans="1:33" ht="22.2">
      <c r="A2" s="215"/>
      <c r="B2" s="216" t="s">
        <v>314</v>
      </c>
      <c r="C2" s="215"/>
    </row>
    <row r="3" spans="1:33" ht="17.399999999999999">
      <c r="A3" s="215"/>
      <c r="B3" s="217" t="s">
        <v>315</v>
      </c>
      <c r="C3" s="215">
        <v>87762461536</v>
      </c>
    </row>
    <row r="4" spans="1:33" ht="15.6">
      <c r="B4" s="218" t="s">
        <v>316</v>
      </c>
      <c r="D4" s="215"/>
    </row>
    <row r="5" spans="1:33" ht="15.6">
      <c r="B5" s="219" t="s">
        <v>317</v>
      </c>
      <c r="D5" s="215"/>
    </row>
    <row r="6" spans="1:33" ht="15.6">
      <c r="B6" s="218" t="s">
        <v>318</v>
      </c>
      <c r="D6" s="215"/>
    </row>
    <row r="7" spans="1:33" ht="13.2">
      <c r="A7" s="215"/>
      <c r="B7" s="215"/>
      <c r="C7" s="215"/>
    </row>
    <row r="8" spans="1:33" ht="13.2">
      <c r="A8" s="215"/>
      <c r="B8" s="215"/>
      <c r="C8" s="215"/>
    </row>
    <row r="9" spans="1:33" ht="13.2">
      <c r="A9" s="215"/>
      <c r="B9" s="85" t="s">
        <v>319</v>
      </c>
      <c r="C9" s="215"/>
    </row>
    <row r="10" spans="1:33" ht="13.2">
      <c r="A10" s="497" t="s">
        <v>320</v>
      </c>
      <c r="B10" s="498"/>
      <c r="C10" s="220"/>
      <c r="D10" s="221"/>
      <c r="E10" s="221"/>
      <c r="F10" s="221"/>
      <c r="G10" s="221"/>
    </row>
    <row r="11" spans="1:33" ht="14.4">
      <c r="A11" s="222" t="s">
        <v>212</v>
      </c>
      <c r="B11" s="223" t="s">
        <v>232</v>
      </c>
      <c r="C11" s="222" t="s">
        <v>321</v>
      </c>
      <c r="D11" s="224">
        <v>45922</v>
      </c>
      <c r="E11" s="224">
        <v>45929</v>
      </c>
      <c r="F11" s="224">
        <v>45936</v>
      </c>
      <c r="G11" s="224">
        <v>45943</v>
      </c>
      <c r="H11" s="225">
        <v>45950</v>
      </c>
      <c r="I11" s="197">
        <v>45964</v>
      </c>
      <c r="J11" s="225">
        <v>45971</v>
      </c>
      <c r="K11" s="225">
        <v>45978</v>
      </c>
      <c r="L11" s="225">
        <v>45985</v>
      </c>
      <c r="M11" s="225">
        <v>45992</v>
      </c>
      <c r="N11" s="197">
        <v>45999</v>
      </c>
      <c r="O11" s="225">
        <v>46006</v>
      </c>
      <c r="P11" s="226">
        <v>46013</v>
      </c>
      <c r="Q11" s="227">
        <v>46034</v>
      </c>
      <c r="R11" s="228">
        <v>46041</v>
      </c>
      <c r="S11" s="228">
        <v>46048</v>
      </c>
      <c r="T11" s="228">
        <v>46055</v>
      </c>
      <c r="U11" s="229">
        <v>46062</v>
      </c>
      <c r="V11" s="230">
        <v>46069</v>
      </c>
      <c r="W11" s="230">
        <v>46076</v>
      </c>
      <c r="X11" s="231">
        <v>46083</v>
      </c>
      <c r="Y11" s="231">
        <v>46097</v>
      </c>
      <c r="Z11" s="231">
        <v>46111</v>
      </c>
      <c r="AA11" s="232"/>
      <c r="AC11" s="171"/>
      <c r="AD11" s="171"/>
      <c r="AE11" s="171"/>
      <c r="AF11" s="171"/>
      <c r="AG11" s="171"/>
    </row>
    <row r="12" spans="1:33" ht="14.4" hidden="1">
      <c r="A12" s="233">
        <v>1</v>
      </c>
      <c r="B12" s="234" t="s">
        <v>322</v>
      </c>
      <c r="C12" s="234">
        <v>87772941441</v>
      </c>
      <c r="D12" s="140">
        <v>1</v>
      </c>
      <c r="E12" s="140"/>
      <c r="F12" s="140"/>
      <c r="G12" s="140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C12" s="91"/>
      <c r="AD12" s="91"/>
      <c r="AE12" s="91"/>
      <c r="AF12" s="91"/>
      <c r="AG12" s="91"/>
    </row>
    <row r="13" spans="1:33" ht="13.2" hidden="1">
      <c r="A13" s="234">
        <v>2</v>
      </c>
      <c r="B13" s="234" t="s">
        <v>323</v>
      </c>
      <c r="C13" s="234">
        <v>87054143024</v>
      </c>
      <c r="D13" s="140">
        <v>1</v>
      </c>
      <c r="E13" s="140">
        <v>1</v>
      </c>
      <c r="F13" s="140">
        <v>1</v>
      </c>
      <c r="G13" s="140">
        <v>1</v>
      </c>
      <c r="H13" s="140">
        <v>1</v>
      </c>
      <c r="I13" s="140">
        <v>1</v>
      </c>
      <c r="J13" s="140"/>
      <c r="K13" s="140">
        <v>1</v>
      </c>
      <c r="L13" s="235">
        <v>1</v>
      </c>
      <c r="M13" s="140">
        <v>1</v>
      </c>
      <c r="N13" s="140"/>
      <c r="O13" s="140"/>
      <c r="P13" s="140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C13" s="91"/>
      <c r="AD13" s="91"/>
      <c r="AE13" s="91"/>
      <c r="AF13" s="91"/>
      <c r="AG13" s="91"/>
    </row>
    <row r="14" spans="1:33" ht="14.4" hidden="1">
      <c r="A14" s="233">
        <v>3</v>
      </c>
      <c r="B14" s="234" t="s">
        <v>324</v>
      </c>
      <c r="C14" s="234">
        <v>87772362786</v>
      </c>
      <c r="D14" s="140">
        <v>1</v>
      </c>
      <c r="E14" s="140">
        <v>1</v>
      </c>
      <c r="F14" s="138"/>
      <c r="G14" s="140"/>
      <c r="H14" s="140">
        <v>1</v>
      </c>
      <c r="I14" s="235">
        <v>1</v>
      </c>
      <c r="J14" s="140">
        <v>1</v>
      </c>
      <c r="K14" s="140">
        <v>1</v>
      </c>
      <c r="L14" s="91" t="s">
        <v>325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C14" s="91"/>
      <c r="AD14" s="91"/>
      <c r="AE14" s="91"/>
      <c r="AF14" s="91"/>
      <c r="AG14" s="91"/>
    </row>
    <row r="15" spans="1:33" ht="14.4" hidden="1">
      <c r="A15" s="233">
        <v>4</v>
      </c>
      <c r="B15" s="234" t="s">
        <v>326</v>
      </c>
      <c r="C15" s="234">
        <v>87789737344</v>
      </c>
      <c r="D15" s="140">
        <v>1</v>
      </c>
      <c r="E15" s="140">
        <v>1</v>
      </c>
      <c r="F15" s="140">
        <v>1</v>
      </c>
      <c r="G15" s="140">
        <v>1</v>
      </c>
      <c r="H15" s="138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C15" s="91"/>
      <c r="AD15" s="91"/>
      <c r="AE15" s="91"/>
      <c r="AF15" s="91"/>
      <c r="AG15" s="91"/>
    </row>
    <row r="16" spans="1:33" ht="13.2">
      <c r="A16" s="236">
        <v>1</v>
      </c>
      <c r="B16" s="237" t="s">
        <v>327</v>
      </c>
      <c r="C16" s="237">
        <v>87012111075</v>
      </c>
      <c r="D16" s="140">
        <v>1</v>
      </c>
      <c r="E16" s="140">
        <v>1</v>
      </c>
      <c r="F16" s="140">
        <v>1</v>
      </c>
      <c r="G16" s="140">
        <v>1</v>
      </c>
      <c r="H16" s="140">
        <v>1</v>
      </c>
      <c r="I16" s="140">
        <v>1</v>
      </c>
      <c r="J16" s="91"/>
      <c r="K16" s="140">
        <v>1</v>
      </c>
      <c r="L16" s="140">
        <v>1</v>
      </c>
      <c r="M16" s="140">
        <v>1</v>
      </c>
      <c r="N16" s="140">
        <v>1</v>
      </c>
      <c r="O16" s="238">
        <v>1</v>
      </c>
      <c r="P16" s="140">
        <v>1</v>
      </c>
      <c r="Q16" s="140">
        <v>1</v>
      </c>
      <c r="R16" s="140">
        <v>1</v>
      </c>
      <c r="S16" s="140">
        <v>1</v>
      </c>
      <c r="T16" s="140">
        <v>1</v>
      </c>
      <c r="U16" s="140">
        <v>1</v>
      </c>
      <c r="V16" s="140">
        <v>1</v>
      </c>
      <c r="W16" s="140">
        <v>1</v>
      </c>
      <c r="X16" s="140">
        <v>1</v>
      </c>
      <c r="Y16" s="140">
        <v>1</v>
      </c>
      <c r="Z16" s="140">
        <v>1</v>
      </c>
      <c r="AA16" s="91"/>
      <c r="AC16" s="91"/>
      <c r="AD16" s="138"/>
      <c r="AE16" s="138"/>
      <c r="AF16" s="138"/>
      <c r="AG16" s="138"/>
    </row>
    <row r="17" spans="1:33" ht="13.2" hidden="1">
      <c r="A17" s="236">
        <v>1</v>
      </c>
      <c r="B17" s="234" t="s">
        <v>328</v>
      </c>
      <c r="C17" s="234">
        <v>87076382048</v>
      </c>
      <c r="D17" s="140"/>
      <c r="E17" s="140"/>
      <c r="F17" s="140"/>
      <c r="G17" s="140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C17" s="91"/>
      <c r="AD17" s="91"/>
      <c r="AE17" s="91"/>
      <c r="AF17" s="91"/>
      <c r="AG17" s="91"/>
    </row>
    <row r="18" spans="1:33" ht="13.2">
      <c r="A18" s="236">
        <v>2</v>
      </c>
      <c r="B18" s="234" t="s">
        <v>329</v>
      </c>
      <c r="C18" s="234">
        <v>87474404001</v>
      </c>
      <c r="D18" s="140"/>
      <c r="E18" s="140">
        <v>1</v>
      </c>
      <c r="F18" s="140">
        <v>1</v>
      </c>
      <c r="G18" s="140">
        <v>1</v>
      </c>
      <c r="H18" s="140">
        <v>1</v>
      </c>
      <c r="I18" s="140">
        <v>1</v>
      </c>
      <c r="J18" s="140">
        <v>1</v>
      </c>
      <c r="K18" s="140"/>
      <c r="L18" s="138"/>
      <c r="M18" s="140">
        <v>1</v>
      </c>
      <c r="N18" s="140">
        <v>1</v>
      </c>
      <c r="O18" s="140">
        <v>1</v>
      </c>
      <c r="P18" s="140">
        <v>1</v>
      </c>
      <c r="Q18" s="140">
        <v>1</v>
      </c>
      <c r="R18" s="140"/>
      <c r="S18" s="140">
        <v>1</v>
      </c>
      <c r="T18" s="140">
        <v>1</v>
      </c>
      <c r="U18" s="140">
        <v>1</v>
      </c>
      <c r="V18" s="140">
        <v>1</v>
      </c>
      <c r="W18" s="140">
        <v>1</v>
      </c>
      <c r="X18" s="140"/>
      <c r="Y18" s="140">
        <v>1</v>
      </c>
      <c r="Z18" s="140">
        <v>1</v>
      </c>
      <c r="AA18" s="140"/>
      <c r="AB18" s="115"/>
      <c r="AC18" s="91"/>
      <c r="AD18" s="91"/>
      <c r="AE18" s="91"/>
      <c r="AF18" s="91"/>
      <c r="AG18" s="91"/>
    </row>
    <row r="19" spans="1:33" ht="13.2">
      <c r="A19" s="236">
        <v>3</v>
      </c>
      <c r="B19" s="237" t="s">
        <v>330</v>
      </c>
      <c r="C19" s="237">
        <v>87083756905</v>
      </c>
      <c r="D19" s="140"/>
      <c r="E19" s="140">
        <v>1</v>
      </c>
      <c r="F19" s="140">
        <v>1</v>
      </c>
      <c r="G19" s="140">
        <v>1</v>
      </c>
      <c r="H19" s="140">
        <v>1</v>
      </c>
      <c r="I19" s="140">
        <v>1</v>
      </c>
      <c r="J19" s="140">
        <v>1</v>
      </c>
      <c r="K19" s="140">
        <v>1</v>
      </c>
      <c r="L19" s="126">
        <v>1</v>
      </c>
      <c r="M19" s="140">
        <v>1</v>
      </c>
      <c r="N19" s="140">
        <v>1</v>
      </c>
      <c r="O19" s="140">
        <v>1</v>
      </c>
      <c r="P19" s="140">
        <v>1</v>
      </c>
      <c r="Q19" s="140">
        <v>1</v>
      </c>
      <c r="R19" s="140">
        <v>1</v>
      </c>
      <c r="S19" s="140">
        <v>1</v>
      </c>
      <c r="T19" s="140">
        <v>1</v>
      </c>
      <c r="U19" s="140">
        <v>1</v>
      </c>
      <c r="V19" s="140">
        <v>1</v>
      </c>
      <c r="W19" s="140">
        <v>1</v>
      </c>
      <c r="X19" s="140">
        <v>1</v>
      </c>
      <c r="Y19" s="140">
        <v>1</v>
      </c>
      <c r="Z19" s="140">
        <v>1</v>
      </c>
      <c r="AA19" s="140"/>
      <c r="AB19" s="115"/>
      <c r="AC19" s="239"/>
      <c r="AD19" s="239"/>
      <c r="AE19" s="239"/>
      <c r="AF19" s="239"/>
      <c r="AG19" s="239"/>
    </row>
    <row r="20" spans="1:33" ht="13.2" hidden="1">
      <c r="A20" s="236">
        <v>1</v>
      </c>
      <c r="B20" s="234" t="s">
        <v>331</v>
      </c>
      <c r="C20" s="234">
        <v>87081195302</v>
      </c>
      <c r="D20" s="140">
        <v>1</v>
      </c>
      <c r="E20" s="140">
        <v>1</v>
      </c>
      <c r="F20" s="140">
        <v>1</v>
      </c>
      <c r="G20" s="140"/>
      <c r="H20" s="91" t="s">
        <v>325</v>
      </c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C20" s="91"/>
      <c r="AD20" s="91"/>
      <c r="AE20" s="91"/>
      <c r="AF20" s="91"/>
      <c r="AG20" s="91"/>
    </row>
    <row r="21" spans="1:33" ht="13.2">
      <c r="A21" s="236">
        <v>4</v>
      </c>
      <c r="B21" s="234" t="s">
        <v>332</v>
      </c>
      <c r="C21" s="234">
        <v>87019970969</v>
      </c>
      <c r="D21" s="91"/>
      <c r="E21" s="140">
        <v>1</v>
      </c>
      <c r="F21" s="140">
        <v>1</v>
      </c>
      <c r="G21" s="140">
        <v>1</v>
      </c>
      <c r="H21" s="140">
        <v>1</v>
      </c>
      <c r="I21" s="140">
        <v>1</v>
      </c>
      <c r="J21" s="140">
        <v>1</v>
      </c>
      <c r="K21" s="140">
        <v>1</v>
      </c>
      <c r="L21" s="140">
        <v>1</v>
      </c>
      <c r="M21" s="140">
        <v>1</v>
      </c>
      <c r="N21" s="140">
        <v>1</v>
      </c>
      <c r="O21" s="140">
        <v>1</v>
      </c>
      <c r="P21" s="140">
        <v>1</v>
      </c>
      <c r="Q21" s="140">
        <v>1</v>
      </c>
      <c r="R21" s="140">
        <v>1</v>
      </c>
      <c r="S21" s="140">
        <v>1</v>
      </c>
      <c r="T21" s="140">
        <v>1</v>
      </c>
      <c r="U21" s="140">
        <v>1</v>
      </c>
      <c r="V21" s="140">
        <v>1</v>
      </c>
      <c r="W21" s="140">
        <v>1</v>
      </c>
      <c r="X21" s="140">
        <v>1</v>
      </c>
      <c r="Y21" s="140">
        <v>1</v>
      </c>
      <c r="Z21" s="91"/>
      <c r="AA21" s="91"/>
      <c r="AC21" s="91"/>
      <c r="AD21" s="91" t="s">
        <v>67</v>
      </c>
      <c r="AE21" s="91"/>
      <c r="AF21" s="91"/>
      <c r="AG21" s="91"/>
    </row>
    <row r="22" spans="1:33" ht="13.2">
      <c r="A22" s="236">
        <v>1</v>
      </c>
      <c r="B22" s="234" t="s">
        <v>333</v>
      </c>
      <c r="C22" s="234">
        <v>87079855705</v>
      </c>
      <c r="D22" s="91"/>
      <c r="E22" s="91"/>
      <c r="F22" s="91"/>
      <c r="G22" s="140"/>
      <c r="H22" s="140"/>
      <c r="I22" s="140"/>
      <c r="J22" s="140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C22" s="91"/>
      <c r="AD22" s="91"/>
      <c r="AE22" s="91"/>
      <c r="AF22" s="91"/>
      <c r="AG22" s="91"/>
    </row>
    <row r="23" spans="1:33" ht="13.2">
      <c r="A23" s="236">
        <v>5</v>
      </c>
      <c r="B23" s="234" t="s">
        <v>334</v>
      </c>
      <c r="C23" s="234">
        <v>87051850606</v>
      </c>
      <c r="D23" s="138"/>
      <c r="E23" s="138"/>
      <c r="F23" s="138" t="s">
        <v>335</v>
      </c>
      <c r="G23" s="138"/>
      <c r="H23" s="138"/>
      <c r="I23" s="140">
        <v>1</v>
      </c>
      <c r="J23" s="140">
        <v>1</v>
      </c>
      <c r="K23" s="140">
        <v>1</v>
      </c>
      <c r="L23" s="140">
        <v>1</v>
      </c>
      <c r="M23" s="140">
        <v>1</v>
      </c>
      <c r="N23" s="140">
        <v>1</v>
      </c>
      <c r="O23" s="140">
        <v>1</v>
      </c>
      <c r="P23" s="140">
        <v>1</v>
      </c>
      <c r="Q23" s="140">
        <v>1</v>
      </c>
      <c r="R23" s="140">
        <v>1</v>
      </c>
      <c r="S23" s="140">
        <v>1</v>
      </c>
      <c r="T23" s="140">
        <v>1</v>
      </c>
      <c r="U23" s="140">
        <v>1</v>
      </c>
      <c r="V23" s="140">
        <v>1</v>
      </c>
      <c r="W23" s="140">
        <v>1</v>
      </c>
      <c r="X23" s="140">
        <v>1</v>
      </c>
      <c r="Y23" s="140">
        <v>1</v>
      </c>
      <c r="Z23" s="140">
        <v>1</v>
      </c>
      <c r="AA23" s="140"/>
      <c r="AB23" s="115"/>
      <c r="AC23" s="91"/>
      <c r="AD23" s="91"/>
      <c r="AE23" s="91"/>
      <c r="AF23" s="91"/>
      <c r="AG23" s="91"/>
    </row>
    <row r="24" spans="1:33" ht="13.2">
      <c r="A24" s="236">
        <v>6</v>
      </c>
      <c r="B24" s="234" t="s">
        <v>336</v>
      </c>
      <c r="C24" s="234">
        <v>87051850606</v>
      </c>
      <c r="D24" s="138"/>
      <c r="E24" s="138"/>
      <c r="F24" s="138" t="s">
        <v>335</v>
      </c>
      <c r="G24" s="138"/>
      <c r="H24" s="138"/>
      <c r="I24" s="140">
        <v>1</v>
      </c>
      <c r="J24" s="140">
        <v>1</v>
      </c>
      <c r="K24" s="140">
        <v>1</v>
      </c>
      <c r="L24" s="140">
        <v>1</v>
      </c>
      <c r="M24" s="140">
        <v>1</v>
      </c>
      <c r="N24" s="140">
        <v>1</v>
      </c>
      <c r="O24" s="140">
        <v>1</v>
      </c>
      <c r="P24" s="140">
        <v>1</v>
      </c>
      <c r="Q24" s="140">
        <v>1</v>
      </c>
      <c r="R24" s="140">
        <v>1</v>
      </c>
      <c r="S24" s="140">
        <v>1</v>
      </c>
      <c r="T24" s="140">
        <v>1</v>
      </c>
      <c r="U24" s="140">
        <v>1</v>
      </c>
      <c r="V24" s="140">
        <v>1</v>
      </c>
      <c r="W24" s="140">
        <v>1</v>
      </c>
      <c r="X24" s="140">
        <v>1</v>
      </c>
      <c r="Y24" s="140">
        <v>1</v>
      </c>
      <c r="Z24" s="140">
        <v>1</v>
      </c>
      <c r="AA24" s="140"/>
      <c r="AB24" s="115"/>
      <c r="AC24" s="91"/>
      <c r="AD24" s="91"/>
      <c r="AE24" s="91"/>
      <c r="AF24" s="91"/>
      <c r="AG24" s="91"/>
    </row>
    <row r="25" spans="1:33" ht="13.2">
      <c r="A25" s="236">
        <v>7</v>
      </c>
      <c r="B25" s="234" t="s">
        <v>337</v>
      </c>
      <c r="C25" s="234">
        <v>87022293131</v>
      </c>
      <c r="D25" s="171"/>
      <c r="E25" s="171"/>
      <c r="F25" s="138"/>
      <c r="G25" s="138"/>
      <c r="H25" s="138"/>
      <c r="I25" s="138"/>
      <c r="J25" s="91"/>
      <c r="K25" s="140">
        <v>1</v>
      </c>
      <c r="L25" s="140">
        <v>1</v>
      </c>
      <c r="M25" s="140">
        <v>1</v>
      </c>
      <c r="N25" s="140">
        <v>1</v>
      </c>
      <c r="O25" s="140">
        <v>1</v>
      </c>
      <c r="P25" s="140">
        <v>1</v>
      </c>
      <c r="Q25" s="140">
        <v>1</v>
      </c>
      <c r="R25" s="140"/>
      <c r="S25" s="235">
        <v>1</v>
      </c>
      <c r="T25" s="140">
        <v>1</v>
      </c>
      <c r="U25" s="140">
        <v>1</v>
      </c>
      <c r="V25" s="140"/>
      <c r="W25" s="140">
        <v>1</v>
      </c>
      <c r="X25" s="140">
        <v>1</v>
      </c>
      <c r="Y25" s="140">
        <v>1</v>
      </c>
      <c r="Z25" s="140">
        <v>1</v>
      </c>
      <c r="AA25" s="91"/>
      <c r="AC25" s="91"/>
      <c r="AD25" s="138"/>
      <c r="AE25" s="138"/>
      <c r="AF25" s="138"/>
      <c r="AG25" s="138"/>
    </row>
    <row r="26" spans="1:33" ht="13.2">
      <c r="A26" s="236">
        <v>8</v>
      </c>
      <c r="B26" s="234" t="s">
        <v>338</v>
      </c>
      <c r="C26" s="234" t="s">
        <v>339</v>
      </c>
      <c r="D26" s="171"/>
      <c r="E26" s="171"/>
      <c r="F26" s="138"/>
      <c r="G26" s="138"/>
      <c r="H26" s="138"/>
      <c r="I26" s="138"/>
      <c r="J26" s="91"/>
      <c r="K26" s="140"/>
      <c r="L26" s="140"/>
      <c r="M26" s="140"/>
      <c r="N26" s="140"/>
      <c r="O26" s="140"/>
      <c r="P26" s="140"/>
      <c r="Q26" s="140"/>
      <c r="R26" s="140"/>
      <c r="S26" s="235"/>
      <c r="T26" s="239"/>
      <c r="U26" s="239"/>
      <c r="V26" s="239"/>
      <c r="W26" s="239"/>
      <c r="X26" s="140">
        <v>1</v>
      </c>
      <c r="Y26" s="140">
        <v>1</v>
      </c>
      <c r="Z26" s="140">
        <v>1</v>
      </c>
      <c r="AA26" s="140"/>
      <c r="AC26" s="91"/>
      <c r="AD26" s="91"/>
      <c r="AE26" s="91"/>
      <c r="AF26" s="91"/>
      <c r="AG26" s="91"/>
    </row>
    <row r="27" spans="1:33" ht="14.4">
      <c r="A27" s="233"/>
      <c r="B27" s="234"/>
      <c r="C27" s="234"/>
      <c r="D27" s="171">
        <v>6</v>
      </c>
      <c r="E27" s="171">
        <v>8</v>
      </c>
      <c r="F27" s="171">
        <v>7</v>
      </c>
      <c r="G27" s="171">
        <v>6</v>
      </c>
      <c r="H27" s="171">
        <v>6</v>
      </c>
      <c r="I27" s="171">
        <v>8</v>
      </c>
      <c r="J27" s="171">
        <v>6</v>
      </c>
      <c r="K27" s="171">
        <v>8</v>
      </c>
      <c r="L27" s="171">
        <v>7</v>
      </c>
      <c r="M27" s="91">
        <v>7</v>
      </c>
      <c r="N27" s="91">
        <v>7</v>
      </c>
      <c r="O27" s="91">
        <v>7</v>
      </c>
      <c r="P27" s="91">
        <v>7</v>
      </c>
      <c r="Q27" s="91">
        <f t="shared" ref="Q27:W27" si="0">SUM(Q16:Q25)</f>
        <v>7</v>
      </c>
      <c r="R27" s="91">
        <f t="shared" si="0"/>
        <v>5</v>
      </c>
      <c r="S27" s="91">
        <f t="shared" si="0"/>
        <v>7</v>
      </c>
      <c r="T27" s="91">
        <f t="shared" si="0"/>
        <v>7</v>
      </c>
      <c r="U27" s="91">
        <f t="shared" si="0"/>
        <v>7</v>
      </c>
      <c r="V27" s="91">
        <f t="shared" si="0"/>
        <v>6</v>
      </c>
      <c r="W27" s="91">
        <f t="shared" si="0"/>
        <v>7</v>
      </c>
      <c r="X27" s="91">
        <v>7</v>
      </c>
      <c r="Y27" s="91">
        <v>8</v>
      </c>
      <c r="Z27" s="91">
        <v>7</v>
      </c>
      <c r="AA27" s="91"/>
      <c r="AB27" s="85" t="s">
        <v>0</v>
      </c>
      <c r="AC27" s="91"/>
      <c r="AD27" s="91"/>
      <c r="AE27" s="91"/>
      <c r="AF27" s="91"/>
      <c r="AG27" s="91"/>
    </row>
    <row r="28" spans="1:33" ht="14.4">
      <c r="A28" s="240"/>
      <c r="B28" s="215"/>
      <c r="C28" s="215"/>
      <c r="G28" s="91" t="s">
        <v>340</v>
      </c>
      <c r="H28" s="91">
        <f>SUM(F27:H27)</f>
        <v>19</v>
      </c>
      <c r="L28" s="85">
        <f>SUM(I16:L25)</f>
        <v>23</v>
      </c>
      <c r="N28" s="91" t="s">
        <v>340</v>
      </c>
      <c r="O28" s="91">
        <f>SUM(M16:P25)</f>
        <v>28</v>
      </c>
      <c r="T28" s="85"/>
      <c r="X28" s="85"/>
    </row>
    <row r="29" spans="1:33" ht="14.4">
      <c r="A29" s="240"/>
      <c r="B29" s="215"/>
      <c r="C29" s="215"/>
      <c r="Y29" s="85">
        <v>0</v>
      </c>
      <c r="Z29" s="85" t="s">
        <v>341</v>
      </c>
    </row>
    <row r="30" spans="1:33" ht="13.2">
      <c r="A30" s="497" t="s">
        <v>342</v>
      </c>
      <c r="B30" s="498"/>
      <c r="C30" s="498"/>
      <c r="AC30" s="85" t="s">
        <v>1</v>
      </c>
    </row>
    <row r="31" spans="1:33" ht="14.4">
      <c r="A31" s="222" t="s">
        <v>212</v>
      </c>
      <c r="B31" s="223" t="s">
        <v>232</v>
      </c>
      <c r="C31" s="222" t="s">
        <v>321</v>
      </c>
      <c r="D31" s="224">
        <v>45918</v>
      </c>
      <c r="E31" s="224">
        <v>45925</v>
      </c>
      <c r="F31" s="224">
        <v>45932</v>
      </c>
      <c r="G31" s="224">
        <v>45939</v>
      </c>
      <c r="H31" s="224">
        <v>45946</v>
      </c>
      <c r="I31" s="225">
        <v>45950</v>
      </c>
      <c r="J31" s="197">
        <v>45967</v>
      </c>
      <c r="K31" s="225">
        <v>45974</v>
      </c>
      <c r="L31" s="226">
        <v>45981</v>
      </c>
      <c r="M31" s="226">
        <v>45988</v>
      </c>
      <c r="N31" s="228">
        <v>45995</v>
      </c>
      <c r="O31" s="226">
        <v>46002</v>
      </c>
      <c r="P31" s="227">
        <v>46009</v>
      </c>
      <c r="Q31" s="227">
        <v>46016</v>
      </c>
      <c r="R31" s="228">
        <v>46030</v>
      </c>
      <c r="S31" s="228">
        <v>46037</v>
      </c>
      <c r="T31" s="228">
        <v>46044</v>
      </c>
      <c r="U31" s="228">
        <v>46051</v>
      </c>
      <c r="V31" s="228">
        <v>46058</v>
      </c>
      <c r="W31" s="228">
        <v>46065</v>
      </c>
      <c r="X31" s="228">
        <v>46072</v>
      </c>
      <c r="Y31" s="228">
        <v>46079</v>
      </c>
      <c r="Z31" s="90">
        <v>46086</v>
      </c>
      <c r="AA31" s="90">
        <v>46093</v>
      </c>
      <c r="AB31" s="90">
        <v>46100</v>
      </c>
      <c r="AC31" s="197">
        <v>46114</v>
      </c>
      <c r="AD31" s="197"/>
      <c r="AE31" s="197"/>
      <c r="AF31" s="197"/>
      <c r="AG31" s="197"/>
    </row>
    <row r="32" spans="1:33" ht="14.4" hidden="1">
      <c r="A32" s="233">
        <v>1</v>
      </c>
      <c r="B32" s="215" t="s">
        <v>343</v>
      </c>
      <c r="C32" s="234">
        <v>87019970969</v>
      </c>
      <c r="D32" s="140">
        <v>1</v>
      </c>
      <c r="E32" s="140">
        <v>1</v>
      </c>
      <c r="F32" s="91"/>
      <c r="G32" s="91"/>
      <c r="H32" s="91"/>
      <c r="I32" s="91">
        <v>1</v>
      </c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</row>
    <row r="33" spans="1:33" ht="14.4">
      <c r="A33" s="160">
        <v>1</v>
      </c>
      <c r="B33" s="234" t="s">
        <v>344</v>
      </c>
      <c r="C33" s="234">
        <v>87022175717</v>
      </c>
      <c r="D33" s="140">
        <v>1</v>
      </c>
      <c r="E33" s="140">
        <v>1</v>
      </c>
      <c r="F33" s="140">
        <v>1</v>
      </c>
      <c r="G33" s="140">
        <v>1</v>
      </c>
      <c r="H33" s="140">
        <v>1</v>
      </c>
      <c r="I33" s="140">
        <v>1</v>
      </c>
      <c r="J33" s="140"/>
      <c r="K33" s="140">
        <v>1</v>
      </c>
      <c r="L33" s="241"/>
      <c r="M33" s="91"/>
      <c r="N33" s="235">
        <v>1</v>
      </c>
      <c r="O33" s="140">
        <v>1</v>
      </c>
      <c r="P33" s="140">
        <v>1</v>
      </c>
      <c r="Q33" s="140">
        <v>1</v>
      </c>
      <c r="R33" s="140"/>
      <c r="S33" s="140">
        <v>1</v>
      </c>
      <c r="T33" s="140"/>
      <c r="U33" s="140">
        <v>1</v>
      </c>
      <c r="V33" s="235">
        <v>1</v>
      </c>
      <c r="W33" s="235">
        <v>1</v>
      </c>
      <c r="X33" s="140">
        <v>1</v>
      </c>
      <c r="Y33" s="140">
        <v>1</v>
      </c>
      <c r="Z33" s="140"/>
      <c r="AA33" s="140"/>
      <c r="AB33" s="91"/>
      <c r="AC33" s="91">
        <v>1</v>
      </c>
      <c r="AD33" s="91"/>
      <c r="AE33" s="91"/>
      <c r="AF33" s="91"/>
      <c r="AG33" s="91"/>
    </row>
    <row r="34" spans="1:33" ht="14.4" hidden="1">
      <c r="A34" s="160"/>
      <c r="B34" s="234" t="s">
        <v>345</v>
      </c>
      <c r="C34" s="234">
        <v>87074940866</v>
      </c>
      <c r="D34" s="140">
        <v>1</v>
      </c>
      <c r="E34" s="140">
        <v>1</v>
      </c>
      <c r="F34" s="140">
        <v>1</v>
      </c>
      <c r="G34" s="140">
        <v>1</v>
      </c>
      <c r="H34" s="91"/>
      <c r="I34" s="91"/>
      <c r="J34" s="91"/>
      <c r="K34" s="91" t="s">
        <v>67</v>
      </c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</row>
    <row r="35" spans="1:33" ht="14.4" hidden="1">
      <c r="A35" s="160"/>
      <c r="B35" s="234" t="s">
        <v>346</v>
      </c>
      <c r="C35" s="234">
        <v>87011667000</v>
      </c>
      <c r="D35" s="140">
        <v>1</v>
      </c>
      <c r="E35" s="140">
        <v>1</v>
      </c>
      <c r="F35" s="140">
        <v>1</v>
      </c>
      <c r="G35" s="140">
        <v>1</v>
      </c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</row>
    <row r="36" spans="1:33" ht="14.4">
      <c r="A36" s="160">
        <v>2</v>
      </c>
      <c r="B36" s="234" t="s">
        <v>347</v>
      </c>
      <c r="C36" s="234">
        <v>87074164121</v>
      </c>
      <c r="D36" s="140">
        <v>1</v>
      </c>
      <c r="E36" s="140">
        <v>1</v>
      </c>
      <c r="F36" s="140"/>
      <c r="G36" s="140">
        <v>1</v>
      </c>
      <c r="H36" s="140">
        <v>1</v>
      </c>
      <c r="I36" s="140">
        <v>1</v>
      </c>
      <c r="J36" s="140">
        <v>1</v>
      </c>
      <c r="K36" s="140">
        <v>1</v>
      </c>
      <c r="L36" s="140">
        <v>1</v>
      </c>
      <c r="M36" s="140">
        <v>1</v>
      </c>
      <c r="N36" s="140"/>
      <c r="O36" s="140">
        <v>1</v>
      </c>
      <c r="P36" s="140">
        <v>1</v>
      </c>
      <c r="Q36" s="235">
        <v>1</v>
      </c>
      <c r="R36" s="140">
        <v>1</v>
      </c>
      <c r="S36" s="140"/>
      <c r="T36" s="140">
        <v>1</v>
      </c>
      <c r="U36" s="140">
        <v>1</v>
      </c>
      <c r="V36" s="235">
        <v>1</v>
      </c>
      <c r="W36" s="140">
        <v>1</v>
      </c>
      <c r="X36" s="140">
        <v>1</v>
      </c>
      <c r="Y36" s="140">
        <v>1</v>
      </c>
      <c r="Z36" s="140">
        <v>1</v>
      </c>
      <c r="AA36" s="140">
        <v>1</v>
      </c>
      <c r="AB36" s="235"/>
      <c r="AC36" s="235">
        <v>1</v>
      </c>
      <c r="AD36" s="138"/>
      <c r="AE36" s="138"/>
      <c r="AF36" s="138"/>
      <c r="AG36" s="138"/>
    </row>
    <row r="37" spans="1:33" ht="14.4" hidden="1">
      <c r="A37" s="160">
        <v>3</v>
      </c>
      <c r="B37" s="242" t="s">
        <v>348</v>
      </c>
      <c r="C37" s="234">
        <v>87754849839</v>
      </c>
      <c r="D37" s="140">
        <v>1</v>
      </c>
      <c r="E37" s="140">
        <v>1</v>
      </c>
      <c r="F37" s="140">
        <v>1</v>
      </c>
      <c r="G37" s="140">
        <v>1</v>
      </c>
      <c r="H37" s="140">
        <v>1</v>
      </c>
      <c r="I37" s="140">
        <v>1</v>
      </c>
      <c r="J37" s="140"/>
      <c r="K37" s="140"/>
      <c r="L37" s="235">
        <v>1</v>
      </c>
      <c r="M37" s="235">
        <v>1</v>
      </c>
      <c r="N37" s="140">
        <v>1</v>
      </c>
      <c r="O37" s="140">
        <v>1</v>
      </c>
      <c r="P37" s="140">
        <v>1</v>
      </c>
      <c r="Q37" s="140">
        <v>1</v>
      </c>
      <c r="R37" s="140">
        <v>1</v>
      </c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</row>
    <row r="38" spans="1:33" ht="14.4">
      <c r="A38" s="160">
        <v>4</v>
      </c>
      <c r="B38" s="234" t="s">
        <v>349</v>
      </c>
      <c r="C38" s="234">
        <v>87009731714</v>
      </c>
      <c r="D38" s="140">
        <v>1</v>
      </c>
      <c r="E38" s="140">
        <v>1</v>
      </c>
      <c r="F38" s="140">
        <v>1</v>
      </c>
      <c r="G38" s="140">
        <v>1</v>
      </c>
      <c r="H38" s="140">
        <v>1</v>
      </c>
      <c r="I38" s="140">
        <v>1</v>
      </c>
      <c r="J38" s="140">
        <v>1</v>
      </c>
      <c r="K38" s="140">
        <v>1</v>
      </c>
      <c r="L38" s="140">
        <v>1</v>
      </c>
      <c r="M38" s="140">
        <v>1</v>
      </c>
      <c r="N38" s="140">
        <v>1</v>
      </c>
      <c r="O38" s="140">
        <v>1</v>
      </c>
      <c r="P38" s="140">
        <v>1</v>
      </c>
      <c r="Q38" s="140">
        <v>1</v>
      </c>
      <c r="R38" s="140">
        <v>1</v>
      </c>
      <c r="S38" s="140">
        <v>1</v>
      </c>
      <c r="T38" s="140">
        <v>1</v>
      </c>
      <c r="U38" s="140">
        <v>1</v>
      </c>
      <c r="V38" s="140">
        <v>1</v>
      </c>
      <c r="W38" s="140">
        <v>1</v>
      </c>
      <c r="X38" s="140">
        <v>1</v>
      </c>
      <c r="Y38" s="140">
        <v>1</v>
      </c>
      <c r="Z38" s="140">
        <v>1</v>
      </c>
      <c r="AA38" s="140">
        <v>1</v>
      </c>
      <c r="AB38" s="239"/>
      <c r="AC38" s="239">
        <v>1</v>
      </c>
      <c r="AD38" s="239"/>
      <c r="AE38" s="239"/>
      <c r="AF38" s="239"/>
      <c r="AG38" s="239"/>
    </row>
    <row r="39" spans="1:33" ht="14.4" hidden="1">
      <c r="A39" s="160"/>
      <c r="B39" s="234" t="s">
        <v>350</v>
      </c>
      <c r="C39" s="234">
        <v>87051114939</v>
      </c>
      <c r="D39" s="140">
        <v>1</v>
      </c>
      <c r="E39" s="140">
        <v>1</v>
      </c>
      <c r="F39" s="140">
        <v>1</v>
      </c>
      <c r="G39" s="140">
        <v>1</v>
      </c>
      <c r="H39" s="91" t="s">
        <v>325</v>
      </c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</row>
    <row r="40" spans="1:33" ht="14.4">
      <c r="A40" s="160">
        <v>5</v>
      </c>
      <c r="B40" s="234" t="s">
        <v>351</v>
      </c>
      <c r="C40" s="234">
        <v>87022143922</v>
      </c>
      <c r="D40" s="91"/>
      <c r="E40" s="140"/>
      <c r="F40" s="138"/>
      <c r="G40" s="140">
        <v>1</v>
      </c>
      <c r="H40" s="140">
        <v>1</v>
      </c>
      <c r="I40" s="140">
        <v>1</v>
      </c>
      <c r="J40" s="140">
        <v>1</v>
      </c>
      <c r="K40" s="140"/>
      <c r="L40" s="140">
        <v>1</v>
      </c>
      <c r="M40" s="140">
        <v>1</v>
      </c>
      <c r="N40" s="235">
        <v>1</v>
      </c>
      <c r="O40" s="140">
        <v>1</v>
      </c>
      <c r="P40" s="140">
        <v>1</v>
      </c>
      <c r="Q40" s="140">
        <v>1</v>
      </c>
      <c r="R40" s="140">
        <v>1</v>
      </c>
      <c r="S40" s="140">
        <v>1</v>
      </c>
      <c r="T40" s="140">
        <v>1</v>
      </c>
      <c r="U40" s="140">
        <v>1</v>
      </c>
      <c r="V40" s="140">
        <v>1</v>
      </c>
      <c r="W40" s="140">
        <v>1</v>
      </c>
      <c r="X40" s="140">
        <v>1</v>
      </c>
      <c r="Y40" s="140">
        <v>1</v>
      </c>
      <c r="Z40" s="140">
        <v>1</v>
      </c>
      <c r="AA40" s="140">
        <v>1</v>
      </c>
      <c r="AB40" s="235"/>
      <c r="AC40" s="235">
        <v>1</v>
      </c>
      <c r="AD40" s="138"/>
      <c r="AE40" s="138"/>
      <c r="AF40" s="138"/>
      <c r="AG40" s="138"/>
    </row>
    <row r="41" spans="1:33" ht="14.4" hidden="1">
      <c r="A41" s="160"/>
      <c r="B41" s="234" t="s">
        <v>352</v>
      </c>
      <c r="C41" s="234">
        <v>87016260607</v>
      </c>
      <c r="D41" s="138"/>
      <c r="E41" s="140">
        <v>1</v>
      </c>
      <c r="F41" s="140"/>
      <c r="G41" s="140"/>
      <c r="H41" s="140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</row>
    <row r="42" spans="1:33" ht="14.4" hidden="1">
      <c r="A42" s="160">
        <v>6</v>
      </c>
      <c r="B42" s="242" t="s">
        <v>353</v>
      </c>
      <c r="C42" s="243">
        <v>87776811771</v>
      </c>
      <c r="D42" s="138"/>
      <c r="E42" s="140">
        <v>1</v>
      </c>
      <c r="F42" s="140">
        <v>1</v>
      </c>
      <c r="G42" s="140">
        <v>1</v>
      </c>
      <c r="I42" s="140">
        <v>1</v>
      </c>
      <c r="J42" s="140">
        <v>1</v>
      </c>
      <c r="K42" s="140">
        <v>1</v>
      </c>
      <c r="L42" s="140">
        <v>1</v>
      </c>
      <c r="M42" s="140">
        <v>1</v>
      </c>
      <c r="N42" s="140">
        <v>1</v>
      </c>
      <c r="O42" s="140">
        <v>1</v>
      </c>
      <c r="P42" s="140">
        <v>1</v>
      </c>
      <c r="Q42" s="140"/>
      <c r="R42" s="91"/>
      <c r="S42" s="235">
        <v>1</v>
      </c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</row>
    <row r="43" spans="1:33" ht="14.4" hidden="1">
      <c r="A43" s="160"/>
      <c r="B43" s="243" t="s">
        <v>354</v>
      </c>
      <c r="C43" s="243">
        <v>87471249006</v>
      </c>
      <c r="D43" s="138"/>
      <c r="E43" s="140">
        <v>1</v>
      </c>
      <c r="F43" s="140">
        <v>1</v>
      </c>
      <c r="G43" s="140">
        <v>1</v>
      </c>
      <c r="H43" s="140">
        <v>1</v>
      </c>
      <c r="I43" s="140">
        <v>1</v>
      </c>
      <c r="J43" s="140"/>
      <c r="K43" s="140"/>
      <c r="L43" s="138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</row>
    <row r="44" spans="1:33" ht="14.4">
      <c r="A44" s="160">
        <v>7</v>
      </c>
      <c r="B44" s="243" t="s">
        <v>322</v>
      </c>
      <c r="C44" s="243" t="s">
        <v>355</v>
      </c>
      <c r="D44" s="138"/>
      <c r="E44" s="140"/>
      <c r="F44" s="140"/>
      <c r="G44" s="140">
        <v>1</v>
      </c>
      <c r="H44" s="140">
        <v>1</v>
      </c>
      <c r="I44" s="235">
        <v>1</v>
      </c>
      <c r="J44" s="91"/>
      <c r="K44" s="91"/>
      <c r="L44" s="91"/>
      <c r="M44" s="140">
        <v>1</v>
      </c>
      <c r="N44" s="140">
        <v>1</v>
      </c>
      <c r="O44" s="140">
        <v>1</v>
      </c>
      <c r="P44" s="140">
        <v>1</v>
      </c>
      <c r="Q44" s="140"/>
      <c r="R44" s="140">
        <v>1</v>
      </c>
      <c r="S44" s="140">
        <v>1</v>
      </c>
      <c r="T44" s="140">
        <v>1</v>
      </c>
      <c r="U44" s="140">
        <v>1</v>
      </c>
      <c r="V44" s="235">
        <v>1</v>
      </c>
      <c r="W44" s="140">
        <v>1</v>
      </c>
      <c r="X44" s="140">
        <v>1</v>
      </c>
      <c r="Y44" s="140">
        <v>1</v>
      </c>
      <c r="Z44" s="140">
        <v>1</v>
      </c>
      <c r="AA44" s="140">
        <v>1</v>
      </c>
      <c r="AB44" s="91"/>
      <c r="AC44" s="91">
        <v>1</v>
      </c>
      <c r="AD44" s="138"/>
      <c r="AE44" s="138"/>
      <c r="AF44" s="138"/>
      <c r="AG44" s="138"/>
    </row>
    <row r="45" spans="1:33" ht="14.4">
      <c r="A45" s="160"/>
      <c r="B45" s="243" t="s">
        <v>356</v>
      </c>
      <c r="C45" s="243"/>
      <c r="D45" s="138"/>
      <c r="E45" s="140"/>
      <c r="F45" s="140"/>
      <c r="G45" s="140"/>
      <c r="H45" s="140"/>
      <c r="I45" s="235"/>
      <c r="J45" s="91"/>
      <c r="K45" s="91"/>
      <c r="L45" s="91"/>
      <c r="M45" s="140"/>
      <c r="N45" s="140"/>
      <c r="O45" s="140"/>
      <c r="P45" s="140"/>
      <c r="Q45" s="140"/>
      <c r="R45" s="140"/>
      <c r="S45" s="140"/>
      <c r="T45" s="140"/>
      <c r="U45" s="140"/>
      <c r="V45" s="235"/>
      <c r="W45" s="140"/>
      <c r="X45" s="140"/>
      <c r="Y45" s="140"/>
      <c r="Z45" s="140">
        <v>1</v>
      </c>
      <c r="AA45" s="91"/>
      <c r="AB45" s="91"/>
      <c r="AC45" s="91"/>
      <c r="AD45" s="91"/>
      <c r="AE45" s="91"/>
      <c r="AF45" s="91"/>
      <c r="AG45" s="91"/>
    </row>
    <row r="46" spans="1:33" ht="13.2">
      <c r="A46" s="234"/>
      <c r="B46" s="234"/>
      <c r="C46" s="234"/>
      <c r="D46" s="171">
        <v>8</v>
      </c>
      <c r="E46" s="171">
        <v>11</v>
      </c>
      <c r="F46" s="171">
        <v>8</v>
      </c>
      <c r="G46" s="171">
        <v>11</v>
      </c>
      <c r="H46" s="171">
        <v>7</v>
      </c>
      <c r="I46" s="171">
        <v>9</v>
      </c>
      <c r="J46" s="171">
        <v>4</v>
      </c>
      <c r="K46" s="171">
        <v>4</v>
      </c>
      <c r="L46" s="171">
        <v>5</v>
      </c>
      <c r="M46" s="171">
        <v>6</v>
      </c>
      <c r="N46" s="91">
        <v>6</v>
      </c>
      <c r="O46" s="91">
        <v>7</v>
      </c>
      <c r="P46" s="91">
        <v>7</v>
      </c>
      <c r="Q46" s="91">
        <v>5</v>
      </c>
      <c r="R46" s="91">
        <f t="shared" ref="R46:U46" si="1">SUM(R33:R44)</f>
        <v>5</v>
      </c>
      <c r="S46" s="91">
        <f t="shared" si="1"/>
        <v>5</v>
      </c>
      <c r="T46" s="91">
        <f t="shared" si="1"/>
        <v>4</v>
      </c>
      <c r="U46" s="91">
        <f t="shared" si="1"/>
        <v>5</v>
      </c>
      <c r="V46" s="91">
        <v>5</v>
      </c>
      <c r="W46" s="91">
        <v>5</v>
      </c>
      <c r="X46" s="91">
        <v>5</v>
      </c>
      <c r="Y46" s="91">
        <v>5</v>
      </c>
      <c r="Z46" s="91">
        <v>5</v>
      </c>
      <c r="AA46" s="91">
        <v>4</v>
      </c>
      <c r="AB46" s="91"/>
      <c r="AC46" s="91">
        <v>5</v>
      </c>
      <c r="AD46" s="91"/>
      <c r="AE46" s="91"/>
      <c r="AF46" s="91"/>
      <c r="AG46" s="91"/>
    </row>
    <row r="47" spans="1:33" ht="13.2">
      <c r="A47" s="215"/>
      <c r="B47" s="215"/>
      <c r="C47" s="215"/>
      <c r="G47" s="91" t="s">
        <v>340</v>
      </c>
      <c r="H47" s="91">
        <f>SUM(F46:I46)</f>
        <v>35</v>
      </c>
      <c r="M47" s="85">
        <f>SUM(J33:M44)</f>
        <v>19</v>
      </c>
      <c r="O47" s="91" t="s">
        <v>340</v>
      </c>
      <c r="P47" s="91">
        <f>SUM(N33:Q44)</f>
        <v>25</v>
      </c>
      <c r="Z47" s="85" t="s">
        <v>357</v>
      </c>
    </row>
    <row r="48" spans="1:33" ht="13.2">
      <c r="A48" s="215"/>
      <c r="B48" s="215"/>
      <c r="C48" s="215"/>
      <c r="Q48" s="85"/>
    </row>
    <row r="49" spans="1:21" ht="13.2">
      <c r="A49" s="215"/>
      <c r="B49" s="215"/>
      <c r="C49" s="215"/>
    </row>
    <row r="50" spans="1:21" ht="13.2">
      <c r="A50" s="215"/>
      <c r="B50" s="215"/>
      <c r="C50" s="215"/>
    </row>
    <row r="51" spans="1:21" ht="13.2">
      <c r="A51" s="215"/>
      <c r="B51" s="215"/>
      <c r="C51" s="215"/>
      <c r="U51" s="85"/>
    </row>
    <row r="52" spans="1:21" ht="13.2">
      <c r="A52" s="215"/>
      <c r="B52" s="202"/>
      <c r="C52" s="234" t="s">
        <v>358</v>
      </c>
    </row>
    <row r="53" spans="1:21" ht="13.2">
      <c r="A53" s="215"/>
      <c r="B53" s="244"/>
      <c r="C53" s="234" t="s">
        <v>359</v>
      </c>
    </row>
    <row r="54" spans="1:21" ht="13.2">
      <c r="A54" s="215"/>
      <c r="B54" s="245"/>
      <c r="C54" s="234" t="s">
        <v>360</v>
      </c>
    </row>
    <row r="55" spans="1:21" ht="26.4">
      <c r="A55" s="215"/>
      <c r="B55" s="246"/>
      <c r="C55" s="247" t="s">
        <v>361</v>
      </c>
    </row>
    <row r="56" spans="1:21" ht="13.2">
      <c r="A56" s="215"/>
      <c r="B56" s="248"/>
      <c r="C56" s="234" t="s">
        <v>362</v>
      </c>
    </row>
    <row r="57" spans="1:21" ht="13.2">
      <c r="A57" s="215"/>
      <c r="B57" s="215"/>
      <c r="C57" s="215"/>
    </row>
    <row r="58" spans="1:21" ht="13.2">
      <c r="A58" s="215"/>
      <c r="B58" s="215"/>
      <c r="C58" s="215"/>
    </row>
    <row r="59" spans="1:21" ht="13.2">
      <c r="A59" s="215"/>
      <c r="B59" s="215"/>
      <c r="C59" s="215"/>
    </row>
    <row r="60" spans="1:21" ht="13.2">
      <c r="A60" s="215"/>
      <c r="B60" s="215"/>
      <c r="C60" s="215"/>
    </row>
    <row r="61" spans="1:21" ht="13.2">
      <c r="A61" s="215"/>
      <c r="B61" s="215"/>
      <c r="C61" s="215"/>
    </row>
    <row r="62" spans="1:21" ht="13.2">
      <c r="A62" s="215"/>
      <c r="B62" s="215"/>
      <c r="C62" s="215"/>
    </row>
    <row r="63" spans="1:21" ht="13.2">
      <c r="A63" s="215"/>
      <c r="B63" s="215"/>
      <c r="C63" s="215"/>
    </row>
    <row r="64" spans="1:21" ht="13.2">
      <c r="A64" s="215"/>
      <c r="B64" s="215"/>
      <c r="C64" s="215"/>
    </row>
    <row r="65" spans="1:3" ht="13.2">
      <c r="A65" s="215"/>
      <c r="B65" s="215"/>
      <c r="C65" s="215"/>
    </row>
    <row r="66" spans="1:3" ht="13.2">
      <c r="A66" s="215"/>
      <c r="B66" s="215"/>
      <c r="C66" s="215"/>
    </row>
    <row r="67" spans="1:3" ht="13.2">
      <c r="A67" s="215"/>
      <c r="B67" s="215"/>
      <c r="C67" s="215"/>
    </row>
    <row r="68" spans="1:3" ht="13.2">
      <c r="A68" s="215"/>
      <c r="B68" s="215"/>
      <c r="C68" s="215"/>
    </row>
    <row r="69" spans="1:3" ht="13.2">
      <c r="A69" s="215"/>
      <c r="B69" s="215"/>
      <c r="C69" s="215"/>
    </row>
    <row r="70" spans="1:3" ht="13.2">
      <c r="A70" s="215"/>
      <c r="B70" s="215"/>
      <c r="C70" s="215"/>
    </row>
    <row r="71" spans="1:3" ht="13.2">
      <c r="A71" s="215"/>
      <c r="B71" s="215"/>
      <c r="C71" s="215"/>
    </row>
    <row r="72" spans="1:3" ht="13.2">
      <c r="A72" s="215"/>
      <c r="B72" s="215"/>
      <c r="C72" s="215"/>
    </row>
    <row r="73" spans="1:3" ht="13.2">
      <c r="A73" s="215"/>
      <c r="B73" s="215"/>
      <c r="C73" s="215"/>
    </row>
    <row r="74" spans="1:3" ht="13.2">
      <c r="A74" s="215"/>
      <c r="B74" s="215"/>
      <c r="C74" s="215"/>
    </row>
    <row r="75" spans="1:3" ht="13.2">
      <c r="A75" s="215"/>
      <c r="B75" s="215"/>
      <c r="C75" s="215"/>
    </row>
    <row r="76" spans="1:3" ht="13.2">
      <c r="A76" s="215"/>
      <c r="B76" s="215"/>
      <c r="C76" s="215"/>
    </row>
    <row r="77" spans="1:3" ht="13.2">
      <c r="A77" s="215"/>
      <c r="B77" s="215"/>
      <c r="C77" s="215"/>
    </row>
    <row r="78" spans="1:3" ht="13.2">
      <c r="A78" s="215"/>
      <c r="B78" s="215"/>
      <c r="C78" s="215"/>
    </row>
    <row r="79" spans="1:3" ht="13.2">
      <c r="A79" s="215"/>
      <c r="B79" s="215"/>
      <c r="C79" s="215"/>
    </row>
    <row r="80" spans="1:3" ht="13.2">
      <c r="A80" s="215"/>
      <c r="B80" s="215"/>
      <c r="C80" s="215"/>
    </row>
    <row r="81" spans="1:3" ht="13.2">
      <c r="A81" s="215"/>
      <c r="B81" s="215"/>
      <c r="C81" s="215"/>
    </row>
    <row r="82" spans="1:3" ht="13.2">
      <c r="A82" s="215"/>
      <c r="B82" s="215"/>
      <c r="C82" s="215"/>
    </row>
    <row r="83" spans="1:3" ht="13.2">
      <c r="A83" s="215"/>
      <c r="B83" s="215"/>
      <c r="C83" s="215"/>
    </row>
    <row r="84" spans="1:3" ht="13.2">
      <c r="A84" s="215"/>
      <c r="B84" s="215"/>
      <c r="C84" s="215"/>
    </row>
    <row r="85" spans="1:3" ht="13.2">
      <c r="A85" s="215"/>
      <c r="B85" s="215"/>
      <c r="C85" s="215"/>
    </row>
    <row r="86" spans="1:3" ht="13.2">
      <c r="A86" s="215"/>
      <c r="B86" s="215"/>
      <c r="C86" s="215"/>
    </row>
    <row r="87" spans="1:3" ht="13.2">
      <c r="A87" s="215"/>
      <c r="B87" s="215"/>
      <c r="C87" s="215"/>
    </row>
    <row r="88" spans="1:3" ht="13.2">
      <c r="A88" s="215"/>
      <c r="B88" s="215"/>
      <c r="C88" s="215"/>
    </row>
    <row r="89" spans="1:3" ht="13.2">
      <c r="A89" s="215"/>
      <c r="B89" s="215"/>
      <c r="C89" s="215"/>
    </row>
    <row r="90" spans="1:3" ht="13.2">
      <c r="A90" s="215"/>
      <c r="B90" s="215"/>
      <c r="C90" s="215"/>
    </row>
    <row r="91" spans="1:3" ht="13.2">
      <c r="A91" s="215"/>
      <c r="B91" s="215"/>
      <c r="C91" s="215"/>
    </row>
    <row r="92" spans="1:3" ht="13.2">
      <c r="A92" s="215"/>
      <c r="B92" s="215"/>
      <c r="C92" s="215"/>
    </row>
    <row r="93" spans="1:3" ht="13.2">
      <c r="A93" s="215"/>
      <c r="B93" s="215"/>
      <c r="C93" s="215"/>
    </row>
    <row r="94" spans="1:3" ht="13.2">
      <c r="A94" s="215"/>
      <c r="B94" s="215"/>
      <c r="C94" s="215"/>
    </row>
    <row r="95" spans="1:3" ht="13.2">
      <c r="A95" s="215"/>
      <c r="B95" s="215"/>
      <c r="C95" s="215"/>
    </row>
    <row r="96" spans="1:3" ht="13.2">
      <c r="A96" s="215"/>
      <c r="B96" s="215"/>
      <c r="C96" s="215"/>
    </row>
    <row r="97" spans="1:3" ht="13.2">
      <c r="A97" s="215"/>
      <c r="B97" s="215"/>
      <c r="C97" s="215"/>
    </row>
    <row r="98" spans="1:3" ht="13.2">
      <c r="A98" s="215"/>
      <c r="B98" s="215"/>
      <c r="C98" s="215"/>
    </row>
    <row r="99" spans="1:3" ht="13.2">
      <c r="A99" s="215"/>
      <c r="B99" s="215"/>
      <c r="C99" s="215"/>
    </row>
    <row r="100" spans="1:3" ht="13.2">
      <c r="A100" s="215"/>
      <c r="B100" s="215"/>
      <c r="C100" s="215"/>
    </row>
    <row r="101" spans="1:3" ht="13.2">
      <c r="A101" s="215"/>
      <c r="B101" s="215"/>
      <c r="C101" s="215"/>
    </row>
    <row r="102" spans="1:3" ht="13.2">
      <c r="A102" s="215"/>
      <c r="B102" s="215"/>
      <c r="C102" s="215"/>
    </row>
    <row r="103" spans="1:3" ht="13.2">
      <c r="A103" s="215"/>
      <c r="B103" s="215"/>
      <c r="C103" s="215"/>
    </row>
    <row r="104" spans="1:3" ht="13.2">
      <c r="A104" s="215"/>
      <c r="B104" s="215"/>
      <c r="C104" s="215"/>
    </row>
    <row r="105" spans="1:3" ht="13.2">
      <c r="A105" s="215"/>
      <c r="B105" s="215"/>
      <c r="C105" s="215"/>
    </row>
    <row r="106" spans="1:3" ht="13.2">
      <c r="A106" s="215"/>
      <c r="B106" s="215"/>
      <c r="C106" s="215"/>
    </row>
    <row r="107" spans="1:3" ht="13.2">
      <c r="A107" s="215"/>
      <c r="B107" s="215"/>
      <c r="C107" s="215"/>
    </row>
    <row r="108" spans="1:3" ht="13.2">
      <c r="A108" s="215"/>
      <c r="B108" s="215"/>
      <c r="C108" s="215"/>
    </row>
    <row r="109" spans="1:3" ht="13.2">
      <c r="A109" s="215"/>
      <c r="B109" s="215"/>
      <c r="C109" s="215"/>
    </row>
    <row r="110" spans="1:3" ht="13.2">
      <c r="A110" s="215"/>
      <c r="B110" s="215"/>
      <c r="C110" s="215"/>
    </row>
    <row r="111" spans="1:3" ht="13.2">
      <c r="A111" s="215"/>
      <c r="B111" s="215"/>
      <c r="C111" s="215"/>
    </row>
    <row r="112" spans="1:3" ht="13.2">
      <c r="A112" s="215"/>
      <c r="B112" s="215"/>
      <c r="C112" s="215"/>
    </row>
    <row r="113" spans="1:3" ht="13.2">
      <c r="A113" s="215"/>
      <c r="B113" s="215"/>
      <c r="C113" s="215"/>
    </row>
    <row r="114" spans="1:3" ht="13.2">
      <c r="A114" s="215"/>
      <c r="B114" s="215"/>
      <c r="C114" s="215"/>
    </row>
    <row r="115" spans="1:3" ht="13.2">
      <c r="A115" s="215"/>
      <c r="B115" s="215"/>
      <c r="C115" s="215"/>
    </row>
    <row r="116" spans="1:3" ht="13.2">
      <c r="A116" s="215"/>
      <c r="B116" s="215"/>
      <c r="C116" s="215"/>
    </row>
    <row r="117" spans="1:3" ht="13.2">
      <c r="A117" s="215"/>
      <c r="B117" s="215"/>
      <c r="C117" s="215"/>
    </row>
    <row r="118" spans="1:3" ht="13.2">
      <c r="A118" s="215"/>
      <c r="B118" s="215"/>
      <c r="C118" s="215"/>
    </row>
    <row r="119" spans="1:3" ht="13.2">
      <c r="A119" s="215"/>
      <c r="B119" s="215"/>
      <c r="C119" s="215"/>
    </row>
    <row r="120" spans="1:3" ht="13.2">
      <c r="A120" s="215"/>
      <c r="B120" s="215"/>
      <c r="C120" s="215"/>
    </row>
    <row r="121" spans="1:3" ht="13.2">
      <c r="A121" s="215"/>
      <c r="B121" s="215"/>
      <c r="C121" s="215"/>
    </row>
    <row r="122" spans="1:3" ht="13.2">
      <c r="A122" s="215"/>
      <c r="B122" s="215"/>
      <c r="C122" s="215"/>
    </row>
    <row r="123" spans="1:3" ht="13.2">
      <c r="A123" s="215"/>
      <c r="B123" s="215"/>
      <c r="C123" s="215"/>
    </row>
    <row r="124" spans="1:3" ht="13.2">
      <c r="A124" s="215"/>
      <c r="B124" s="215"/>
      <c r="C124" s="215"/>
    </row>
    <row r="125" spans="1:3" ht="13.2">
      <c r="A125" s="215"/>
      <c r="B125" s="215"/>
      <c r="C125" s="215"/>
    </row>
    <row r="126" spans="1:3" ht="13.2">
      <c r="A126" s="215"/>
      <c r="B126" s="215"/>
      <c r="C126" s="215"/>
    </row>
    <row r="127" spans="1:3" ht="13.2">
      <c r="A127" s="215"/>
      <c r="B127" s="215"/>
      <c r="C127" s="215"/>
    </row>
    <row r="128" spans="1:3" ht="13.2">
      <c r="A128" s="215"/>
      <c r="B128" s="215"/>
      <c r="C128" s="215"/>
    </row>
    <row r="129" spans="1:3" ht="13.2">
      <c r="A129" s="215"/>
      <c r="B129" s="215"/>
      <c r="C129" s="215"/>
    </row>
    <row r="130" spans="1:3" ht="13.2">
      <c r="A130" s="215"/>
      <c r="B130" s="215"/>
      <c r="C130" s="215"/>
    </row>
    <row r="131" spans="1:3" ht="13.2">
      <c r="A131" s="215"/>
      <c r="B131" s="215"/>
      <c r="C131" s="215"/>
    </row>
    <row r="132" spans="1:3" ht="13.2">
      <c r="A132" s="215"/>
      <c r="B132" s="215"/>
      <c r="C132" s="215"/>
    </row>
    <row r="133" spans="1:3" ht="13.2">
      <c r="A133" s="215"/>
      <c r="B133" s="215"/>
      <c r="C133" s="215"/>
    </row>
    <row r="134" spans="1:3" ht="13.2">
      <c r="A134" s="215"/>
      <c r="B134" s="215"/>
      <c r="C134" s="215"/>
    </row>
    <row r="135" spans="1:3" ht="13.2">
      <c r="A135" s="215"/>
      <c r="B135" s="215"/>
      <c r="C135" s="215"/>
    </row>
    <row r="136" spans="1:3" ht="13.2">
      <c r="A136" s="215"/>
      <c r="B136" s="215"/>
      <c r="C136" s="215"/>
    </row>
    <row r="137" spans="1:3" ht="13.2">
      <c r="A137" s="215"/>
      <c r="B137" s="215"/>
      <c r="C137" s="215"/>
    </row>
    <row r="138" spans="1:3" ht="13.2">
      <c r="A138" s="215"/>
      <c r="B138" s="215"/>
      <c r="C138" s="215"/>
    </row>
    <row r="139" spans="1:3" ht="13.2">
      <c r="A139" s="215"/>
      <c r="B139" s="215"/>
      <c r="C139" s="215"/>
    </row>
    <row r="140" spans="1:3" ht="13.2">
      <c r="A140" s="215"/>
      <c r="B140" s="215"/>
      <c r="C140" s="215"/>
    </row>
    <row r="141" spans="1:3" ht="13.2">
      <c r="A141" s="215"/>
      <c r="B141" s="215"/>
      <c r="C141" s="215"/>
    </row>
    <row r="142" spans="1:3" ht="13.2">
      <c r="A142" s="215"/>
      <c r="B142" s="215"/>
      <c r="C142" s="215"/>
    </row>
    <row r="143" spans="1:3" ht="13.2">
      <c r="A143" s="215"/>
      <c r="B143" s="215"/>
      <c r="C143" s="215"/>
    </row>
    <row r="144" spans="1:3" ht="13.2">
      <c r="A144" s="215"/>
      <c r="B144" s="215"/>
      <c r="C144" s="215"/>
    </row>
    <row r="145" spans="1:3" ht="13.2">
      <c r="A145" s="215"/>
      <c r="B145" s="215"/>
      <c r="C145" s="215"/>
    </row>
    <row r="146" spans="1:3" ht="13.2">
      <c r="A146" s="215"/>
      <c r="B146" s="215"/>
      <c r="C146" s="215"/>
    </row>
    <row r="147" spans="1:3" ht="13.2">
      <c r="A147" s="215"/>
      <c r="B147" s="215"/>
      <c r="C147" s="215"/>
    </row>
    <row r="148" spans="1:3" ht="13.2">
      <c r="A148" s="215"/>
      <c r="B148" s="215"/>
      <c r="C148" s="215"/>
    </row>
    <row r="149" spans="1:3" ht="13.2">
      <c r="A149" s="215"/>
      <c r="B149" s="215"/>
      <c r="C149" s="215"/>
    </row>
    <row r="150" spans="1:3" ht="13.2">
      <c r="A150" s="215"/>
      <c r="B150" s="215"/>
      <c r="C150" s="215"/>
    </row>
    <row r="151" spans="1:3" ht="13.2">
      <c r="A151" s="215"/>
      <c r="B151" s="215"/>
      <c r="C151" s="215"/>
    </row>
    <row r="152" spans="1:3" ht="13.2">
      <c r="A152" s="215"/>
      <c r="B152" s="215"/>
      <c r="C152" s="215"/>
    </row>
    <row r="153" spans="1:3" ht="13.2">
      <c r="A153" s="215"/>
      <c r="B153" s="215"/>
      <c r="C153" s="215"/>
    </row>
    <row r="154" spans="1:3" ht="13.2">
      <c r="A154" s="215"/>
      <c r="B154" s="215"/>
      <c r="C154" s="215"/>
    </row>
    <row r="155" spans="1:3" ht="13.2">
      <c r="A155" s="215"/>
      <c r="B155" s="215"/>
      <c r="C155" s="215"/>
    </row>
    <row r="156" spans="1:3" ht="13.2">
      <c r="A156" s="215"/>
      <c r="B156" s="215"/>
      <c r="C156" s="215"/>
    </row>
    <row r="157" spans="1:3" ht="13.2">
      <c r="A157" s="215"/>
      <c r="B157" s="215"/>
      <c r="C157" s="215"/>
    </row>
    <row r="158" spans="1:3" ht="13.2">
      <c r="A158" s="215"/>
      <c r="B158" s="215"/>
      <c r="C158" s="215"/>
    </row>
    <row r="159" spans="1:3" ht="13.2">
      <c r="A159" s="215"/>
      <c r="B159" s="215"/>
      <c r="C159" s="215"/>
    </row>
    <row r="160" spans="1:3" ht="13.2">
      <c r="A160" s="215"/>
      <c r="B160" s="215"/>
      <c r="C160" s="215"/>
    </row>
    <row r="161" spans="1:3" ht="13.2">
      <c r="A161" s="215"/>
      <c r="B161" s="215"/>
      <c r="C161" s="215"/>
    </row>
    <row r="162" spans="1:3" ht="13.2">
      <c r="A162" s="215"/>
      <c r="B162" s="215"/>
      <c r="C162" s="215"/>
    </row>
    <row r="163" spans="1:3" ht="13.2">
      <c r="A163" s="215"/>
      <c r="B163" s="215"/>
      <c r="C163" s="215"/>
    </row>
    <row r="164" spans="1:3" ht="13.2">
      <c r="A164" s="215"/>
      <c r="B164" s="215"/>
      <c r="C164" s="215"/>
    </row>
    <row r="165" spans="1:3" ht="13.2">
      <c r="A165" s="215"/>
      <c r="B165" s="215"/>
      <c r="C165" s="215"/>
    </row>
    <row r="166" spans="1:3" ht="13.2">
      <c r="A166" s="215"/>
      <c r="B166" s="215"/>
      <c r="C166" s="215"/>
    </row>
    <row r="167" spans="1:3" ht="13.2">
      <c r="A167" s="215"/>
      <c r="B167" s="215"/>
      <c r="C167" s="215"/>
    </row>
    <row r="168" spans="1:3" ht="13.2">
      <c r="A168" s="215"/>
      <c r="B168" s="215"/>
      <c r="C168" s="215"/>
    </row>
    <row r="169" spans="1:3" ht="13.2">
      <c r="A169" s="215"/>
      <c r="B169" s="215"/>
      <c r="C169" s="215"/>
    </row>
    <row r="170" spans="1:3" ht="13.2">
      <c r="A170" s="215"/>
      <c r="B170" s="215"/>
      <c r="C170" s="215"/>
    </row>
    <row r="171" spans="1:3" ht="13.2">
      <c r="A171" s="215"/>
      <c r="B171" s="215"/>
      <c r="C171" s="215"/>
    </row>
    <row r="172" spans="1:3" ht="13.2">
      <c r="A172" s="215"/>
      <c r="B172" s="215"/>
      <c r="C172" s="215"/>
    </row>
    <row r="173" spans="1:3" ht="13.2">
      <c r="A173" s="215"/>
      <c r="B173" s="215"/>
      <c r="C173" s="215"/>
    </row>
    <row r="174" spans="1:3" ht="13.2">
      <c r="A174" s="215"/>
      <c r="B174" s="215"/>
      <c r="C174" s="215"/>
    </row>
    <row r="175" spans="1:3" ht="13.2">
      <c r="A175" s="215"/>
      <c r="B175" s="215"/>
      <c r="C175" s="215"/>
    </row>
    <row r="176" spans="1:3" ht="13.2">
      <c r="A176" s="215"/>
      <c r="B176" s="215"/>
      <c r="C176" s="215"/>
    </row>
    <row r="177" spans="1:3" ht="13.2">
      <c r="A177" s="215"/>
      <c r="B177" s="215"/>
      <c r="C177" s="215"/>
    </row>
    <row r="178" spans="1:3" ht="13.2">
      <c r="A178" s="215"/>
      <c r="B178" s="215"/>
      <c r="C178" s="215"/>
    </row>
    <row r="179" spans="1:3" ht="13.2">
      <c r="A179" s="215"/>
      <c r="B179" s="215"/>
      <c r="C179" s="215"/>
    </row>
    <row r="180" spans="1:3" ht="13.2">
      <c r="A180" s="215"/>
      <c r="B180" s="215"/>
      <c r="C180" s="215"/>
    </row>
    <row r="181" spans="1:3" ht="13.2">
      <c r="A181" s="215"/>
      <c r="B181" s="215"/>
      <c r="C181" s="215"/>
    </row>
    <row r="182" spans="1:3" ht="13.2">
      <c r="A182" s="215"/>
      <c r="B182" s="215"/>
      <c r="C182" s="215"/>
    </row>
    <row r="183" spans="1:3" ht="13.2">
      <c r="A183" s="215"/>
      <c r="B183" s="215"/>
      <c r="C183" s="215"/>
    </row>
    <row r="184" spans="1:3" ht="13.2">
      <c r="A184" s="215"/>
      <c r="B184" s="215"/>
      <c r="C184" s="215"/>
    </row>
    <row r="185" spans="1:3" ht="13.2">
      <c r="A185" s="215"/>
      <c r="B185" s="215"/>
      <c r="C185" s="215"/>
    </row>
    <row r="186" spans="1:3" ht="13.2">
      <c r="A186" s="215"/>
      <c r="B186" s="215"/>
      <c r="C186" s="215"/>
    </row>
    <row r="187" spans="1:3" ht="13.2">
      <c r="A187" s="215"/>
      <c r="B187" s="215"/>
      <c r="C187" s="215"/>
    </row>
    <row r="188" spans="1:3" ht="13.2">
      <c r="A188" s="215"/>
      <c r="B188" s="215"/>
      <c r="C188" s="215"/>
    </row>
    <row r="189" spans="1:3" ht="13.2">
      <c r="A189" s="215"/>
      <c r="B189" s="215"/>
      <c r="C189" s="215"/>
    </row>
    <row r="190" spans="1:3" ht="13.2">
      <c r="A190" s="215"/>
      <c r="B190" s="215"/>
      <c r="C190" s="215"/>
    </row>
    <row r="191" spans="1:3" ht="13.2">
      <c r="A191" s="215"/>
      <c r="B191" s="215"/>
      <c r="C191" s="215"/>
    </row>
    <row r="192" spans="1:3" ht="13.2">
      <c r="A192" s="215"/>
      <c r="B192" s="215"/>
      <c r="C192" s="215"/>
    </row>
    <row r="193" spans="1:3" ht="13.2">
      <c r="A193" s="215"/>
      <c r="B193" s="215"/>
      <c r="C193" s="215"/>
    </row>
    <row r="194" spans="1:3" ht="13.2">
      <c r="A194" s="215"/>
      <c r="B194" s="215"/>
      <c r="C194" s="215"/>
    </row>
    <row r="195" spans="1:3" ht="13.2">
      <c r="A195" s="215"/>
      <c r="B195" s="215"/>
      <c r="C195" s="215"/>
    </row>
    <row r="196" spans="1:3" ht="13.2">
      <c r="A196" s="215"/>
      <c r="B196" s="215"/>
      <c r="C196" s="215"/>
    </row>
    <row r="197" spans="1:3" ht="13.2">
      <c r="A197" s="215"/>
      <c r="B197" s="215"/>
      <c r="C197" s="215"/>
    </row>
    <row r="198" spans="1:3" ht="13.2">
      <c r="A198" s="215"/>
      <c r="B198" s="215"/>
      <c r="C198" s="215"/>
    </row>
    <row r="199" spans="1:3" ht="13.2">
      <c r="A199" s="215"/>
      <c r="B199" s="215"/>
      <c r="C199" s="215"/>
    </row>
    <row r="200" spans="1:3" ht="13.2">
      <c r="A200" s="215"/>
      <c r="B200" s="215"/>
      <c r="C200" s="215"/>
    </row>
    <row r="201" spans="1:3" ht="13.2">
      <c r="A201" s="215"/>
      <c r="B201" s="215"/>
      <c r="C201" s="215"/>
    </row>
    <row r="202" spans="1:3" ht="13.2">
      <c r="A202" s="215"/>
      <c r="B202" s="215"/>
      <c r="C202" s="215"/>
    </row>
    <row r="203" spans="1:3" ht="13.2">
      <c r="A203" s="215"/>
      <c r="B203" s="215"/>
      <c r="C203" s="215"/>
    </row>
    <row r="204" spans="1:3" ht="13.2">
      <c r="A204" s="215"/>
      <c r="B204" s="215"/>
      <c r="C204" s="215"/>
    </row>
    <row r="205" spans="1:3" ht="13.2">
      <c r="A205" s="215"/>
      <c r="B205" s="215"/>
      <c r="C205" s="215"/>
    </row>
    <row r="206" spans="1:3" ht="13.2">
      <c r="A206" s="215"/>
      <c r="B206" s="215"/>
      <c r="C206" s="215"/>
    </row>
    <row r="207" spans="1:3" ht="13.2">
      <c r="A207" s="215"/>
      <c r="B207" s="215"/>
      <c r="C207" s="215"/>
    </row>
    <row r="208" spans="1:3" ht="13.2">
      <c r="A208" s="215"/>
      <c r="B208" s="215"/>
      <c r="C208" s="215"/>
    </row>
    <row r="209" spans="1:3" ht="13.2">
      <c r="A209" s="215"/>
      <c r="B209" s="215"/>
      <c r="C209" s="215"/>
    </row>
    <row r="210" spans="1:3" ht="13.2">
      <c r="A210" s="215"/>
      <c r="B210" s="215"/>
      <c r="C210" s="215"/>
    </row>
    <row r="211" spans="1:3" ht="13.2">
      <c r="A211" s="215"/>
      <c r="B211" s="215"/>
      <c r="C211" s="215"/>
    </row>
    <row r="212" spans="1:3" ht="13.2">
      <c r="A212" s="215"/>
      <c r="B212" s="215"/>
      <c r="C212" s="215"/>
    </row>
    <row r="213" spans="1:3" ht="13.2">
      <c r="A213" s="215"/>
      <c r="B213" s="215"/>
      <c r="C213" s="215"/>
    </row>
    <row r="214" spans="1:3" ht="13.2">
      <c r="A214" s="215"/>
      <c r="B214" s="215"/>
      <c r="C214" s="215"/>
    </row>
    <row r="215" spans="1:3" ht="13.2">
      <c r="A215" s="215"/>
      <c r="B215" s="215"/>
      <c r="C215" s="215"/>
    </row>
    <row r="216" spans="1:3" ht="13.2">
      <c r="A216" s="215"/>
      <c r="B216" s="215"/>
      <c r="C216" s="215"/>
    </row>
    <row r="217" spans="1:3" ht="13.2">
      <c r="A217" s="215"/>
      <c r="B217" s="215"/>
      <c r="C217" s="215"/>
    </row>
    <row r="218" spans="1:3" ht="13.2">
      <c r="A218" s="215"/>
      <c r="B218" s="215"/>
      <c r="C218" s="215"/>
    </row>
    <row r="219" spans="1:3" ht="13.2">
      <c r="A219" s="215"/>
      <c r="B219" s="215"/>
      <c r="C219" s="215"/>
    </row>
    <row r="220" spans="1:3" ht="13.2">
      <c r="A220" s="215"/>
      <c r="B220" s="215"/>
      <c r="C220" s="215"/>
    </row>
    <row r="221" spans="1:3" ht="13.2">
      <c r="A221" s="215"/>
      <c r="B221" s="215"/>
      <c r="C221" s="215"/>
    </row>
    <row r="222" spans="1:3" ht="13.2">
      <c r="A222" s="215"/>
      <c r="B222" s="215"/>
      <c r="C222" s="215"/>
    </row>
    <row r="223" spans="1:3" ht="13.2">
      <c r="A223" s="215"/>
      <c r="B223" s="215"/>
      <c r="C223" s="215"/>
    </row>
    <row r="224" spans="1:3" ht="13.2">
      <c r="A224" s="215"/>
      <c r="B224" s="215"/>
      <c r="C224" s="215"/>
    </row>
    <row r="225" spans="1:3" ht="13.2">
      <c r="A225" s="215"/>
      <c r="B225" s="215"/>
      <c r="C225" s="215"/>
    </row>
    <row r="226" spans="1:3" ht="13.2">
      <c r="A226" s="215"/>
      <c r="B226" s="215"/>
      <c r="C226" s="215"/>
    </row>
    <row r="227" spans="1:3" ht="13.2">
      <c r="A227" s="215"/>
      <c r="B227" s="215"/>
      <c r="C227" s="215"/>
    </row>
    <row r="228" spans="1:3" ht="13.2">
      <c r="A228" s="215"/>
      <c r="B228" s="215"/>
      <c r="C228" s="215"/>
    </row>
    <row r="229" spans="1:3" ht="13.2">
      <c r="A229" s="215"/>
      <c r="B229" s="215"/>
      <c r="C229" s="215"/>
    </row>
    <row r="230" spans="1:3" ht="13.2">
      <c r="A230" s="215"/>
      <c r="B230" s="215"/>
      <c r="C230" s="215"/>
    </row>
    <row r="231" spans="1:3" ht="13.2">
      <c r="A231" s="215"/>
      <c r="B231" s="215"/>
      <c r="C231" s="215"/>
    </row>
    <row r="232" spans="1:3" ht="13.2">
      <c r="A232" s="215"/>
      <c r="B232" s="215"/>
      <c r="C232" s="215"/>
    </row>
    <row r="233" spans="1:3" ht="13.2">
      <c r="A233" s="215"/>
      <c r="B233" s="215"/>
      <c r="C233" s="215"/>
    </row>
    <row r="234" spans="1:3" ht="13.2">
      <c r="A234" s="215"/>
      <c r="B234" s="215"/>
      <c r="C234" s="215"/>
    </row>
    <row r="235" spans="1:3" ht="13.2">
      <c r="A235" s="215"/>
      <c r="B235" s="215"/>
      <c r="C235" s="215"/>
    </row>
    <row r="236" spans="1:3" ht="13.2">
      <c r="A236" s="215"/>
      <c r="B236" s="215"/>
      <c r="C236" s="215"/>
    </row>
    <row r="237" spans="1:3" ht="13.2">
      <c r="A237" s="215"/>
      <c r="B237" s="215"/>
      <c r="C237" s="215"/>
    </row>
    <row r="238" spans="1:3" ht="13.2">
      <c r="A238" s="215"/>
      <c r="B238" s="215"/>
      <c r="C238" s="215"/>
    </row>
    <row r="239" spans="1:3" ht="13.2">
      <c r="A239" s="215"/>
      <c r="B239" s="215"/>
      <c r="C239" s="215"/>
    </row>
    <row r="240" spans="1:3" ht="13.2">
      <c r="A240" s="215"/>
      <c r="B240" s="215"/>
      <c r="C240" s="215"/>
    </row>
    <row r="241" spans="1:3" ht="13.2">
      <c r="A241" s="215"/>
      <c r="B241" s="215"/>
      <c r="C241" s="215"/>
    </row>
    <row r="242" spans="1:3" ht="13.2">
      <c r="A242" s="215"/>
      <c r="B242" s="215"/>
      <c r="C242" s="215"/>
    </row>
    <row r="243" spans="1:3" ht="13.2">
      <c r="A243" s="215"/>
      <c r="B243" s="215"/>
      <c r="C243" s="215"/>
    </row>
    <row r="244" spans="1:3" ht="13.2">
      <c r="A244" s="215"/>
      <c r="B244" s="215"/>
      <c r="C244" s="215"/>
    </row>
    <row r="245" spans="1:3" ht="13.2">
      <c r="A245" s="215"/>
      <c r="B245" s="215"/>
      <c r="C245" s="215"/>
    </row>
    <row r="246" spans="1:3" ht="13.2">
      <c r="A246" s="215"/>
      <c r="B246" s="215"/>
      <c r="C246" s="215"/>
    </row>
    <row r="247" spans="1:3" ht="13.2">
      <c r="A247" s="215"/>
      <c r="B247" s="215"/>
      <c r="C247" s="215"/>
    </row>
    <row r="248" spans="1:3" ht="13.2">
      <c r="A248" s="215"/>
      <c r="B248" s="215"/>
      <c r="C248" s="215"/>
    </row>
    <row r="249" spans="1:3" ht="13.2">
      <c r="A249" s="215"/>
      <c r="B249" s="215"/>
      <c r="C249" s="215"/>
    </row>
    <row r="250" spans="1:3" ht="13.2">
      <c r="A250" s="215"/>
      <c r="B250" s="215"/>
      <c r="C250" s="215"/>
    </row>
    <row r="251" spans="1:3" ht="13.2">
      <c r="A251" s="215"/>
      <c r="B251" s="215"/>
      <c r="C251" s="215"/>
    </row>
    <row r="252" spans="1:3" ht="13.2">
      <c r="A252" s="215"/>
      <c r="B252" s="215"/>
      <c r="C252" s="215"/>
    </row>
    <row r="253" spans="1:3" ht="13.2">
      <c r="A253" s="215"/>
      <c r="B253" s="215"/>
      <c r="C253" s="215"/>
    </row>
    <row r="254" spans="1:3" ht="13.2">
      <c r="A254" s="215"/>
      <c r="B254" s="215"/>
      <c r="C254" s="215"/>
    </row>
    <row r="255" spans="1:3" ht="13.2">
      <c r="A255" s="215"/>
      <c r="B255" s="215"/>
      <c r="C255" s="215"/>
    </row>
    <row r="256" spans="1:3" ht="13.2">
      <c r="A256" s="215"/>
      <c r="B256" s="215"/>
      <c r="C256" s="215"/>
    </row>
    <row r="257" spans="1:3" ht="13.2">
      <c r="A257" s="215"/>
      <c r="B257" s="215"/>
      <c r="C257" s="215"/>
    </row>
    <row r="258" spans="1:3" ht="13.2">
      <c r="A258" s="215"/>
      <c r="B258" s="215"/>
      <c r="C258" s="215"/>
    </row>
    <row r="259" spans="1:3" ht="13.2">
      <c r="A259" s="215"/>
      <c r="B259" s="215"/>
      <c r="C259" s="215"/>
    </row>
    <row r="260" spans="1:3" ht="13.2">
      <c r="A260" s="215"/>
      <c r="B260" s="215"/>
      <c r="C260" s="215"/>
    </row>
    <row r="261" spans="1:3" ht="13.2">
      <c r="A261" s="215"/>
      <c r="B261" s="215"/>
      <c r="C261" s="215"/>
    </row>
    <row r="262" spans="1:3" ht="13.2">
      <c r="A262" s="215"/>
      <c r="B262" s="215"/>
      <c r="C262" s="215"/>
    </row>
    <row r="263" spans="1:3" ht="13.2">
      <c r="A263" s="215"/>
      <c r="B263" s="215"/>
      <c r="C263" s="215"/>
    </row>
    <row r="264" spans="1:3" ht="13.2">
      <c r="A264" s="215"/>
      <c r="B264" s="215"/>
      <c r="C264" s="215"/>
    </row>
    <row r="265" spans="1:3" ht="13.2">
      <c r="A265" s="215"/>
      <c r="B265" s="215"/>
      <c r="C265" s="215"/>
    </row>
    <row r="266" spans="1:3" ht="13.2">
      <c r="A266" s="215"/>
      <c r="B266" s="215"/>
      <c r="C266" s="215"/>
    </row>
    <row r="267" spans="1:3" ht="13.2">
      <c r="A267" s="215"/>
      <c r="B267" s="215"/>
      <c r="C267" s="215"/>
    </row>
    <row r="268" spans="1:3" ht="13.2">
      <c r="A268" s="215"/>
      <c r="B268" s="215"/>
      <c r="C268" s="215"/>
    </row>
    <row r="269" spans="1:3" ht="13.2">
      <c r="A269" s="215"/>
      <c r="B269" s="215"/>
      <c r="C269" s="215"/>
    </row>
    <row r="270" spans="1:3" ht="13.2">
      <c r="A270" s="215"/>
      <c r="B270" s="215"/>
      <c r="C270" s="215"/>
    </row>
    <row r="271" spans="1:3" ht="13.2">
      <c r="A271" s="215"/>
      <c r="B271" s="215"/>
      <c r="C271" s="215"/>
    </row>
    <row r="272" spans="1:3" ht="13.2">
      <c r="A272" s="215"/>
      <c r="B272" s="215"/>
      <c r="C272" s="215"/>
    </row>
    <row r="273" spans="1:3" ht="13.2">
      <c r="A273" s="215"/>
      <c r="B273" s="215"/>
      <c r="C273" s="215"/>
    </row>
    <row r="274" spans="1:3" ht="13.2">
      <c r="A274" s="215"/>
      <c r="B274" s="215"/>
      <c r="C274" s="215"/>
    </row>
    <row r="275" spans="1:3" ht="13.2">
      <c r="A275" s="215"/>
      <c r="B275" s="215"/>
      <c r="C275" s="215"/>
    </row>
    <row r="276" spans="1:3" ht="13.2">
      <c r="A276" s="215"/>
      <c r="B276" s="215"/>
      <c r="C276" s="215"/>
    </row>
    <row r="277" spans="1:3" ht="13.2">
      <c r="A277" s="215"/>
      <c r="B277" s="215"/>
      <c r="C277" s="215"/>
    </row>
    <row r="278" spans="1:3" ht="13.2">
      <c r="A278" s="215"/>
      <c r="B278" s="215"/>
      <c r="C278" s="215"/>
    </row>
    <row r="279" spans="1:3" ht="13.2">
      <c r="A279" s="215"/>
      <c r="B279" s="215"/>
      <c r="C279" s="215"/>
    </row>
    <row r="280" spans="1:3" ht="13.2">
      <c r="A280" s="215"/>
      <c r="B280" s="215"/>
      <c r="C280" s="215"/>
    </row>
    <row r="281" spans="1:3" ht="13.2">
      <c r="A281" s="215"/>
      <c r="B281" s="215"/>
      <c r="C281" s="215"/>
    </row>
    <row r="282" spans="1:3" ht="13.2">
      <c r="A282" s="215"/>
      <c r="B282" s="215"/>
      <c r="C282" s="215"/>
    </row>
    <row r="283" spans="1:3" ht="13.2">
      <c r="A283" s="215"/>
      <c r="B283" s="215"/>
      <c r="C283" s="215"/>
    </row>
    <row r="284" spans="1:3" ht="13.2">
      <c r="A284" s="215"/>
      <c r="B284" s="215"/>
      <c r="C284" s="215"/>
    </row>
    <row r="285" spans="1:3" ht="13.2">
      <c r="A285" s="215"/>
      <c r="B285" s="215"/>
      <c r="C285" s="215"/>
    </row>
    <row r="286" spans="1:3" ht="13.2">
      <c r="A286" s="215"/>
      <c r="B286" s="215"/>
      <c r="C286" s="215"/>
    </row>
    <row r="287" spans="1:3" ht="13.2">
      <c r="A287" s="215"/>
      <c r="B287" s="215"/>
      <c r="C287" s="215"/>
    </row>
    <row r="288" spans="1:3" ht="13.2">
      <c r="A288" s="215"/>
      <c r="B288" s="215"/>
      <c r="C288" s="215"/>
    </row>
    <row r="289" spans="1:3" ht="13.2">
      <c r="A289" s="215"/>
      <c r="B289" s="215"/>
      <c r="C289" s="215"/>
    </row>
    <row r="290" spans="1:3" ht="13.2">
      <c r="A290" s="215"/>
      <c r="B290" s="215"/>
      <c r="C290" s="215"/>
    </row>
    <row r="291" spans="1:3" ht="13.2">
      <c r="A291" s="215"/>
      <c r="B291" s="215"/>
      <c r="C291" s="215"/>
    </row>
    <row r="292" spans="1:3" ht="13.2">
      <c r="A292" s="215"/>
      <c r="B292" s="215"/>
      <c r="C292" s="215"/>
    </row>
    <row r="293" spans="1:3" ht="13.2">
      <c r="A293" s="215"/>
      <c r="B293" s="215"/>
      <c r="C293" s="215"/>
    </row>
    <row r="294" spans="1:3" ht="13.2">
      <c r="A294" s="215"/>
      <c r="B294" s="215"/>
      <c r="C294" s="215"/>
    </row>
    <row r="295" spans="1:3" ht="13.2">
      <c r="A295" s="215"/>
      <c r="B295" s="215"/>
      <c r="C295" s="215"/>
    </row>
    <row r="296" spans="1:3" ht="13.2">
      <c r="A296" s="215"/>
      <c r="B296" s="215"/>
      <c r="C296" s="215"/>
    </row>
    <row r="297" spans="1:3" ht="13.2">
      <c r="A297" s="215"/>
      <c r="B297" s="215"/>
      <c r="C297" s="215"/>
    </row>
    <row r="298" spans="1:3" ht="13.2">
      <c r="A298" s="215"/>
      <c r="B298" s="215"/>
      <c r="C298" s="215"/>
    </row>
    <row r="299" spans="1:3" ht="13.2">
      <c r="A299" s="215"/>
      <c r="B299" s="215"/>
      <c r="C299" s="215"/>
    </row>
    <row r="300" spans="1:3" ht="13.2">
      <c r="A300" s="215"/>
      <c r="B300" s="215"/>
      <c r="C300" s="215"/>
    </row>
    <row r="301" spans="1:3" ht="13.2">
      <c r="A301" s="215"/>
      <c r="B301" s="215"/>
      <c r="C301" s="215"/>
    </row>
    <row r="302" spans="1:3" ht="13.2">
      <c r="A302" s="215"/>
      <c r="B302" s="215"/>
      <c r="C302" s="215"/>
    </row>
    <row r="303" spans="1:3" ht="13.2">
      <c r="A303" s="215"/>
      <c r="B303" s="215"/>
      <c r="C303" s="215"/>
    </row>
    <row r="304" spans="1:3" ht="13.2">
      <c r="A304" s="215"/>
      <c r="B304" s="215"/>
      <c r="C304" s="215"/>
    </row>
    <row r="305" spans="1:3" ht="13.2">
      <c r="A305" s="215"/>
      <c r="B305" s="215"/>
      <c r="C305" s="215"/>
    </row>
    <row r="306" spans="1:3" ht="13.2">
      <c r="A306" s="215"/>
      <c r="B306" s="215"/>
      <c r="C306" s="215"/>
    </row>
    <row r="307" spans="1:3" ht="13.2">
      <c r="A307" s="215"/>
      <c r="B307" s="215"/>
      <c r="C307" s="215"/>
    </row>
    <row r="308" spans="1:3" ht="13.2">
      <c r="A308" s="215"/>
      <c r="B308" s="215"/>
      <c r="C308" s="215"/>
    </row>
    <row r="309" spans="1:3" ht="13.2">
      <c r="A309" s="215"/>
      <c r="B309" s="215"/>
      <c r="C309" s="215"/>
    </row>
    <row r="310" spans="1:3" ht="13.2">
      <c r="A310" s="215"/>
      <c r="B310" s="215"/>
      <c r="C310" s="215"/>
    </row>
    <row r="311" spans="1:3" ht="13.2">
      <c r="A311" s="215"/>
      <c r="B311" s="215"/>
      <c r="C311" s="215"/>
    </row>
    <row r="312" spans="1:3" ht="13.2">
      <c r="A312" s="215"/>
      <c r="B312" s="215"/>
      <c r="C312" s="215"/>
    </row>
    <row r="313" spans="1:3" ht="13.2">
      <c r="A313" s="215"/>
      <c r="B313" s="215"/>
      <c r="C313" s="215"/>
    </row>
    <row r="314" spans="1:3" ht="13.2">
      <c r="A314" s="215"/>
      <c r="B314" s="215"/>
      <c r="C314" s="215"/>
    </row>
    <row r="315" spans="1:3" ht="13.2">
      <c r="A315" s="215"/>
      <c r="B315" s="215"/>
      <c r="C315" s="215"/>
    </row>
    <row r="316" spans="1:3" ht="13.2">
      <c r="A316" s="215"/>
      <c r="B316" s="215"/>
      <c r="C316" s="215"/>
    </row>
    <row r="317" spans="1:3" ht="13.2">
      <c r="A317" s="215"/>
      <c r="B317" s="215"/>
      <c r="C317" s="215"/>
    </row>
    <row r="318" spans="1:3" ht="13.2">
      <c r="A318" s="215"/>
      <c r="B318" s="215"/>
      <c r="C318" s="215"/>
    </row>
    <row r="319" spans="1:3" ht="13.2">
      <c r="A319" s="215"/>
      <c r="B319" s="215"/>
      <c r="C319" s="215"/>
    </row>
    <row r="320" spans="1:3" ht="13.2">
      <c r="A320" s="215"/>
      <c r="B320" s="215"/>
      <c r="C320" s="215"/>
    </row>
    <row r="321" spans="1:3" ht="13.2">
      <c r="A321" s="215"/>
      <c r="B321" s="215"/>
      <c r="C321" s="215"/>
    </row>
    <row r="322" spans="1:3" ht="13.2">
      <c r="A322" s="215"/>
      <c r="B322" s="215"/>
      <c r="C322" s="215"/>
    </row>
    <row r="323" spans="1:3" ht="13.2">
      <c r="A323" s="215"/>
      <c r="B323" s="215"/>
      <c r="C323" s="215"/>
    </row>
    <row r="324" spans="1:3" ht="13.2">
      <c r="A324" s="215"/>
      <c r="B324" s="215"/>
      <c r="C324" s="215"/>
    </row>
    <row r="325" spans="1:3" ht="13.2">
      <c r="A325" s="215"/>
      <c r="B325" s="215"/>
      <c r="C325" s="215"/>
    </row>
    <row r="326" spans="1:3" ht="13.2">
      <c r="A326" s="215"/>
      <c r="B326" s="215"/>
      <c r="C326" s="215"/>
    </row>
    <row r="327" spans="1:3" ht="13.2">
      <c r="A327" s="215"/>
      <c r="B327" s="215"/>
      <c r="C327" s="215"/>
    </row>
    <row r="328" spans="1:3" ht="13.2">
      <c r="A328" s="215"/>
      <c r="B328" s="215"/>
      <c r="C328" s="215"/>
    </row>
    <row r="329" spans="1:3" ht="13.2">
      <c r="A329" s="215"/>
      <c r="B329" s="215"/>
      <c r="C329" s="215"/>
    </row>
    <row r="330" spans="1:3" ht="13.2">
      <c r="A330" s="215"/>
      <c r="B330" s="215"/>
      <c r="C330" s="215"/>
    </row>
    <row r="331" spans="1:3" ht="13.2">
      <c r="A331" s="215"/>
      <c r="B331" s="215"/>
      <c r="C331" s="215"/>
    </row>
    <row r="332" spans="1:3" ht="13.2">
      <c r="A332" s="215"/>
      <c r="B332" s="215"/>
      <c r="C332" s="215"/>
    </row>
    <row r="333" spans="1:3" ht="13.2">
      <c r="A333" s="215"/>
      <c r="B333" s="215"/>
      <c r="C333" s="215"/>
    </row>
    <row r="334" spans="1:3" ht="13.2">
      <c r="A334" s="215"/>
      <c r="B334" s="215"/>
      <c r="C334" s="215"/>
    </row>
    <row r="335" spans="1:3" ht="13.2">
      <c r="A335" s="215"/>
      <c r="B335" s="215"/>
      <c r="C335" s="215"/>
    </row>
    <row r="336" spans="1:3" ht="13.2">
      <c r="A336" s="215"/>
      <c r="B336" s="215"/>
      <c r="C336" s="215"/>
    </row>
    <row r="337" spans="1:3" ht="13.2">
      <c r="A337" s="215"/>
      <c r="B337" s="215"/>
      <c r="C337" s="215"/>
    </row>
    <row r="338" spans="1:3" ht="13.2">
      <c r="A338" s="215"/>
      <c r="B338" s="215"/>
      <c r="C338" s="215"/>
    </row>
    <row r="339" spans="1:3" ht="13.2">
      <c r="A339" s="215"/>
      <c r="B339" s="215"/>
      <c r="C339" s="215"/>
    </row>
    <row r="340" spans="1:3" ht="13.2">
      <c r="A340" s="215"/>
      <c r="B340" s="215"/>
      <c r="C340" s="215"/>
    </row>
    <row r="341" spans="1:3" ht="13.2">
      <c r="A341" s="215"/>
      <c r="B341" s="215"/>
      <c r="C341" s="215"/>
    </row>
    <row r="342" spans="1:3" ht="13.2">
      <c r="A342" s="215"/>
      <c r="B342" s="215"/>
      <c r="C342" s="215"/>
    </row>
    <row r="343" spans="1:3" ht="13.2">
      <c r="A343" s="215"/>
      <c r="B343" s="215"/>
      <c r="C343" s="215"/>
    </row>
    <row r="344" spans="1:3" ht="13.2">
      <c r="A344" s="215"/>
      <c r="B344" s="215"/>
      <c r="C344" s="215"/>
    </row>
    <row r="345" spans="1:3" ht="13.2">
      <c r="A345" s="215"/>
      <c r="B345" s="215"/>
      <c r="C345" s="215"/>
    </row>
    <row r="346" spans="1:3" ht="13.2">
      <c r="A346" s="215"/>
      <c r="B346" s="215"/>
      <c r="C346" s="215"/>
    </row>
    <row r="347" spans="1:3" ht="13.2">
      <c r="A347" s="215"/>
      <c r="B347" s="215"/>
      <c r="C347" s="215"/>
    </row>
    <row r="348" spans="1:3" ht="13.2">
      <c r="A348" s="215"/>
      <c r="B348" s="215"/>
      <c r="C348" s="215"/>
    </row>
    <row r="349" spans="1:3" ht="13.2">
      <c r="A349" s="215"/>
      <c r="B349" s="215"/>
      <c r="C349" s="215"/>
    </row>
    <row r="350" spans="1:3" ht="13.2">
      <c r="A350" s="215"/>
      <c r="B350" s="215"/>
      <c r="C350" s="215"/>
    </row>
    <row r="351" spans="1:3" ht="13.2">
      <c r="A351" s="215"/>
      <c r="B351" s="215"/>
      <c r="C351" s="215"/>
    </row>
    <row r="352" spans="1:3" ht="13.2">
      <c r="A352" s="215"/>
      <c r="B352" s="215"/>
      <c r="C352" s="215"/>
    </row>
    <row r="353" spans="1:3" ht="13.2">
      <c r="A353" s="215"/>
      <c r="B353" s="215"/>
      <c r="C353" s="215"/>
    </row>
    <row r="354" spans="1:3" ht="13.2">
      <c r="A354" s="215"/>
      <c r="B354" s="215"/>
      <c r="C354" s="215"/>
    </row>
    <row r="355" spans="1:3" ht="13.2">
      <c r="A355" s="215"/>
      <c r="B355" s="215"/>
      <c r="C355" s="215"/>
    </row>
    <row r="356" spans="1:3" ht="13.2">
      <c r="A356" s="215"/>
      <c r="B356" s="215"/>
      <c r="C356" s="215"/>
    </row>
    <row r="357" spans="1:3" ht="13.2">
      <c r="A357" s="215"/>
      <c r="B357" s="215"/>
      <c r="C357" s="215"/>
    </row>
    <row r="358" spans="1:3" ht="13.2">
      <c r="A358" s="215"/>
      <c r="B358" s="215"/>
      <c r="C358" s="215"/>
    </row>
    <row r="359" spans="1:3" ht="13.2">
      <c r="A359" s="215"/>
      <c r="B359" s="215"/>
      <c r="C359" s="215"/>
    </row>
    <row r="360" spans="1:3" ht="13.2">
      <c r="A360" s="215"/>
      <c r="B360" s="215"/>
      <c r="C360" s="215"/>
    </row>
    <row r="361" spans="1:3" ht="13.2">
      <c r="A361" s="215"/>
      <c r="B361" s="215"/>
      <c r="C361" s="215"/>
    </row>
    <row r="362" spans="1:3" ht="13.2">
      <c r="A362" s="215"/>
      <c r="B362" s="215"/>
      <c r="C362" s="215"/>
    </row>
    <row r="363" spans="1:3" ht="13.2">
      <c r="A363" s="215"/>
      <c r="B363" s="215"/>
      <c r="C363" s="215"/>
    </row>
    <row r="364" spans="1:3" ht="13.2">
      <c r="A364" s="215"/>
      <c r="B364" s="215"/>
      <c r="C364" s="215"/>
    </row>
    <row r="365" spans="1:3" ht="13.2">
      <c r="A365" s="215"/>
      <c r="B365" s="215"/>
      <c r="C365" s="215"/>
    </row>
    <row r="366" spans="1:3" ht="13.2">
      <c r="A366" s="215"/>
      <c r="B366" s="215"/>
      <c r="C366" s="215"/>
    </row>
    <row r="367" spans="1:3" ht="13.2">
      <c r="A367" s="215"/>
      <c r="B367" s="215"/>
      <c r="C367" s="215"/>
    </row>
    <row r="368" spans="1:3" ht="13.2">
      <c r="A368" s="215"/>
      <c r="B368" s="215"/>
      <c r="C368" s="215"/>
    </row>
    <row r="369" spans="1:3" ht="13.2">
      <c r="A369" s="215"/>
      <c r="B369" s="215"/>
      <c r="C369" s="215"/>
    </row>
    <row r="370" spans="1:3" ht="13.2">
      <c r="A370" s="215"/>
      <c r="B370" s="215"/>
      <c r="C370" s="215"/>
    </row>
    <row r="371" spans="1:3" ht="13.2">
      <c r="A371" s="215"/>
      <c r="B371" s="215"/>
      <c r="C371" s="215"/>
    </row>
    <row r="372" spans="1:3" ht="13.2">
      <c r="A372" s="215"/>
      <c r="B372" s="215"/>
      <c r="C372" s="215"/>
    </row>
    <row r="373" spans="1:3" ht="13.2">
      <c r="A373" s="215"/>
      <c r="B373" s="215"/>
      <c r="C373" s="215"/>
    </row>
    <row r="374" spans="1:3" ht="13.2">
      <c r="A374" s="215"/>
      <c r="B374" s="215"/>
      <c r="C374" s="215"/>
    </row>
    <row r="375" spans="1:3" ht="13.2">
      <c r="A375" s="215"/>
      <c r="B375" s="215"/>
      <c r="C375" s="215"/>
    </row>
    <row r="376" spans="1:3" ht="13.2">
      <c r="A376" s="215"/>
      <c r="B376" s="215"/>
      <c r="C376" s="215"/>
    </row>
    <row r="377" spans="1:3" ht="13.2">
      <c r="A377" s="215"/>
      <c r="B377" s="215"/>
      <c r="C377" s="215"/>
    </row>
    <row r="378" spans="1:3" ht="13.2">
      <c r="A378" s="215"/>
      <c r="B378" s="215"/>
      <c r="C378" s="215"/>
    </row>
    <row r="379" spans="1:3" ht="13.2">
      <c r="A379" s="215"/>
      <c r="B379" s="215"/>
      <c r="C379" s="215"/>
    </row>
    <row r="380" spans="1:3" ht="13.2">
      <c r="A380" s="215"/>
      <c r="B380" s="215"/>
      <c r="C380" s="215"/>
    </row>
    <row r="381" spans="1:3" ht="13.2">
      <c r="A381" s="215"/>
      <c r="B381" s="215"/>
      <c r="C381" s="215"/>
    </row>
    <row r="382" spans="1:3" ht="13.2">
      <c r="A382" s="215"/>
      <c r="B382" s="215"/>
      <c r="C382" s="215"/>
    </row>
    <row r="383" spans="1:3" ht="13.2">
      <c r="A383" s="215"/>
      <c r="B383" s="215"/>
      <c r="C383" s="215"/>
    </row>
    <row r="384" spans="1:3" ht="13.2">
      <c r="A384" s="215"/>
      <c r="B384" s="215"/>
      <c r="C384" s="215"/>
    </row>
    <row r="385" spans="1:3" ht="13.2">
      <c r="A385" s="215"/>
      <c r="B385" s="215"/>
      <c r="C385" s="215"/>
    </row>
    <row r="386" spans="1:3" ht="13.2">
      <c r="A386" s="215"/>
      <c r="B386" s="215"/>
      <c r="C386" s="215"/>
    </row>
    <row r="387" spans="1:3" ht="13.2">
      <c r="A387" s="215"/>
      <c r="B387" s="215"/>
      <c r="C387" s="215"/>
    </row>
    <row r="388" spans="1:3" ht="13.2">
      <c r="A388" s="215"/>
      <c r="B388" s="215"/>
      <c r="C388" s="215"/>
    </row>
    <row r="389" spans="1:3" ht="13.2">
      <c r="A389" s="215"/>
      <c r="B389" s="215"/>
      <c r="C389" s="215"/>
    </row>
    <row r="390" spans="1:3" ht="13.2">
      <c r="A390" s="215"/>
      <c r="B390" s="215"/>
      <c r="C390" s="215"/>
    </row>
    <row r="391" spans="1:3" ht="13.2">
      <c r="A391" s="215"/>
      <c r="B391" s="215"/>
      <c r="C391" s="215"/>
    </row>
    <row r="392" spans="1:3" ht="13.2">
      <c r="A392" s="215"/>
      <c r="B392" s="215"/>
      <c r="C392" s="215"/>
    </row>
    <row r="393" spans="1:3" ht="13.2">
      <c r="A393" s="215"/>
      <c r="B393" s="215"/>
      <c r="C393" s="215"/>
    </row>
    <row r="394" spans="1:3" ht="13.2">
      <c r="A394" s="215"/>
      <c r="B394" s="215"/>
      <c r="C394" s="215"/>
    </row>
    <row r="395" spans="1:3" ht="13.2">
      <c r="A395" s="215"/>
      <c r="B395" s="215"/>
      <c r="C395" s="215"/>
    </row>
    <row r="396" spans="1:3" ht="13.2">
      <c r="A396" s="215"/>
      <c r="B396" s="215"/>
      <c r="C396" s="215"/>
    </row>
    <row r="397" spans="1:3" ht="13.2">
      <c r="A397" s="215"/>
      <c r="B397" s="215"/>
      <c r="C397" s="215"/>
    </row>
    <row r="398" spans="1:3" ht="13.2">
      <c r="A398" s="215"/>
      <c r="B398" s="215"/>
      <c r="C398" s="215"/>
    </row>
    <row r="399" spans="1:3" ht="13.2">
      <c r="A399" s="215"/>
      <c r="B399" s="215"/>
      <c r="C399" s="215"/>
    </row>
    <row r="400" spans="1:3" ht="13.2">
      <c r="A400" s="215"/>
      <c r="B400" s="215"/>
      <c r="C400" s="215"/>
    </row>
    <row r="401" spans="1:3" ht="13.2">
      <c r="A401" s="215"/>
      <c r="B401" s="215"/>
      <c r="C401" s="215"/>
    </row>
    <row r="402" spans="1:3" ht="13.2">
      <c r="A402" s="215"/>
      <c r="B402" s="215"/>
      <c r="C402" s="215"/>
    </row>
    <row r="403" spans="1:3" ht="13.2">
      <c r="A403" s="215"/>
      <c r="B403" s="215"/>
      <c r="C403" s="215"/>
    </row>
    <row r="404" spans="1:3" ht="13.2">
      <c r="A404" s="215"/>
      <c r="B404" s="215"/>
      <c r="C404" s="215"/>
    </row>
    <row r="405" spans="1:3" ht="13.2">
      <c r="A405" s="215"/>
      <c r="B405" s="215"/>
      <c r="C405" s="215"/>
    </row>
    <row r="406" spans="1:3" ht="13.2">
      <c r="A406" s="215"/>
      <c r="B406" s="215"/>
      <c r="C406" s="215"/>
    </row>
    <row r="407" spans="1:3" ht="13.2">
      <c r="A407" s="215"/>
      <c r="B407" s="215"/>
      <c r="C407" s="215"/>
    </row>
    <row r="408" spans="1:3" ht="13.2">
      <c r="A408" s="215"/>
      <c r="B408" s="215"/>
      <c r="C408" s="215"/>
    </row>
    <row r="409" spans="1:3" ht="13.2">
      <c r="A409" s="215"/>
      <c r="B409" s="215"/>
      <c r="C409" s="215"/>
    </row>
    <row r="410" spans="1:3" ht="13.2">
      <c r="A410" s="215"/>
      <c r="B410" s="215"/>
      <c r="C410" s="215"/>
    </row>
    <row r="411" spans="1:3" ht="13.2">
      <c r="A411" s="215"/>
      <c r="B411" s="215"/>
      <c r="C411" s="215"/>
    </row>
    <row r="412" spans="1:3" ht="13.2">
      <c r="A412" s="215"/>
      <c r="B412" s="215"/>
      <c r="C412" s="215"/>
    </row>
    <row r="413" spans="1:3" ht="13.2">
      <c r="A413" s="215"/>
      <c r="B413" s="215"/>
      <c r="C413" s="215"/>
    </row>
    <row r="414" spans="1:3" ht="13.2">
      <c r="A414" s="215"/>
      <c r="B414" s="215"/>
      <c r="C414" s="215"/>
    </row>
    <row r="415" spans="1:3" ht="13.2">
      <c r="A415" s="215"/>
      <c r="B415" s="215"/>
      <c r="C415" s="215"/>
    </row>
    <row r="416" spans="1:3" ht="13.2">
      <c r="A416" s="215"/>
      <c r="B416" s="215"/>
      <c r="C416" s="215"/>
    </row>
    <row r="417" spans="1:3" ht="13.2">
      <c r="A417" s="215"/>
      <c r="B417" s="215"/>
      <c r="C417" s="215"/>
    </row>
    <row r="418" spans="1:3" ht="13.2">
      <c r="A418" s="215"/>
      <c r="B418" s="215"/>
      <c r="C418" s="215"/>
    </row>
    <row r="419" spans="1:3" ht="13.2">
      <c r="A419" s="215"/>
      <c r="B419" s="215"/>
      <c r="C419" s="215"/>
    </row>
    <row r="420" spans="1:3" ht="13.2">
      <c r="A420" s="215"/>
      <c r="B420" s="215"/>
      <c r="C420" s="215"/>
    </row>
    <row r="421" spans="1:3" ht="13.2">
      <c r="A421" s="215"/>
      <c r="B421" s="215"/>
      <c r="C421" s="215"/>
    </row>
    <row r="422" spans="1:3" ht="13.2">
      <c r="A422" s="215"/>
      <c r="B422" s="215"/>
      <c r="C422" s="215"/>
    </row>
    <row r="423" spans="1:3" ht="13.2">
      <c r="A423" s="215"/>
      <c r="B423" s="215"/>
      <c r="C423" s="215"/>
    </row>
    <row r="424" spans="1:3" ht="13.2">
      <c r="A424" s="215"/>
      <c r="B424" s="215"/>
      <c r="C424" s="215"/>
    </row>
    <row r="425" spans="1:3" ht="13.2">
      <c r="A425" s="215"/>
      <c r="B425" s="215"/>
      <c r="C425" s="215"/>
    </row>
    <row r="426" spans="1:3" ht="13.2">
      <c r="A426" s="215"/>
      <c r="B426" s="215"/>
      <c r="C426" s="215"/>
    </row>
    <row r="427" spans="1:3" ht="13.2">
      <c r="A427" s="215"/>
      <c r="B427" s="215"/>
      <c r="C427" s="215"/>
    </row>
    <row r="428" spans="1:3" ht="13.2">
      <c r="A428" s="215"/>
      <c r="B428" s="215"/>
      <c r="C428" s="215"/>
    </row>
    <row r="429" spans="1:3" ht="13.2">
      <c r="A429" s="215"/>
      <c r="B429" s="215"/>
      <c r="C429" s="215"/>
    </row>
    <row r="430" spans="1:3" ht="13.2">
      <c r="A430" s="215"/>
      <c r="B430" s="215"/>
      <c r="C430" s="215"/>
    </row>
    <row r="431" spans="1:3" ht="13.2">
      <c r="A431" s="215"/>
      <c r="B431" s="215"/>
      <c r="C431" s="215"/>
    </row>
    <row r="432" spans="1:3" ht="13.2">
      <c r="A432" s="215"/>
      <c r="B432" s="215"/>
      <c r="C432" s="215"/>
    </row>
    <row r="433" spans="1:3" ht="13.2">
      <c r="A433" s="215"/>
      <c r="B433" s="215"/>
      <c r="C433" s="215"/>
    </row>
    <row r="434" spans="1:3" ht="13.2">
      <c r="A434" s="215"/>
      <c r="B434" s="215"/>
      <c r="C434" s="215"/>
    </row>
    <row r="435" spans="1:3" ht="13.2">
      <c r="A435" s="215"/>
      <c r="B435" s="215"/>
      <c r="C435" s="215"/>
    </row>
    <row r="436" spans="1:3" ht="13.2">
      <c r="A436" s="215"/>
      <c r="B436" s="215"/>
      <c r="C436" s="215"/>
    </row>
    <row r="437" spans="1:3" ht="13.2">
      <c r="A437" s="215"/>
      <c r="B437" s="215"/>
      <c r="C437" s="215"/>
    </row>
    <row r="438" spans="1:3" ht="13.2">
      <c r="A438" s="215"/>
      <c r="B438" s="215"/>
      <c r="C438" s="215"/>
    </row>
    <row r="439" spans="1:3" ht="13.2">
      <c r="A439" s="215"/>
      <c r="B439" s="215"/>
      <c r="C439" s="215"/>
    </row>
    <row r="440" spans="1:3" ht="13.2">
      <c r="A440" s="215"/>
      <c r="B440" s="215"/>
      <c r="C440" s="215"/>
    </row>
    <row r="441" spans="1:3" ht="13.2">
      <c r="A441" s="215"/>
      <c r="B441" s="215"/>
      <c r="C441" s="215"/>
    </row>
    <row r="442" spans="1:3" ht="13.2">
      <c r="A442" s="215"/>
      <c r="B442" s="215"/>
      <c r="C442" s="215"/>
    </row>
    <row r="443" spans="1:3" ht="13.2">
      <c r="A443" s="215"/>
      <c r="B443" s="215"/>
      <c r="C443" s="215"/>
    </row>
    <row r="444" spans="1:3" ht="13.2">
      <c r="A444" s="215"/>
      <c r="B444" s="215"/>
      <c r="C444" s="215"/>
    </row>
    <row r="445" spans="1:3" ht="13.2">
      <c r="A445" s="215"/>
      <c r="B445" s="215"/>
      <c r="C445" s="215"/>
    </row>
    <row r="446" spans="1:3" ht="13.2">
      <c r="A446" s="215"/>
      <c r="B446" s="215"/>
      <c r="C446" s="215"/>
    </row>
    <row r="447" spans="1:3" ht="13.2">
      <c r="A447" s="215"/>
      <c r="B447" s="215"/>
      <c r="C447" s="215"/>
    </row>
    <row r="448" spans="1:3" ht="13.2">
      <c r="A448" s="215"/>
      <c r="B448" s="215"/>
      <c r="C448" s="215"/>
    </row>
    <row r="449" spans="1:3" ht="13.2">
      <c r="A449" s="215"/>
      <c r="B449" s="215"/>
      <c r="C449" s="215"/>
    </row>
    <row r="450" spans="1:3" ht="13.2">
      <c r="A450" s="215"/>
      <c r="B450" s="215"/>
      <c r="C450" s="215"/>
    </row>
    <row r="451" spans="1:3" ht="13.2">
      <c r="A451" s="215"/>
      <c r="B451" s="215"/>
      <c r="C451" s="215"/>
    </row>
    <row r="452" spans="1:3" ht="13.2">
      <c r="A452" s="215"/>
      <c r="B452" s="215"/>
      <c r="C452" s="215"/>
    </row>
    <row r="453" spans="1:3" ht="13.2">
      <c r="A453" s="215"/>
      <c r="B453" s="215"/>
      <c r="C453" s="215"/>
    </row>
    <row r="454" spans="1:3" ht="13.2">
      <c r="A454" s="215"/>
      <c r="B454" s="215"/>
      <c r="C454" s="215"/>
    </row>
    <row r="455" spans="1:3" ht="13.2">
      <c r="A455" s="215"/>
      <c r="B455" s="215"/>
      <c r="C455" s="215"/>
    </row>
    <row r="456" spans="1:3" ht="13.2">
      <c r="A456" s="215"/>
      <c r="B456" s="215"/>
      <c r="C456" s="215"/>
    </row>
    <row r="457" spans="1:3" ht="13.2">
      <c r="A457" s="215"/>
      <c r="B457" s="215"/>
      <c r="C457" s="215"/>
    </row>
    <row r="458" spans="1:3" ht="13.2">
      <c r="A458" s="215"/>
      <c r="B458" s="215"/>
      <c r="C458" s="215"/>
    </row>
    <row r="459" spans="1:3" ht="13.2">
      <c r="A459" s="215"/>
      <c r="B459" s="215"/>
      <c r="C459" s="215"/>
    </row>
    <row r="460" spans="1:3" ht="13.2">
      <c r="A460" s="215"/>
      <c r="B460" s="215"/>
      <c r="C460" s="215"/>
    </row>
    <row r="461" spans="1:3" ht="13.2">
      <c r="A461" s="215"/>
      <c r="B461" s="215"/>
      <c r="C461" s="215"/>
    </row>
    <row r="462" spans="1:3" ht="13.2">
      <c r="A462" s="215"/>
      <c r="B462" s="215"/>
      <c r="C462" s="215"/>
    </row>
    <row r="463" spans="1:3" ht="13.2">
      <c r="A463" s="215"/>
      <c r="B463" s="215"/>
      <c r="C463" s="215"/>
    </row>
    <row r="464" spans="1:3" ht="13.2">
      <c r="A464" s="215"/>
      <c r="B464" s="215"/>
      <c r="C464" s="215"/>
    </row>
    <row r="465" spans="1:3" ht="13.2">
      <c r="A465" s="215"/>
      <c r="B465" s="215"/>
      <c r="C465" s="215"/>
    </row>
    <row r="466" spans="1:3" ht="13.2">
      <c r="A466" s="215"/>
      <c r="B466" s="215"/>
      <c r="C466" s="215"/>
    </row>
    <row r="467" spans="1:3" ht="13.2">
      <c r="A467" s="215"/>
      <c r="B467" s="215"/>
      <c r="C467" s="215"/>
    </row>
    <row r="468" spans="1:3" ht="13.2">
      <c r="A468" s="215"/>
      <c r="B468" s="215"/>
      <c r="C468" s="215"/>
    </row>
    <row r="469" spans="1:3" ht="13.2">
      <c r="A469" s="215"/>
      <c r="B469" s="215"/>
      <c r="C469" s="215"/>
    </row>
    <row r="470" spans="1:3" ht="13.2">
      <c r="A470" s="215"/>
      <c r="B470" s="215"/>
      <c r="C470" s="215"/>
    </row>
    <row r="471" spans="1:3" ht="13.2">
      <c r="A471" s="215"/>
      <c r="B471" s="215"/>
      <c r="C471" s="215"/>
    </row>
    <row r="472" spans="1:3" ht="13.2">
      <c r="A472" s="215"/>
      <c r="B472" s="215"/>
      <c r="C472" s="215"/>
    </row>
    <row r="473" spans="1:3" ht="13.2">
      <c r="A473" s="215"/>
      <c r="B473" s="215"/>
      <c r="C473" s="215"/>
    </row>
    <row r="474" spans="1:3" ht="13.2">
      <c r="A474" s="215"/>
      <c r="B474" s="215"/>
      <c r="C474" s="215"/>
    </row>
    <row r="475" spans="1:3" ht="13.2">
      <c r="A475" s="215"/>
      <c r="B475" s="215"/>
      <c r="C475" s="215"/>
    </row>
    <row r="476" spans="1:3" ht="13.2">
      <c r="A476" s="215"/>
      <c r="B476" s="215"/>
      <c r="C476" s="215"/>
    </row>
    <row r="477" spans="1:3" ht="13.2">
      <c r="A477" s="215"/>
      <c r="B477" s="215"/>
      <c r="C477" s="215"/>
    </row>
    <row r="478" spans="1:3" ht="13.2">
      <c r="A478" s="215"/>
      <c r="B478" s="215"/>
      <c r="C478" s="215"/>
    </row>
    <row r="479" spans="1:3" ht="13.2">
      <c r="A479" s="215"/>
      <c r="B479" s="215"/>
      <c r="C479" s="215"/>
    </row>
    <row r="480" spans="1:3" ht="13.2">
      <c r="A480" s="215"/>
      <c r="B480" s="215"/>
      <c r="C480" s="215"/>
    </row>
    <row r="481" spans="1:3" ht="13.2">
      <c r="A481" s="215"/>
      <c r="B481" s="215"/>
      <c r="C481" s="215"/>
    </row>
    <row r="482" spans="1:3" ht="13.2">
      <c r="A482" s="215"/>
      <c r="B482" s="215"/>
      <c r="C482" s="215"/>
    </row>
    <row r="483" spans="1:3" ht="13.2">
      <c r="A483" s="215"/>
      <c r="B483" s="215"/>
      <c r="C483" s="215"/>
    </row>
    <row r="484" spans="1:3" ht="13.2">
      <c r="A484" s="215"/>
      <c r="B484" s="215"/>
      <c r="C484" s="215"/>
    </row>
    <row r="485" spans="1:3" ht="13.2">
      <c r="A485" s="215"/>
      <c r="B485" s="215"/>
      <c r="C485" s="215"/>
    </row>
    <row r="486" spans="1:3" ht="13.2">
      <c r="A486" s="215"/>
      <c r="B486" s="215"/>
      <c r="C486" s="215"/>
    </row>
    <row r="487" spans="1:3" ht="13.2">
      <c r="A487" s="215"/>
      <c r="B487" s="215"/>
      <c r="C487" s="215"/>
    </row>
    <row r="488" spans="1:3" ht="13.2">
      <c r="A488" s="215"/>
      <c r="B488" s="215"/>
      <c r="C488" s="215"/>
    </row>
    <row r="489" spans="1:3" ht="13.2">
      <c r="A489" s="215"/>
      <c r="B489" s="215"/>
      <c r="C489" s="215"/>
    </row>
    <row r="490" spans="1:3" ht="13.2">
      <c r="A490" s="215"/>
      <c r="B490" s="215"/>
      <c r="C490" s="215"/>
    </row>
    <row r="491" spans="1:3" ht="13.2">
      <c r="A491" s="215"/>
      <c r="B491" s="215"/>
      <c r="C491" s="215"/>
    </row>
    <row r="492" spans="1:3" ht="13.2">
      <c r="A492" s="215"/>
      <c r="B492" s="215"/>
      <c r="C492" s="215"/>
    </row>
    <row r="493" spans="1:3" ht="13.2">
      <c r="A493" s="215"/>
      <c r="B493" s="215"/>
      <c r="C493" s="215"/>
    </row>
    <row r="494" spans="1:3" ht="13.2">
      <c r="A494" s="215"/>
      <c r="B494" s="215"/>
      <c r="C494" s="215"/>
    </row>
    <row r="495" spans="1:3" ht="13.2">
      <c r="A495" s="215"/>
      <c r="B495" s="215"/>
      <c r="C495" s="215"/>
    </row>
    <row r="496" spans="1:3" ht="13.2">
      <c r="A496" s="215"/>
      <c r="B496" s="215"/>
      <c r="C496" s="215"/>
    </row>
    <row r="497" spans="1:3" ht="13.2">
      <c r="A497" s="215"/>
      <c r="B497" s="215"/>
      <c r="C497" s="215"/>
    </row>
    <row r="498" spans="1:3" ht="13.2">
      <c r="A498" s="215"/>
      <c r="B498" s="215"/>
      <c r="C498" s="215"/>
    </row>
    <row r="499" spans="1:3" ht="13.2">
      <c r="A499" s="215"/>
      <c r="B499" s="215"/>
      <c r="C499" s="215"/>
    </row>
    <row r="500" spans="1:3" ht="13.2">
      <c r="A500" s="215"/>
      <c r="B500" s="215"/>
      <c r="C500" s="215"/>
    </row>
    <row r="501" spans="1:3" ht="13.2">
      <c r="A501" s="215"/>
      <c r="B501" s="215"/>
      <c r="C501" s="215"/>
    </row>
    <row r="502" spans="1:3" ht="13.2">
      <c r="A502" s="215"/>
      <c r="B502" s="215"/>
      <c r="C502" s="215"/>
    </row>
    <row r="503" spans="1:3" ht="13.2">
      <c r="A503" s="215"/>
      <c r="B503" s="215"/>
      <c r="C503" s="215"/>
    </row>
    <row r="504" spans="1:3" ht="13.2">
      <c r="A504" s="215"/>
      <c r="B504" s="215"/>
      <c r="C504" s="215"/>
    </row>
    <row r="505" spans="1:3" ht="13.2">
      <c r="A505" s="215"/>
      <c r="B505" s="215"/>
      <c r="C505" s="215"/>
    </row>
    <row r="506" spans="1:3" ht="13.2">
      <c r="A506" s="215"/>
      <c r="B506" s="215"/>
      <c r="C506" s="215"/>
    </row>
    <row r="507" spans="1:3" ht="13.2">
      <c r="A507" s="215"/>
      <c r="B507" s="215"/>
      <c r="C507" s="215"/>
    </row>
    <row r="508" spans="1:3" ht="13.2">
      <c r="A508" s="215"/>
      <c r="B508" s="215"/>
      <c r="C508" s="215"/>
    </row>
    <row r="509" spans="1:3" ht="13.2">
      <c r="A509" s="215"/>
      <c r="B509" s="215"/>
      <c r="C509" s="215"/>
    </row>
    <row r="510" spans="1:3" ht="13.2">
      <c r="A510" s="215"/>
      <c r="B510" s="215"/>
      <c r="C510" s="215"/>
    </row>
    <row r="511" spans="1:3" ht="13.2">
      <c r="A511" s="215"/>
      <c r="B511" s="215"/>
      <c r="C511" s="215"/>
    </row>
    <row r="512" spans="1:3" ht="13.2">
      <c r="A512" s="215"/>
      <c r="B512" s="215"/>
      <c r="C512" s="215"/>
    </row>
    <row r="513" spans="1:3" ht="13.2">
      <c r="A513" s="215"/>
      <c r="B513" s="215"/>
      <c r="C513" s="215"/>
    </row>
    <row r="514" spans="1:3" ht="13.2">
      <c r="A514" s="215"/>
      <c r="B514" s="215"/>
      <c r="C514" s="215"/>
    </row>
    <row r="515" spans="1:3" ht="13.2">
      <c r="A515" s="215"/>
      <c r="B515" s="215"/>
      <c r="C515" s="215"/>
    </row>
    <row r="516" spans="1:3" ht="13.2">
      <c r="A516" s="215"/>
      <c r="B516" s="215"/>
      <c r="C516" s="215"/>
    </row>
    <row r="517" spans="1:3" ht="13.2">
      <c r="A517" s="215"/>
      <c r="B517" s="215"/>
      <c r="C517" s="215"/>
    </row>
    <row r="518" spans="1:3" ht="13.2">
      <c r="A518" s="215"/>
      <c r="B518" s="215"/>
      <c r="C518" s="215"/>
    </row>
    <row r="519" spans="1:3" ht="13.2">
      <c r="A519" s="215"/>
      <c r="B519" s="215"/>
      <c r="C519" s="215"/>
    </row>
    <row r="520" spans="1:3" ht="13.2">
      <c r="A520" s="215"/>
      <c r="B520" s="215"/>
      <c r="C520" s="215"/>
    </row>
    <row r="521" spans="1:3" ht="13.2">
      <c r="A521" s="215"/>
      <c r="B521" s="215"/>
      <c r="C521" s="215"/>
    </row>
    <row r="522" spans="1:3" ht="13.2">
      <c r="A522" s="215"/>
      <c r="B522" s="215"/>
      <c r="C522" s="215"/>
    </row>
    <row r="523" spans="1:3" ht="13.2">
      <c r="A523" s="215"/>
      <c r="B523" s="215"/>
      <c r="C523" s="215"/>
    </row>
    <row r="524" spans="1:3" ht="13.2">
      <c r="A524" s="215"/>
      <c r="B524" s="215"/>
      <c r="C524" s="215"/>
    </row>
    <row r="525" spans="1:3" ht="13.2">
      <c r="A525" s="215"/>
      <c r="B525" s="215"/>
      <c r="C525" s="215"/>
    </row>
    <row r="526" spans="1:3" ht="13.2">
      <c r="A526" s="215"/>
      <c r="B526" s="215"/>
      <c r="C526" s="215"/>
    </row>
    <row r="527" spans="1:3" ht="13.2">
      <c r="A527" s="215"/>
      <c r="B527" s="215"/>
      <c r="C527" s="215"/>
    </row>
    <row r="528" spans="1:3" ht="13.2">
      <c r="A528" s="215"/>
      <c r="B528" s="215"/>
      <c r="C528" s="215"/>
    </row>
    <row r="529" spans="1:3" ht="13.2">
      <c r="A529" s="215"/>
      <c r="B529" s="215"/>
      <c r="C529" s="215"/>
    </row>
    <row r="530" spans="1:3" ht="13.2">
      <c r="A530" s="215"/>
      <c r="B530" s="215"/>
      <c r="C530" s="215"/>
    </row>
    <row r="531" spans="1:3" ht="13.2">
      <c r="A531" s="215"/>
      <c r="B531" s="215"/>
      <c r="C531" s="215"/>
    </row>
    <row r="532" spans="1:3" ht="13.2">
      <c r="A532" s="215"/>
      <c r="B532" s="215"/>
      <c r="C532" s="215"/>
    </row>
    <row r="533" spans="1:3" ht="13.2">
      <c r="A533" s="215"/>
      <c r="B533" s="215"/>
      <c r="C533" s="215"/>
    </row>
    <row r="534" spans="1:3" ht="13.2">
      <c r="A534" s="215"/>
      <c r="B534" s="215"/>
      <c r="C534" s="215"/>
    </row>
    <row r="535" spans="1:3" ht="13.2">
      <c r="A535" s="215"/>
      <c r="B535" s="215"/>
      <c r="C535" s="215"/>
    </row>
    <row r="536" spans="1:3" ht="13.2">
      <c r="A536" s="215"/>
      <c r="B536" s="215"/>
      <c r="C536" s="215"/>
    </row>
    <row r="537" spans="1:3" ht="13.2">
      <c r="A537" s="215"/>
      <c r="B537" s="215"/>
      <c r="C537" s="215"/>
    </row>
    <row r="538" spans="1:3" ht="13.2">
      <c r="A538" s="215"/>
      <c r="B538" s="215"/>
      <c r="C538" s="215"/>
    </row>
    <row r="539" spans="1:3" ht="13.2">
      <c r="A539" s="215"/>
      <c r="B539" s="215"/>
      <c r="C539" s="215"/>
    </row>
    <row r="540" spans="1:3" ht="13.2">
      <c r="A540" s="215"/>
      <c r="B540" s="215"/>
      <c r="C540" s="215"/>
    </row>
    <row r="541" spans="1:3" ht="13.2">
      <c r="A541" s="215"/>
      <c r="B541" s="215"/>
      <c r="C541" s="215"/>
    </row>
    <row r="542" spans="1:3" ht="13.2">
      <c r="A542" s="215"/>
      <c r="B542" s="215"/>
      <c r="C542" s="215"/>
    </row>
    <row r="543" spans="1:3" ht="13.2">
      <c r="A543" s="215"/>
      <c r="B543" s="215"/>
      <c r="C543" s="215"/>
    </row>
    <row r="544" spans="1:3" ht="13.2">
      <c r="A544" s="215"/>
      <c r="B544" s="215"/>
      <c r="C544" s="215"/>
    </row>
    <row r="545" spans="1:3" ht="13.2">
      <c r="A545" s="215"/>
      <c r="B545" s="215"/>
      <c r="C545" s="215"/>
    </row>
    <row r="546" spans="1:3" ht="13.2">
      <c r="A546" s="215"/>
      <c r="B546" s="215"/>
      <c r="C546" s="215"/>
    </row>
    <row r="547" spans="1:3" ht="13.2">
      <c r="A547" s="215"/>
      <c r="B547" s="215"/>
      <c r="C547" s="215"/>
    </row>
    <row r="548" spans="1:3" ht="13.2">
      <c r="A548" s="215"/>
      <c r="B548" s="215"/>
      <c r="C548" s="215"/>
    </row>
    <row r="549" spans="1:3" ht="13.2">
      <c r="A549" s="215"/>
      <c r="B549" s="215"/>
      <c r="C549" s="215"/>
    </row>
    <row r="550" spans="1:3" ht="13.2">
      <c r="A550" s="215"/>
      <c r="B550" s="215"/>
      <c r="C550" s="215"/>
    </row>
    <row r="551" spans="1:3" ht="13.2">
      <c r="A551" s="215"/>
      <c r="B551" s="215"/>
      <c r="C551" s="215"/>
    </row>
    <row r="552" spans="1:3" ht="13.2">
      <c r="A552" s="215"/>
      <c r="B552" s="215"/>
      <c r="C552" s="215"/>
    </row>
    <row r="553" spans="1:3" ht="13.2">
      <c r="A553" s="215"/>
      <c r="B553" s="215"/>
      <c r="C553" s="215"/>
    </row>
    <row r="554" spans="1:3" ht="13.2">
      <c r="A554" s="215"/>
      <c r="B554" s="215"/>
      <c r="C554" s="215"/>
    </row>
    <row r="555" spans="1:3" ht="13.2">
      <c r="A555" s="215"/>
      <c r="B555" s="215"/>
      <c r="C555" s="215"/>
    </row>
    <row r="556" spans="1:3" ht="13.2">
      <c r="A556" s="215"/>
      <c r="B556" s="215"/>
      <c r="C556" s="215"/>
    </row>
    <row r="557" spans="1:3" ht="13.2">
      <c r="A557" s="215"/>
      <c r="B557" s="215"/>
      <c r="C557" s="215"/>
    </row>
    <row r="558" spans="1:3" ht="13.2">
      <c r="A558" s="215"/>
      <c r="B558" s="215"/>
      <c r="C558" s="215"/>
    </row>
    <row r="559" spans="1:3" ht="13.2">
      <c r="A559" s="215"/>
      <c r="B559" s="215"/>
      <c r="C559" s="215"/>
    </row>
    <row r="560" spans="1:3" ht="13.2">
      <c r="A560" s="215"/>
      <c r="B560" s="215"/>
      <c r="C560" s="215"/>
    </row>
    <row r="561" spans="1:3" ht="13.2">
      <c r="A561" s="215"/>
      <c r="B561" s="215"/>
      <c r="C561" s="215"/>
    </row>
    <row r="562" spans="1:3" ht="13.2">
      <c r="A562" s="215"/>
      <c r="B562" s="215"/>
      <c r="C562" s="215"/>
    </row>
    <row r="563" spans="1:3" ht="13.2">
      <c r="A563" s="215"/>
      <c r="B563" s="215"/>
      <c r="C563" s="215"/>
    </row>
    <row r="564" spans="1:3" ht="13.2">
      <c r="A564" s="215"/>
      <c r="B564" s="215"/>
      <c r="C564" s="215"/>
    </row>
    <row r="565" spans="1:3" ht="13.2">
      <c r="A565" s="215"/>
      <c r="B565" s="215"/>
      <c r="C565" s="215"/>
    </row>
    <row r="566" spans="1:3" ht="13.2">
      <c r="A566" s="215"/>
      <c r="B566" s="215"/>
      <c r="C566" s="215"/>
    </row>
    <row r="567" spans="1:3" ht="13.2">
      <c r="A567" s="215"/>
      <c r="B567" s="215"/>
      <c r="C567" s="215"/>
    </row>
    <row r="568" spans="1:3" ht="13.2">
      <c r="A568" s="215"/>
      <c r="B568" s="215"/>
      <c r="C568" s="215"/>
    </row>
    <row r="569" spans="1:3" ht="13.2">
      <c r="A569" s="215"/>
      <c r="B569" s="215"/>
      <c r="C569" s="215"/>
    </row>
    <row r="570" spans="1:3" ht="13.2">
      <c r="A570" s="215"/>
      <c r="B570" s="215"/>
      <c r="C570" s="215"/>
    </row>
    <row r="571" spans="1:3" ht="13.2">
      <c r="A571" s="215"/>
      <c r="B571" s="215"/>
      <c r="C571" s="215"/>
    </row>
    <row r="572" spans="1:3" ht="13.2">
      <c r="A572" s="215"/>
      <c r="B572" s="215"/>
      <c r="C572" s="215"/>
    </row>
    <row r="573" spans="1:3" ht="13.2">
      <c r="A573" s="215"/>
      <c r="B573" s="215"/>
      <c r="C573" s="215"/>
    </row>
    <row r="574" spans="1:3" ht="13.2">
      <c r="A574" s="215"/>
      <c r="B574" s="215"/>
      <c r="C574" s="215"/>
    </row>
    <row r="575" spans="1:3" ht="13.2">
      <c r="A575" s="215"/>
      <c r="B575" s="215"/>
      <c r="C575" s="215"/>
    </row>
    <row r="576" spans="1:3" ht="13.2">
      <c r="A576" s="215"/>
      <c r="B576" s="215"/>
      <c r="C576" s="215"/>
    </row>
    <row r="577" spans="1:3" ht="13.2">
      <c r="A577" s="215"/>
      <c r="B577" s="215"/>
      <c r="C577" s="215"/>
    </row>
    <row r="578" spans="1:3" ht="13.2">
      <c r="A578" s="215"/>
      <c r="B578" s="215"/>
      <c r="C578" s="215"/>
    </row>
    <row r="579" spans="1:3" ht="13.2">
      <c r="A579" s="215"/>
      <c r="B579" s="215"/>
      <c r="C579" s="215"/>
    </row>
    <row r="580" spans="1:3" ht="13.2">
      <c r="A580" s="215"/>
      <c r="B580" s="215"/>
      <c r="C580" s="215"/>
    </row>
    <row r="581" spans="1:3" ht="13.2">
      <c r="A581" s="215"/>
      <c r="B581" s="215"/>
      <c r="C581" s="215"/>
    </row>
    <row r="582" spans="1:3" ht="13.2">
      <c r="A582" s="215"/>
      <c r="B582" s="215"/>
      <c r="C582" s="215"/>
    </row>
    <row r="583" spans="1:3" ht="13.2">
      <c r="A583" s="215"/>
      <c r="B583" s="215"/>
      <c r="C583" s="215"/>
    </row>
    <row r="584" spans="1:3" ht="13.2">
      <c r="A584" s="215"/>
      <c r="B584" s="215"/>
      <c r="C584" s="215"/>
    </row>
    <row r="585" spans="1:3" ht="13.2">
      <c r="A585" s="215"/>
      <c r="B585" s="215"/>
      <c r="C585" s="215"/>
    </row>
    <row r="586" spans="1:3" ht="13.2">
      <c r="A586" s="215"/>
      <c r="B586" s="215"/>
      <c r="C586" s="215"/>
    </row>
    <row r="587" spans="1:3" ht="13.2">
      <c r="A587" s="215"/>
      <c r="B587" s="215"/>
      <c r="C587" s="215"/>
    </row>
    <row r="588" spans="1:3" ht="13.2">
      <c r="A588" s="215"/>
      <c r="B588" s="215"/>
      <c r="C588" s="215"/>
    </row>
    <row r="589" spans="1:3" ht="13.2">
      <c r="A589" s="215"/>
      <c r="B589" s="215"/>
      <c r="C589" s="215"/>
    </row>
    <row r="590" spans="1:3" ht="13.2">
      <c r="A590" s="215"/>
      <c r="B590" s="215"/>
      <c r="C590" s="215"/>
    </row>
    <row r="591" spans="1:3" ht="13.2">
      <c r="A591" s="215"/>
      <c r="B591" s="215"/>
      <c r="C591" s="215"/>
    </row>
    <row r="592" spans="1:3" ht="13.2">
      <c r="A592" s="215"/>
      <c r="B592" s="215"/>
      <c r="C592" s="215"/>
    </row>
    <row r="593" spans="1:3" ht="13.2">
      <c r="A593" s="215"/>
      <c r="B593" s="215"/>
      <c r="C593" s="215"/>
    </row>
    <row r="594" spans="1:3" ht="13.2">
      <c r="A594" s="215"/>
      <c r="B594" s="215"/>
      <c r="C594" s="215"/>
    </row>
    <row r="595" spans="1:3" ht="13.2">
      <c r="A595" s="215"/>
      <c r="B595" s="215"/>
      <c r="C595" s="215"/>
    </row>
    <row r="596" spans="1:3" ht="13.2">
      <c r="A596" s="215"/>
      <c r="B596" s="215"/>
      <c r="C596" s="215"/>
    </row>
    <row r="597" spans="1:3" ht="13.2">
      <c r="A597" s="215"/>
      <c r="B597" s="215"/>
      <c r="C597" s="215"/>
    </row>
    <row r="598" spans="1:3" ht="13.2">
      <c r="A598" s="215"/>
      <c r="B598" s="215"/>
      <c r="C598" s="215"/>
    </row>
    <row r="599" spans="1:3" ht="13.2">
      <c r="A599" s="215"/>
      <c r="B599" s="215"/>
      <c r="C599" s="215"/>
    </row>
    <row r="600" spans="1:3" ht="13.2">
      <c r="A600" s="215"/>
      <c r="B600" s="215"/>
      <c r="C600" s="215"/>
    </row>
    <row r="601" spans="1:3" ht="13.2">
      <c r="A601" s="215"/>
      <c r="B601" s="215"/>
      <c r="C601" s="215"/>
    </row>
    <row r="602" spans="1:3" ht="13.2">
      <c r="A602" s="215"/>
      <c r="B602" s="215"/>
      <c r="C602" s="215"/>
    </row>
    <row r="603" spans="1:3" ht="13.2">
      <c r="A603" s="215"/>
      <c r="B603" s="215"/>
      <c r="C603" s="215"/>
    </row>
    <row r="604" spans="1:3" ht="13.2">
      <c r="A604" s="215"/>
      <c r="B604" s="215"/>
      <c r="C604" s="215"/>
    </row>
    <row r="605" spans="1:3" ht="13.2">
      <c r="A605" s="215"/>
      <c r="B605" s="215"/>
      <c r="C605" s="215"/>
    </row>
    <row r="606" spans="1:3" ht="13.2">
      <c r="A606" s="215"/>
      <c r="B606" s="215"/>
      <c r="C606" s="215"/>
    </row>
    <row r="607" spans="1:3" ht="13.2">
      <c r="A607" s="215"/>
      <c r="B607" s="215"/>
      <c r="C607" s="215"/>
    </row>
    <row r="608" spans="1:3" ht="13.2">
      <c r="A608" s="215"/>
      <c r="B608" s="215"/>
      <c r="C608" s="215"/>
    </row>
    <row r="609" spans="1:3" ht="13.2">
      <c r="A609" s="215"/>
      <c r="B609" s="215"/>
      <c r="C609" s="215"/>
    </row>
    <row r="610" spans="1:3" ht="13.2">
      <c r="A610" s="215"/>
      <c r="B610" s="215"/>
      <c r="C610" s="215"/>
    </row>
    <row r="611" spans="1:3" ht="13.2">
      <c r="A611" s="215"/>
      <c r="B611" s="215"/>
      <c r="C611" s="215"/>
    </row>
    <row r="612" spans="1:3" ht="13.2">
      <c r="A612" s="215"/>
      <c r="B612" s="215"/>
      <c r="C612" s="215"/>
    </row>
    <row r="613" spans="1:3" ht="13.2">
      <c r="A613" s="215"/>
      <c r="B613" s="215"/>
      <c r="C613" s="215"/>
    </row>
    <row r="614" spans="1:3" ht="13.2">
      <c r="A614" s="215"/>
      <c r="B614" s="215"/>
      <c r="C614" s="215"/>
    </row>
    <row r="615" spans="1:3" ht="13.2">
      <c r="A615" s="215"/>
      <c r="B615" s="215"/>
      <c r="C615" s="215"/>
    </row>
    <row r="616" spans="1:3" ht="13.2">
      <c r="A616" s="215"/>
      <c r="B616" s="215"/>
      <c r="C616" s="215"/>
    </row>
    <row r="617" spans="1:3" ht="13.2">
      <c r="A617" s="215"/>
      <c r="B617" s="215"/>
      <c r="C617" s="215"/>
    </row>
    <row r="618" spans="1:3" ht="13.2">
      <c r="A618" s="215"/>
      <c r="B618" s="215"/>
      <c r="C618" s="215"/>
    </row>
    <row r="619" spans="1:3" ht="13.2">
      <c r="A619" s="215"/>
      <c r="B619" s="215"/>
      <c r="C619" s="215"/>
    </row>
    <row r="620" spans="1:3" ht="13.2">
      <c r="A620" s="215"/>
      <c r="B620" s="215"/>
      <c r="C620" s="215"/>
    </row>
    <row r="621" spans="1:3" ht="13.2">
      <c r="A621" s="215"/>
      <c r="B621" s="215"/>
      <c r="C621" s="215"/>
    </row>
    <row r="622" spans="1:3" ht="13.2">
      <c r="A622" s="215"/>
      <c r="B622" s="215"/>
      <c r="C622" s="215"/>
    </row>
    <row r="623" spans="1:3" ht="13.2">
      <c r="A623" s="215"/>
      <c r="B623" s="215"/>
      <c r="C623" s="215"/>
    </row>
    <row r="624" spans="1:3" ht="13.2">
      <c r="A624" s="215"/>
      <c r="B624" s="215"/>
      <c r="C624" s="215"/>
    </row>
    <row r="625" spans="1:3" ht="13.2">
      <c r="A625" s="215"/>
      <c r="B625" s="215"/>
      <c r="C625" s="215"/>
    </row>
    <row r="626" spans="1:3" ht="13.2">
      <c r="A626" s="215"/>
      <c r="B626" s="215"/>
      <c r="C626" s="215"/>
    </row>
    <row r="627" spans="1:3" ht="13.2">
      <c r="A627" s="215"/>
      <c r="B627" s="215"/>
      <c r="C627" s="215"/>
    </row>
    <row r="628" spans="1:3" ht="13.2">
      <c r="A628" s="215"/>
      <c r="B628" s="215"/>
      <c r="C628" s="215"/>
    </row>
    <row r="629" spans="1:3" ht="13.2">
      <c r="A629" s="215"/>
      <c r="B629" s="215"/>
      <c r="C629" s="215"/>
    </row>
    <row r="630" spans="1:3" ht="13.2">
      <c r="A630" s="215"/>
      <c r="B630" s="215"/>
      <c r="C630" s="215"/>
    </row>
    <row r="631" spans="1:3" ht="13.2">
      <c r="A631" s="215"/>
      <c r="B631" s="215"/>
      <c r="C631" s="215"/>
    </row>
    <row r="632" spans="1:3" ht="13.2">
      <c r="A632" s="215"/>
      <c r="B632" s="215"/>
      <c r="C632" s="215"/>
    </row>
    <row r="633" spans="1:3" ht="13.2">
      <c r="A633" s="215"/>
      <c r="B633" s="215"/>
      <c r="C633" s="215"/>
    </row>
    <row r="634" spans="1:3" ht="13.2">
      <c r="A634" s="215"/>
      <c r="B634" s="215"/>
      <c r="C634" s="215"/>
    </row>
    <row r="635" spans="1:3" ht="13.2">
      <c r="A635" s="215"/>
      <c r="B635" s="215"/>
      <c r="C635" s="215"/>
    </row>
    <row r="636" spans="1:3" ht="13.2">
      <c r="A636" s="215"/>
      <c r="B636" s="215"/>
      <c r="C636" s="215"/>
    </row>
    <row r="637" spans="1:3" ht="13.2">
      <c r="A637" s="215"/>
      <c r="B637" s="215"/>
      <c r="C637" s="215"/>
    </row>
    <row r="638" spans="1:3" ht="13.2">
      <c r="A638" s="215"/>
      <c r="B638" s="215"/>
      <c r="C638" s="215"/>
    </row>
    <row r="639" spans="1:3" ht="13.2">
      <c r="A639" s="215"/>
      <c r="B639" s="215"/>
      <c r="C639" s="215"/>
    </row>
    <row r="640" spans="1:3" ht="13.2">
      <c r="A640" s="215"/>
      <c r="B640" s="215"/>
      <c r="C640" s="215"/>
    </row>
    <row r="641" spans="1:3" ht="13.2">
      <c r="A641" s="215"/>
      <c r="B641" s="215"/>
      <c r="C641" s="215"/>
    </row>
    <row r="642" spans="1:3" ht="13.2">
      <c r="A642" s="215"/>
      <c r="B642" s="215"/>
      <c r="C642" s="215"/>
    </row>
    <row r="643" spans="1:3" ht="13.2">
      <c r="A643" s="215"/>
      <c r="B643" s="215"/>
      <c r="C643" s="215"/>
    </row>
    <row r="644" spans="1:3" ht="13.2">
      <c r="A644" s="215"/>
      <c r="B644" s="215"/>
      <c r="C644" s="215"/>
    </row>
    <row r="645" spans="1:3" ht="13.2">
      <c r="A645" s="215"/>
      <c r="B645" s="215"/>
      <c r="C645" s="215"/>
    </row>
    <row r="646" spans="1:3" ht="13.2">
      <c r="A646" s="215"/>
      <c r="B646" s="215"/>
      <c r="C646" s="215"/>
    </row>
    <row r="647" spans="1:3" ht="13.2">
      <c r="A647" s="215"/>
      <c r="B647" s="215"/>
      <c r="C647" s="215"/>
    </row>
    <row r="648" spans="1:3" ht="13.2">
      <c r="A648" s="215"/>
      <c r="B648" s="215"/>
      <c r="C648" s="215"/>
    </row>
    <row r="649" spans="1:3" ht="13.2">
      <c r="A649" s="215"/>
      <c r="B649" s="215"/>
      <c r="C649" s="215"/>
    </row>
    <row r="650" spans="1:3" ht="13.2">
      <c r="A650" s="215"/>
      <c r="B650" s="215"/>
      <c r="C650" s="215"/>
    </row>
    <row r="651" spans="1:3" ht="13.2">
      <c r="A651" s="215"/>
      <c r="B651" s="215"/>
      <c r="C651" s="215"/>
    </row>
    <row r="652" spans="1:3" ht="13.2">
      <c r="A652" s="215"/>
      <c r="B652" s="215"/>
      <c r="C652" s="215"/>
    </row>
    <row r="653" spans="1:3" ht="13.2">
      <c r="A653" s="215"/>
      <c r="B653" s="215"/>
      <c r="C653" s="215"/>
    </row>
    <row r="654" spans="1:3" ht="13.2">
      <c r="A654" s="215"/>
      <c r="B654" s="215"/>
      <c r="C654" s="215"/>
    </row>
    <row r="655" spans="1:3" ht="13.2">
      <c r="A655" s="215"/>
      <c r="B655" s="215"/>
      <c r="C655" s="215"/>
    </row>
    <row r="656" spans="1:3" ht="13.2">
      <c r="A656" s="215"/>
      <c r="B656" s="215"/>
      <c r="C656" s="215"/>
    </row>
    <row r="657" spans="1:3" ht="13.2">
      <c r="A657" s="215"/>
      <c r="B657" s="215"/>
      <c r="C657" s="215"/>
    </row>
    <row r="658" spans="1:3" ht="13.2">
      <c r="A658" s="215"/>
      <c r="B658" s="215"/>
      <c r="C658" s="215"/>
    </row>
    <row r="659" spans="1:3" ht="13.2">
      <c r="A659" s="215"/>
      <c r="B659" s="215"/>
      <c r="C659" s="215"/>
    </row>
    <row r="660" spans="1:3" ht="13.2">
      <c r="A660" s="215"/>
      <c r="B660" s="215"/>
      <c r="C660" s="215"/>
    </row>
    <row r="661" spans="1:3" ht="13.2">
      <c r="A661" s="215"/>
      <c r="B661" s="215"/>
      <c r="C661" s="215"/>
    </row>
    <row r="662" spans="1:3" ht="13.2">
      <c r="A662" s="215"/>
      <c r="B662" s="215"/>
      <c r="C662" s="215"/>
    </row>
    <row r="663" spans="1:3" ht="13.2">
      <c r="A663" s="215"/>
      <c r="B663" s="215"/>
      <c r="C663" s="215"/>
    </row>
    <row r="664" spans="1:3" ht="13.2">
      <c r="A664" s="215"/>
      <c r="B664" s="215"/>
      <c r="C664" s="215"/>
    </row>
    <row r="665" spans="1:3" ht="13.2">
      <c r="A665" s="215"/>
      <c r="B665" s="215"/>
      <c r="C665" s="215"/>
    </row>
    <row r="666" spans="1:3" ht="13.2">
      <c r="A666" s="215"/>
      <c r="B666" s="215"/>
      <c r="C666" s="215"/>
    </row>
    <row r="667" spans="1:3" ht="13.2">
      <c r="A667" s="215"/>
      <c r="B667" s="215"/>
      <c r="C667" s="215"/>
    </row>
    <row r="668" spans="1:3" ht="13.2">
      <c r="A668" s="215"/>
      <c r="B668" s="215"/>
      <c r="C668" s="215"/>
    </row>
    <row r="669" spans="1:3" ht="13.2">
      <c r="A669" s="215"/>
      <c r="B669" s="215"/>
      <c r="C669" s="215"/>
    </row>
    <row r="670" spans="1:3" ht="13.2">
      <c r="A670" s="215"/>
      <c r="B670" s="215"/>
      <c r="C670" s="215"/>
    </row>
    <row r="671" spans="1:3" ht="13.2">
      <c r="A671" s="215"/>
      <c r="B671" s="215"/>
      <c r="C671" s="215"/>
    </row>
    <row r="672" spans="1:3" ht="13.2">
      <c r="A672" s="215"/>
      <c r="B672" s="215"/>
      <c r="C672" s="215"/>
    </row>
    <row r="673" spans="1:3" ht="13.2">
      <c r="A673" s="215"/>
      <c r="B673" s="215"/>
      <c r="C673" s="215"/>
    </row>
    <row r="674" spans="1:3" ht="13.2">
      <c r="A674" s="215"/>
      <c r="B674" s="215"/>
      <c r="C674" s="215"/>
    </row>
    <row r="675" spans="1:3" ht="13.2">
      <c r="A675" s="215"/>
      <c r="B675" s="215"/>
      <c r="C675" s="215"/>
    </row>
    <row r="676" spans="1:3" ht="13.2">
      <c r="A676" s="215"/>
      <c r="B676" s="215"/>
      <c r="C676" s="215"/>
    </row>
    <row r="677" spans="1:3" ht="13.2">
      <c r="A677" s="215"/>
      <c r="B677" s="215"/>
      <c r="C677" s="215"/>
    </row>
    <row r="678" spans="1:3" ht="13.2">
      <c r="A678" s="215"/>
      <c r="B678" s="215"/>
      <c r="C678" s="215"/>
    </row>
    <row r="679" spans="1:3" ht="13.2">
      <c r="A679" s="215"/>
      <c r="B679" s="215"/>
      <c r="C679" s="215"/>
    </row>
    <row r="680" spans="1:3" ht="13.2">
      <c r="A680" s="215"/>
      <c r="B680" s="215"/>
      <c r="C680" s="215"/>
    </row>
    <row r="681" spans="1:3" ht="13.2">
      <c r="A681" s="215"/>
      <c r="B681" s="215"/>
      <c r="C681" s="215"/>
    </row>
    <row r="682" spans="1:3" ht="13.2">
      <c r="A682" s="215"/>
      <c r="B682" s="215"/>
      <c r="C682" s="215"/>
    </row>
    <row r="683" spans="1:3" ht="13.2">
      <c r="A683" s="215"/>
      <c r="B683" s="215"/>
      <c r="C683" s="215"/>
    </row>
    <row r="684" spans="1:3" ht="13.2">
      <c r="A684" s="215"/>
      <c r="B684" s="215"/>
      <c r="C684" s="215"/>
    </row>
    <row r="685" spans="1:3" ht="13.2">
      <c r="A685" s="215"/>
      <c r="B685" s="215"/>
      <c r="C685" s="215"/>
    </row>
    <row r="686" spans="1:3" ht="13.2">
      <c r="A686" s="215"/>
      <c r="B686" s="215"/>
      <c r="C686" s="215"/>
    </row>
    <row r="687" spans="1:3" ht="13.2">
      <c r="A687" s="215"/>
      <c r="B687" s="215"/>
      <c r="C687" s="215"/>
    </row>
    <row r="688" spans="1:3" ht="13.2">
      <c r="A688" s="215"/>
      <c r="B688" s="215"/>
      <c r="C688" s="215"/>
    </row>
    <row r="689" spans="1:3" ht="13.2">
      <c r="A689" s="215"/>
      <c r="B689" s="215"/>
      <c r="C689" s="215"/>
    </row>
    <row r="690" spans="1:3" ht="13.2">
      <c r="A690" s="215"/>
      <c r="B690" s="215"/>
      <c r="C690" s="215"/>
    </row>
    <row r="691" spans="1:3" ht="13.2">
      <c r="A691" s="215"/>
      <c r="B691" s="215"/>
      <c r="C691" s="215"/>
    </row>
    <row r="692" spans="1:3" ht="13.2">
      <c r="A692" s="215"/>
      <c r="B692" s="215"/>
      <c r="C692" s="215"/>
    </row>
    <row r="693" spans="1:3" ht="13.2">
      <c r="A693" s="215"/>
      <c r="B693" s="215"/>
      <c r="C693" s="215"/>
    </row>
    <row r="694" spans="1:3" ht="13.2">
      <c r="A694" s="215"/>
      <c r="B694" s="215"/>
      <c r="C694" s="215"/>
    </row>
    <row r="695" spans="1:3" ht="13.2">
      <c r="A695" s="215"/>
      <c r="B695" s="215"/>
      <c r="C695" s="215"/>
    </row>
    <row r="696" spans="1:3" ht="13.2">
      <c r="A696" s="215"/>
      <c r="B696" s="215"/>
      <c r="C696" s="215"/>
    </row>
    <row r="697" spans="1:3" ht="13.2">
      <c r="A697" s="215"/>
      <c r="B697" s="215"/>
      <c r="C697" s="215"/>
    </row>
    <row r="698" spans="1:3" ht="13.2">
      <c r="A698" s="215"/>
      <c r="B698" s="215"/>
      <c r="C698" s="215"/>
    </row>
    <row r="699" spans="1:3" ht="13.2">
      <c r="A699" s="215"/>
      <c r="B699" s="215"/>
      <c r="C699" s="215"/>
    </row>
    <row r="700" spans="1:3" ht="13.2">
      <c r="A700" s="215"/>
      <c r="B700" s="215"/>
      <c r="C700" s="215"/>
    </row>
    <row r="701" spans="1:3" ht="13.2">
      <c r="A701" s="215"/>
      <c r="B701" s="215"/>
      <c r="C701" s="215"/>
    </row>
    <row r="702" spans="1:3" ht="13.2">
      <c r="A702" s="215"/>
      <c r="B702" s="215"/>
      <c r="C702" s="215"/>
    </row>
    <row r="703" spans="1:3" ht="13.2">
      <c r="A703" s="215"/>
      <c r="B703" s="215"/>
      <c r="C703" s="215"/>
    </row>
    <row r="704" spans="1:3" ht="13.2">
      <c r="A704" s="215"/>
      <c r="B704" s="215"/>
      <c r="C704" s="215"/>
    </row>
    <row r="705" spans="1:3" ht="13.2">
      <c r="A705" s="215"/>
      <c r="B705" s="215"/>
      <c r="C705" s="215"/>
    </row>
    <row r="706" spans="1:3" ht="13.2">
      <c r="A706" s="215"/>
      <c r="B706" s="215"/>
      <c r="C706" s="215"/>
    </row>
    <row r="707" spans="1:3" ht="13.2">
      <c r="A707" s="215"/>
      <c r="B707" s="215"/>
      <c r="C707" s="215"/>
    </row>
    <row r="708" spans="1:3" ht="13.2">
      <c r="A708" s="215"/>
      <c r="B708" s="215"/>
      <c r="C708" s="215"/>
    </row>
    <row r="709" spans="1:3" ht="13.2">
      <c r="A709" s="215"/>
      <c r="B709" s="215"/>
      <c r="C709" s="215"/>
    </row>
    <row r="710" spans="1:3" ht="13.2">
      <c r="A710" s="215"/>
      <c r="B710" s="215"/>
      <c r="C710" s="215"/>
    </row>
    <row r="711" spans="1:3" ht="13.2">
      <c r="A711" s="215"/>
      <c r="B711" s="215"/>
      <c r="C711" s="215"/>
    </row>
    <row r="712" spans="1:3" ht="13.2">
      <c r="A712" s="215"/>
      <c r="B712" s="215"/>
      <c r="C712" s="215"/>
    </row>
    <row r="713" spans="1:3" ht="13.2">
      <c r="A713" s="215"/>
      <c r="B713" s="215"/>
      <c r="C713" s="215"/>
    </row>
    <row r="714" spans="1:3" ht="13.2">
      <c r="A714" s="215"/>
      <c r="B714" s="215"/>
      <c r="C714" s="215"/>
    </row>
    <row r="715" spans="1:3" ht="13.2">
      <c r="A715" s="215"/>
      <c r="B715" s="215"/>
      <c r="C715" s="215"/>
    </row>
    <row r="716" spans="1:3" ht="13.2">
      <c r="A716" s="215"/>
      <c r="B716" s="215"/>
      <c r="C716" s="215"/>
    </row>
    <row r="717" spans="1:3" ht="13.2">
      <c r="A717" s="215"/>
      <c r="B717" s="215"/>
      <c r="C717" s="215"/>
    </row>
    <row r="718" spans="1:3" ht="13.2">
      <c r="A718" s="215"/>
      <c r="B718" s="215"/>
      <c r="C718" s="215"/>
    </row>
    <row r="719" spans="1:3" ht="13.2">
      <c r="A719" s="215"/>
      <c r="B719" s="215"/>
      <c r="C719" s="215"/>
    </row>
    <row r="720" spans="1:3" ht="13.2">
      <c r="A720" s="215"/>
      <c r="B720" s="215"/>
      <c r="C720" s="215"/>
    </row>
    <row r="721" spans="1:3" ht="13.2">
      <c r="A721" s="215"/>
      <c r="B721" s="215"/>
      <c r="C721" s="215"/>
    </row>
    <row r="722" spans="1:3" ht="13.2">
      <c r="A722" s="215"/>
      <c r="B722" s="215"/>
      <c r="C722" s="215"/>
    </row>
    <row r="723" spans="1:3" ht="13.2">
      <c r="A723" s="215"/>
      <c r="B723" s="215"/>
      <c r="C723" s="215"/>
    </row>
    <row r="724" spans="1:3" ht="13.2">
      <c r="A724" s="215"/>
      <c r="B724" s="215"/>
      <c r="C724" s="215"/>
    </row>
    <row r="725" spans="1:3" ht="13.2">
      <c r="A725" s="215"/>
      <c r="B725" s="215"/>
      <c r="C725" s="215"/>
    </row>
    <row r="726" spans="1:3" ht="13.2">
      <c r="A726" s="215"/>
      <c r="B726" s="215"/>
      <c r="C726" s="215"/>
    </row>
    <row r="727" spans="1:3" ht="13.2">
      <c r="A727" s="215"/>
      <c r="B727" s="215"/>
      <c r="C727" s="215"/>
    </row>
    <row r="728" spans="1:3" ht="13.2">
      <c r="A728" s="215"/>
      <c r="B728" s="215"/>
      <c r="C728" s="215"/>
    </row>
    <row r="729" spans="1:3" ht="13.2">
      <c r="A729" s="215"/>
      <c r="B729" s="215"/>
      <c r="C729" s="215"/>
    </row>
    <row r="730" spans="1:3" ht="13.2">
      <c r="A730" s="215"/>
      <c r="B730" s="215"/>
      <c r="C730" s="215"/>
    </row>
    <row r="731" spans="1:3" ht="13.2">
      <c r="A731" s="215"/>
      <c r="B731" s="215"/>
      <c r="C731" s="215"/>
    </row>
    <row r="732" spans="1:3" ht="13.2">
      <c r="A732" s="215"/>
      <c r="B732" s="215"/>
      <c r="C732" s="215"/>
    </row>
    <row r="733" spans="1:3" ht="13.2">
      <c r="A733" s="215"/>
      <c r="B733" s="215"/>
      <c r="C733" s="215"/>
    </row>
    <row r="734" spans="1:3" ht="13.2">
      <c r="A734" s="215"/>
      <c r="B734" s="215"/>
      <c r="C734" s="215"/>
    </row>
    <row r="735" spans="1:3" ht="13.2">
      <c r="A735" s="215"/>
      <c r="B735" s="215"/>
      <c r="C735" s="215"/>
    </row>
    <row r="736" spans="1:3" ht="13.2">
      <c r="A736" s="215"/>
      <c r="B736" s="215"/>
      <c r="C736" s="215"/>
    </row>
    <row r="737" spans="1:3" ht="13.2">
      <c r="A737" s="215"/>
      <c r="B737" s="215"/>
      <c r="C737" s="215"/>
    </row>
    <row r="738" spans="1:3" ht="13.2">
      <c r="A738" s="215"/>
      <c r="B738" s="215"/>
      <c r="C738" s="215"/>
    </row>
    <row r="739" spans="1:3" ht="13.2">
      <c r="A739" s="215"/>
      <c r="B739" s="215"/>
      <c r="C739" s="215"/>
    </row>
    <row r="740" spans="1:3" ht="13.2">
      <c r="A740" s="215"/>
      <c r="B740" s="215"/>
      <c r="C740" s="215"/>
    </row>
    <row r="741" spans="1:3" ht="13.2">
      <c r="A741" s="215"/>
      <c r="B741" s="215"/>
      <c r="C741" s="215"/>
    </row>
    <row r="742" spans="1:3" ht="13.2">
      <c r="A742" s="215"/>
      <c r="B742" s="215"/>
      <c r="C742" s="215"/>
    </row>
    <row r="743" spans="1:3" ht="13.2">
      <c r="A743" s="215"/>
      <c r="B743" s="215"/>
      <c r="C743" s="215"/>
    </row>
    <row r="744" spans="1:3" ht="13.2">
      <c r="A744" s="215"/>
      <c r="B744" s="215"/>
      <c r="C744" s="215"/>
    </row>
    <row r="745" spans="1:3" ht="13.2">
      <c r="A745" s="215"/>
      <c r="B745" s="215"/>
      <c r="C745" s="215"/>
    </row>
    <row r="746" spans="1:3" ht="13.2">
      <c r="A746" s="215"/>
      <c r="B746" s="215"/>
      <c r="C746" s="215"/>
    </row>
    <row r="747" spans="1:3" ht="13.2">
      <c r="A747" s="215"/>
      <c r="B747" s="215"/>
      <c r="C747" s="215"/>
    </row>
    <row r="748" spans="1:3" ht="13.2">
      <c r="A748" s="215"/>
      <c r="B748" s="215"/>
      <c r="C748" s="215"/>
    </row>
    <row r="749" spans="1:3" ht="13.2">
      <c r="A749" s="215"/>
      <c r="B749" s="215"/>
      <c r="C749" s="215"/>
    </row>
    <row r="750" spans="1:3" ht="13.2">
      <c r="A750" s="215"/>
      <c r="B750" s="215"/>
      <c r="C750" s="215"/>
    </row>
    <row r="751" spans="1:3" ht="13.2">
      <c r="A751" s="215"/>
      <c r="B751" s="215"/>
      <c r="C751" s="215"/>
    </row>
    <row r="752" spans="1:3" ht="13.2">
      <c r="A752" s="215"/>
      <c r="B752" s="215"/>
      <c r="C752" s="215"/>
    </row>
    <row r="753" spans="1:3" ht="13.2">
      <c r="A753" s="215"/>
      <c r="B753" s="215"/>
      <c r="C753" s="215"/>
    </row>
    <row r="754" spans="1:3" ht="13.2">
      <c r="A754" s="215"/>
      <c r="B754" s="215"/>
      <c r="C754" s="215"/>
    </row>
    <row r="755" spans="1:3" ht="13.2">
      <c r="A755" s="215"/>
      <c r="B755" s="215"/>
      <c r="C755" s="215"/>
    </row>
    <row r="756" spans="1:3" ht="13.2">
      <c r="A756" s="215"/>
      <c r="B756" s="215"/>
      <c r="C756" s="215"/>
    </row>
    <row r="757" spans="1:3" ht="13.2">
      <c r="A757" s="215"/>
      <c r="B757" s="215"/>
      <c r="C757" s="215"/>
    </row>
    <row r="758" spans="1:3" ht="13.2">
      <c r="A758" s="215"/>
      <c r="B758" s="215"/>
      <c r="C758" s="215"/>
    </row>
    <row r="759" spans="1:3" ht="13.2">
      <c r="A759" s="215"/>
      <c r="B759" s="215"/>
      <c r="C759" s="215"/>
    </row>
    <row r="760" spans="1:3" ht="13.2">
      <c r="A760" s="215"/>
      <c r="B760" s="215"/>
      <c r="C760" s="215"/>
    </row>
    <row r="761" spans="1:3" ht="13.2">
      <c r="A761" s="215"/>
      <c r="B761" s="215"/>
      <c r="C761" s="215"/>
    </row>
    <row r="762" spans="1:3" ht="13.2">
      <c r="A762" s="215"/>
      <c r="B762" s="215"/>
      <c r="C762" s="215"/>
    </row>
    <row r="763" spans="1:3" ht="13.2">
      <c r="A763" s="215"/>
      <c r="B763" s="215"/>
      <c r="C763" s="215"/>
    </row>
    <row r="764" spans="1:3" ht="13.2">
      <c r="A764" s="215"/>
      <c r="B764" s="215"/>
      <c r="C764" s="215"/>
    </row>
    <row r="765" spans="1:3" ht="13.2">
      <c r="A765" s="215"/>
      <c r="B765" s="215"/>
      <c r="C765" s="215"/>
    </row>
    <row r="766" spans="1:3" ht="13.2">
      <c r="A766" s="215"/>
      <c r="B766" s="215"/>
      <c r="C766" s="215"/>
    </row>
    <row r="767" spans="1:3" ht="13.2">
      <c r="A767" s="215"/>
      <c r="B767" s="215"/>
      <c r="C767" s="215"/>
    </row>
    <row r="768" spans="1:3" ht="13.2">
      <c r="A768" s="215"/>
      <c r="B768" s="215"/>
      <c r="C768" s="215"/>
    </row>
    <row r="769" spans="1:3" ht="13.2">
      <c r="A769" s="215"/>
      <c r="B769" s="215"/>
      <c r="C769" s="215"/>
    </row>
    <row r="770" spans="1:3" ht="13.2">
      <c r="A770" s="215"/>
      <c r="B770" s="215"/>
      <c r="C770" s="215"/>
    </row>
    <row r="771" spans="1:3" ht="13.2">
      <c r="A771" s="215"/>
      <c r="B771" s="215"/>
      <c r="C771" s="215"/>
    </row>
    <row r="772" spans="1:3" ht="13.2">
      <c r="A772" s="215"/>
      <c r="B772" s="215"/>
      <c r="C772" s="215"/>
    </row>
    <row r="773" spans="1:3" ht="13.2">
      <c r="A773" s="215"/>
      <c r="B773" s="215"/>
      <c r="C773" s="215"/>
    </row>
    <row r="774" spans="1:3" ht="13.2">
      <c r="A774" s="215"/>
      <c r="B774" s="215"/>
      <c r="C774" s="215"/>
    </row>
    <row r="775" spans="1:3" ht="13.2">
      <c r="A775" s="215"/>
      <c r="B775" s="215"/>
      <c r="C775" s="215"/>
    </row>
    <row r="776" spans="1:3" ht="13.2">
      <c r="A776" s="215"/>
      <c r="B776" s="215"/>
      <c r="C776" s="215"/>
    </row>
    <row r="777" spans="1:3" ht="13.2">
      <c r="A777" s="215"/>
      <c r="B777" s="215"/>
      <c r="C777" s="215"/>
    </row>
    <row r="778" spans="1:3" ht="13.2">
      <c r="A778" s="215"/>
      <c r="B778" s="215"/>
      <c r="C778" s="215"/>
    </row>
    <row r="779" spans="1:3" ht="13.2">
      <c r="A779" s="215"/>
      <c r="B779" s="215"/>
      <c r="C779" s="215"/>
    </row>
    <row r="780" spans="1:3" ht="13.2">
      <c r="A780" s="215"/>
      <c r="B780" s="215"/>
      <c r="C780" s="215"/>
    </row>
    <row r="781" spans="1:3" ht="13.2">
      <c r="A781" s="215"/>
      <c r="B781" s="215"/>
      <c r="C781" s="215"/>
    </row>
    <row r="782" spans="1:3" ht="13.2">
      <c r="A782" s="215"/>
      <c r="B782" s="215"/>
      <c r="C782" s="215"/>
    </row>
    <row r="783" spans="1:3" ht="13.2">
      <c r="A783" s="215"/>
      <c r="B783" s="215"/>
      <c r="C783" s="215"/>
    </row>
    <row r="784" spans="1:3" ht="13.2">
      <c r="A784" s="215"/>
      <c r="B784" s="215"/>
      <c r="C784" s="215"/>
    </row>
    <row r="785" spans="1:3" ht="13.2">
      <c r="A785" s="215"/>
      <c r="B785" s="215"/>
      <c r="C785" s="215"/>
    </row>
    <row r="786" spans="1:3" ht="13.2">
      <c r="A786" s="215"/>
      <c r="B786" s="215"/>
      <c r="C786" s="215"/>
    </row>
    <row r="787" spans="1:3" ht="13.2">
      <c r="A787" s="215"/>
      <c r="B787" s="215"/>
      <c r="C787" s="215"/>
    </row>
    <row r="788" spans="1:3" ht="13.2">
      <c r="A788" s="215"/>
      <c r="B788" s="215"/>
      <c r="C788" s="215"/>
    </row>
    <row r="789" spans="1:3" ht="13.2">
      <c r="A789" s="215"/>
      <c r="B789" s="215"/>
      <c r="C789" s="215"/>
    </row>
    <row r="790" spans="1:3" ht="13.2">
      <c r="A790" s="215"/>
      <c r="B790" s="215"/>
      <c r="C790" s="215"/>
    </row>
    <row r="791" spans="1:3" ht="13.2">
      <c r="A791" s="215"/>
      <c r="B791" s="215"/>
      <c r="C791" s="215"/>
    </row>
    <row r="792" spans="1:3" ht="13.2">
      <c r="A792" s="215"/>
      <c r="B792" s="215"/>
      <c r="C792" s="215"/>
    </row>
    <row r="793" spans="1:3" ht="13.2">
      <c r="A793" s="215"/>
      <c r="B793" s="215"/>
      <c r="C793" s="215"/>
    </row>
    <row r="794" spans="1:3" ht="13.2">
      <c r="A794" s="215"/>
      <c r="B794" s="215"/>
      <c r="C794" s="215"/>
    </row>
    <row r="795" spans="1:3" ht="13.2">
      <c r="A795" s="215"/>
      <c r="B795" s="215"/>
      <c r="C795" s="215"/>
    </row>
    <row r="796" spans="1:3" ht="13.2">
      <c r="A796" s="215"/>
      <c r="B796" s="215"/>
      <c r="C796" s="215"/>
    </row>
    <row r="797" spans="1:3" ht="13.2">
      <c r="A797" s="215"/>
      <c r="B797" s="215"/>
      <c r="C797" s="215"/>
    </row>
    <row r="798" spans="1:3" ht="13.2">
      <c r="A798" s="215"/>
      <c r="B798" s="215"/>
      <c r="C798" s="215"/>
    </row>
    <row r="799" spans="1:3" ht="13.2">
      <c r="A799" s="215"/>
      <c r="B799" s="215"/>
      <c r="C799" s="215"/>
    </row>
    <row r="800" spans="1:3" ht="13.2">
      <c r="A800" s="215"/>
      <c r="B800" s="215"/>
      <c r="C800" s="215"/>
    </row>
    <row r="801" spans="1:3" ht="13.2">
      <c r="A801" s="215"/>
      <c r="B801" s="215"/>
      <c r="C801" s="215"/>
    </row>
    <row r="802" spans="1:3" ht="13.2">
      <c r="A802" s="215"/>
      <c r="B802" s="215"/>
      <c r="C802" s="215"/>
    </row>
    <row r="803" spans="1:3" ht="13.2">
      <c r="A803" s="215"/>
      <c r="B803" s="215"/>
      <c r="C803" s="215"/>
    </row>
    <row r="804" spans="1:3" ht="13.2">
      <c r="A804" s="215"/>
      <c r="B804" s="215"/>
      <c r="C804" s="215"/>
    </row>
    <row r="805" spans="1:3" ht="13.2">
      <c r="A805" s="215"/>
      <c r="B805" s="215"/>
      <c r="C805" s="215"/>
    </row>
    <row r="806" spans="1:3" ht="13.2">
      <c r="A806" s="215"/>
      <c r="B806" s="215"/>
      <c r="C806" s="215"/>
    </row>
    <row r="807" spans="1:3" ht="13.2">
      <c r="A807" s="215"/>
      <c r="B807" s="215"/>
      <c r="C807" s="215"/>
    </row>
    <row r="808" spans="1:3" ht="13.2">
      <c r="A808" s="215"/>
      <c r="B808" s="215"/>
      <c r="C808" s="215"/>
    </row>
    <row r="809" spans="1:3" ht="13.2">
      <c r="A809" s="215"/>
      <c r="B809" s="215"/>
      <c r="C809" s="215"/>
    </row>
    <row r="810" spans="1:3" ht="13.2">
      <c r="A810" s="215"/>
      <c r="B810" s="215"/>
      <c r="C810" s="215"/>
    </row>
    <row r="811" spans="1:3" ht="13.2">
      <c r="A811" s="215"/>
      <c r="B811" s="215"/>
      <c r="C811" s="215"/>
    </row>
    <row r="812" spans="1:3" ht="13.2">
      <c r="A812" s="215"/>
      <c r="B812" s="215"/>
      <c r="C812" s="215"/>
    </row>
    <row r="813" spans="1:3" ht="13.2">
      <c r="A813" s="215"/>
      <c r="B813" s="215"/>
      <c r="C813" s="215"/>
    </row>
    <row r="814" spans="1:3" ht="13.2">
      <c r="A814" s="215"/>
      <c r="B814" s="215"/>
      <c r="C814" s="215"/>
    </row>
    <row r="815" spans="1:3" ht="13.2">
      <c r="A815" s="215"/>
      <c r="B815" s="215"/>
      <c r="C815" s="215"/>
    </row>
    <row r="816" spans="1:3" ht="13.2">
      <c r="A816" s="215"/>
      <c r="B816" s="215"/>
      <c r="C816" s="215"/>
    </row>
    <row r="817" spans="1:3" ht="13.2">
      <c r="A817" s="215"/>
      <c r="B817" s="215"/>
      <c r="C817" s="215"/>
    </row>
    <row r="818" spans="1:3" ht="13.2">
      <c r="A818" s="215"/>
      <c r="B818" s="215"/>
      <c r="C818" s="215"/>
    </row>
    <row r="819" spans="1:3" ht="13.2">
      <c r="A819" s="215"/>
      <c r="B819" s="215"/>
      <c r="C819" s="215"/>
    </row>
    <row r="820" spans="1:3" ht="13.2">
      <c r="A820" s="215"/>
      <c r="B820" s="215"/>
      <c r="C820" s="215"/>
    </row>
    <row r="821" spans="1:3" ht="13.2">
      <c r="A821" s="215"/>
      <c r="B821" s="215"/>
      <c r="C821" s="215"/>
    </row>
    <row r="822" spans="1:3" ht="13.2">
      <c r="A822" s="215"/>
      <c r="B822" s="215"/>
      <c r="C822" s="215"/>
    </row>
    <row r="823" spans="1:3" ht="13.2">
      <c r="A823" s="215"/>
      <c r="B823" s="215"/>
      <c r="C823" s="215"/>
    </row>
    <row r="824" spans="1:3" ht="13.2">
      <c r="A824" s="215"/>
      <c r="B824" s="215"/>
      <c r="C824" s="215"/>
    </row>
    <row r="825" spans="1:3" ht="13.2">
      <c r="A825" s="215"/>
      <c r="B825" s="215"/>
      <c r="C825" s="215"/>
    </row>
    <row r="826" spans="1:3" ht="13.2">
      <c r="A826" s="215"/>
      <c r="B826" s="215"/>
      <c r="C826" s="215"/>
    </row>
    <row r="827" spans="1:3" ht="13.2">
      <c r="A827" s="215"/>
      <c r="B827" s="215"/>
      <c r="C827" s="215"/>
    </row>
    <row r="828" spans="1:3" ht="13.2">
      <c r="A828" s="215"/>
      <c r="B828" s="215"/>
      <c r="C828" s="215"/>
    </row>
    <row r="829" spans="1:3" ht="13.2">
      <c r="A829" s="215"/>
      <c r="B829" s="215"/>
      <c r="C829" s="215"/>
    </row>
    <row r="830" spans="1:3" ht="13.2">
      <c r="A830" s="215"/>
      <c r="B830" s="215"/>
      <c r="C830" s="215"/>
    </row>
    <row r="831" spans="1:3" ht="13.2">
      <c r="A831" s="215"/>
      <c r="B831" s="215"/>
      <c r="C831" s="215"/>
    </row>
    <row r="832" spans="1:3" ht="13.2">
      <c r="A832" s="215"/>
      <c r="B832" s="215"/>
      <c r="C832" s="215"/>
    </row>
    <row r="833" spans="1:3" ht="13.2">
      <c r="A833" s="215"/>
      <c r="B833" s="215"/>
      <c r="C833" s="215"/>
    </row>
    <row r="834" spans="1:3" ht="13.2">
      <c r="A834" s="215"/>
      <c r="B834" s="215"/>
      <c r="C834" s="215"/>
    </row>
    <row r="835" spans="1:3" ht="13.2">
      <c r="A835" s="215"/>
      <c r="B835" s="215"/>
      <c r="C835" s="215"/>
    </row>
    <row r="836" spans="1:3" ht="13.2">
      <c r="A836" s="215"/>
      <c r="B836" s="215"/>
      <c r="C836" s="215"/>
    </row>
    <row r="837" spans="1:3" ht="13.2">
      <c r="A837" s="215"/>
      <c r="B837" s="215"/>
      <c r="C837" s="215"/>
    </row>
    <row r="838" spans="1:3" ht="13.2">
      <c r="A838" s="215"/>
      <c r="B838" s="215"/>
      <c r="C838" s="215"/>
    </row>
    <row r="839" spans="1:3" ht="13.2">
      <c r="A839" s="215"/>
      <c r="B839" s="215"/>
      <c r="C839" s="215"/>
    </row>
    <row r="840" spans="1:3" ht="13.2">
      <c r="A840" s="215"/>
      <c r="B840" s="215"/>
      <c r="C840" s="215"/>
    </row>
    <row r="841" spans="1:3" ht="13.2">
      <c r="A841" s="215"/>
      <c r="B841" s="215"/>
      <c r="C841" s="215"/>
    </row>
    <row r="842" spans="1:3" ht="13.2">
      <c r="A842" s="215"/>
      <c r="B842" s="215"/>
      <c r="C842" s="215"/>
    </row>
    <row r="843" spans="1:3" ht="13.2">
      <c r="A843" s="215"/>
      <c r="B843" s="215"/>
      <c r="C843" s="215"/>
    </row>
    <row r="844" spans="1:3" ht="13.2">
      <c r="A844" s="215"/>
      <c r="B844" s="215"/>
      <c r="C844" s="215"/>
    </row>
    <row r="845" spans="1:3" ht="13.2">
      <c r="A845" s="215"/>
      <c r="B845" s="215"/>
      <c r="C845" s="215"/>
    </row>
    <row r="846" spans="1:3" ht="13.2">
      <c r="A846" s="215"/>
      <c r="B846" s="215"/>
      <c r="C846" s="215"/>
    </row>
    <row r="847" spans="1:3" ht="13.2">
      <c r="A847" s="215"/>
      <c r="B847" s="215"/>
      <c r="C847" s="215"/>
    </row>
    <row r="848" spans="1:3" ht="13.2">
      <c r="A848" s="215"/>
      <c r="B848" s="215"/>
      <c r="C848" s="215"/>
    </row>
    <row r="849" spans="1:3" ht="13.2">
      <c r="A849" s="215"/>
      <c r="B849" s="215"/>
      <c r="C849" s="215"/>
    </row>
    <row r="850" spans="1:3" ht="13.2">
      <c r="A850" s="215"/>
      <c r="B850" s="215"/>
      <c r="C850" s="215"/>
    </row>
    <row r="851" spans="1:3" ht="13.2">
      <c r="A851" s="215"/>
      <c r="B851" s="215"/>
      <c r="C851" s="215"/>
    </row>
    <row r="852" spans="1:3" ht="13.2">
      <c r="A852" s="215"/>
      <c r="B852" s="215"/>
      <c r="C852" s="215"/>
    </row>
    <row r="853" spans="1:3" ht="13.2">
      <c r="A853" s="215"/>
      <c r="B853" s="215"/>
      <c r="C853" s="215"/>
    </row>
    <row r="854" spans="1:3" ht="13.2">
      <c r="A854" s="215"/>
      <c r="B854" s="215"/>
      <c r="C854" s="215"/>
    </row>
    <row r="855" spans="1:3" ht="13.2">
      <c r="A855" s="215"/>
      <c r="B855" s="215"/>
      <c r="C855" s="215"/>
    </row>
    <row r="856" spans="1:3" ht="13.2">
      <c r="A856" s="215"/>
      <c r="B856" s="215"/>
      <c r="C856" s="215"/>
    </row>
    <row r="857" spans="1:3" ht="13.2">
      <c r="A857" s="215"/>
      <c r="B857" s="215"/>
      <c r="C857" s="215"/>
    </row>
    <row r="858" spans="1:3" ht="13.2">
      <c r="A858" s="215"/>
      <c r="B858" s="215"/>
      <c r="C858" s="215"/>
    </row>
    <row r="859" spans="1:3" ht="13.2">
      <c r="A859" s="215"/>
      <c r="B859" s="215"/>
      <c r="C859" s="215"/>
    </row>
    <row r="860" spans="1:3" ht="13.2">
      <c r="A860" s="215"/>
      <c r="B860" s="215"/>
      <c r="C860" s="215"/>
    </row>
    <row r="861" spans="1:3" ht="13.2">
      <c r="A861" s="215"/>
      <c r="B861" s="215"/>
      <c r="C861" s="215"/>
    </row>
    <row r="862" spans="1:3" ht="13.2">
      <c r="A862" s="215"/>
      <c r="B862" s="215"/>
      <c r="C862" s="215"/>
    </row>
    <row r="863" spans="1:3" ht="13.2">
      <c r="A863" s="215"/>
      <c r="B863" s="215"/>
      <c r="C863" s="215"/>
    </row>
    <row r="864" spans="1:3" ht="13.2">
      <c r="A864" s="215"/>
      <c r="B864" s="215"/>
      <c r="C864" s="215"/>
    </row>
    <row r="865" spans="1:3" ht="13.2">
      <c r="A865" s="215"/>
      <c r="B865" s="215"/>
      <c r="C865" s="215"/>
    </row>
    <row r="866" spans="1:3" ht="13.2">
      <c r="A866" s="215"/>
      <c r="B866" s="215"/>
      <c r="C866" s="215"/>
    </row>
    <row r="867" spans="1:3" ht="13.2">
      <c r="A867" s="215"/>
      <c r="B867" s="215"/>
      <c r="C867" s="215"/>
    </row>
    <row r="868" spans="1:3" ht="13.2">
      <c r="A868" s="215"/>
      <c r="B868" s="215"/>
      <c r="C868" s="215"/>
    </row>
    <row r="869" spans="1:3" ht="13.2">
      <c r="A869" s="215"/>
      <c r="B869" s="215"/>
      <c r="C869" s="215"/>
    </row>
    <row r="870" spans="1:3" ht="13.2">
      <c r="A870" s="215"/>
      <c r="B870" s="215"/>
      <c r="C870" s="215"/>
    </row>
    <row r="871" spans="1:3" ht="13.2">
      <c r="A871" s="215"/>
      <c r="B871" s="215"/>
      <c r="C871" s="215"/>
    </row>
    <row r="872" spans="1:3" ht="13.2">
      <c r="A872" s="215"/>
      <c r="B872" s="215"/>
      <c r="C872" s="215"/>
    </row>
    <row r="873" spans="1:3" ht="13.2">
      <c r="A873" s="215"/>
      <c r="B873" s="215"/>
      <c r="C873" s="215"/>
    </row>
    <row r="874" spans="1:3" ht="13.2">
      <c r="A874" s="215"/>
      <c r="B874" s="215"/>
      <c r="C874" s="215"/>
    </row>
    <row r="875" spans="1:3" ht="13.2">
      <c r="A875" s="215"/>
      <c r="B875" s="215"/>
      <c r="C875" s="215"/>
    </row>
    <row r="876" spans="1:3" ht="13.2">
      <c r="A876" s="215"/>
      <c r="B876" s="215"/>
      <c r="C876" s="215"/>
    </row>
    <row r="877" spans="1:3" ht="13.2">
      <c r="A877" s="215"/>
      <c r="B877" s="215"/>
      <c r="C877" s="215"/>
    </row>
    <row r="878" spans="1:3" ht="13.2">
      <c r="A878" s="215"/>
      <c r="B878" s="215"/>
      <c r="C878" s="215"/>
    </row>
    <row r="879" spans="1:3" ht="13.2">
      <c r="A879" s="215"/>
      <c r="B879" s="215"/>
      <c r="C879" s="215"/>
    </row>
    <row r="880" spans="1:3" ht="13.2">
      <c r="A880" s="215"/>
      <c r="B880" s="215"/>
      <c r="C880" s="215"/>
    </row>
    <row r="881" spans="1:3" ht="13.2">
      <c r="A881" s="215"/>
      <c r="B881" s="215"/>
      <c r="C881" s="215"/>
    </row>
    <row r="882" spans="1:3" ht="13.2">
      <c r="A882" s="215"/>
      <c r="B882" s="215"/>
      <c r="C882" s="215"/>
    </row>
    <row r="883" spans="1:3" ht="13.2">
      <c r="A883" s="215"/>
      <c r="B883" s="215"/>
      <c r="C883" s="215"/>
    </row>
    <row r="884" spans="1:3" ht="13.2">
      <c r="A884" s="215"/>
      <c r="B884" s="215"/>
      <c r="C884" s="215"/>
    </row>
    <row r="885" spans="1:3" ht="13.2">
      <c r="A885" s="215"/>
      <c r="B885" s="215"/>
      <c r="C885" s="215"/>
    </row>
    <row r="886" spans="1:3" ht="13.2">
      <c r="A886" s="215"/>
      <c r="B886" s="215"/>
      <c r="C886" s="215"/>
    </row>
    <row r="887" spans="1:3" ht="13.2">
      <c r="A887" s="215"/>
      <c r="B887" s="215"/>
      <c r="C887" s="215"/>
    </row>
    <row r="888" spans="1:3" ht="13.2">
      <c r="A888" s="215"/>
      <c r="B888" s="215"/>
      <c r="C888" s="215"/>
    </row>
    <row r="889" spans="1:3" ht="13.2">
      <c r="A889" s="215"/>
      <c r="B889" s="215"/>
      <c r="C889" s="215"/>
    </row>
    <row r="890" spans="1:3" ht="13.2">
      <c r="A890" s="215"/>
      <c r="B890" s="215"/>
      <c r="C890" s="215"/>
    </row>
    <row r="891" spans="1:3" ht="13.2">
      <c r="A891" s="215"/>
      <c r="B891" s="215"/>
      <c r="C891" s="215"/>
    </row>
    <row r="892" spans="1:3" ht="13.2">
      <c r="A892" s="215"/>
      <c r="B892" s="215"/>
      <c r="C892" s="215"/>
    </row>
    <row r="893" spans="1:3" ht="13.2">
      <c r="A893" s="215"/>
      <c r="B893" s="215"/>
      <c r="C893" s="215"/>
    </row>
    <row r="894" spans="1:3" ht="13.2">
      <c r="A894" s="215"/>
      <c r="B894" s="215"/>
      <c r="C894" s="215"/>
    </row>
    <row r="895" spans="1:3" ht="13.2">
      <c r="A895" s="215"/>
      <c r="B895" s="215"/>
      <c r="C895" s="215"/>
    </row>
    <row r="896" spans="1:3" ht="13.2">
      <c r="A896" s="215"/>
      <c r="B896" s="215"/>
      <c r="C896" s="215"/>
    </row>
    <row r="897" spans="1:3" ht="13.2">
      <c r="A897" s="215"/>
      <c r="B897" s="215"/>
      <c r="C897" s="215"/>
    </row>
    <row r="898" spans="1:3" ht="13.2">
      <c r="A898" s="215"/>
      <c r="B898" s="215"/>
      <c r="C898" s="215"/>
    </row>
    <row r="899" spans="1:3" ht="13.2">
      <c r="A899" s="215"/>
      <c r="B899" s="215"/>
      <c r="C899" s="215"/>
    </row>
    <row r="900" spans="1:3" ht="13.2">
      <c r="A900" s="215"/>
      <c r="B900" s="215"/>
      <c r="C900" s="215"/>
    </row>
    <row r="901" spans="1:3" ht="13.2">
      <c r="A901" s="215"/>
      <c r="B901" s="215"/>
      <c r="C901" s="215"/>
    </row>
    <row r="902" spans="1:3" ht="13.2">
      <c r="A902" s="215"/>
      <c r="B902" s="215"/>
      <c r="C902" s="215"/>
    </row>
    <row r="903" spans="1:3" ht="13.2">
      <c r="A903" s="215"/>
      <c r="B903" s="215"/>
      <c r="C903" s="215"/>
    </row>
    <row r="904" spans="1:3" ht="13.2">
      <c r="A904" s="215"/>
      <c r="B904" s="215"/>
      <c r="C904" s="215"/>
    </row>
    <row r="905" spans="1:3" ht="13.2">
      <c r="A905" s="215"/>
      <c r="B905" s="215"/>
      <c r="C905" s="215"/>
    </row>
    <row r="906" spans="1:3" ht="13.2">
      <c r="A906" s="215"/>
      <c r="B906" s="215"/>
      <c r="C906" s="215"/>
    </row>
    <row r="907" spans="1:3" ht="13.2">
      <c r="A907" s="215"/>
      <c r="B907" s="215"/>
      <c r="C907" s="215"/>
    </row>
    <row r="908" spans="1:3" ht="13.2">
      <c r="A908" s="215"/>
      <c r="B908" s="215"/>
      <c r="C908" s="215"/>
    </row>
    <row r="909" spans="1:3" ht="13.2">
      <c r="A909" s="215"/>
      <c r="B909" s="215"/>
      <c r="C909" s="215"/>
    </row>
    <row r="910" spans="1:3" ht="13.2">
      <c r="A910" s="215"/>
      <c r="B910" s="215"/>
      <c r="C910" s="215"/>
    </row>
    <row r="911" spans="1:3" ht="13.2">
      <c r="A911" s="215"/>
      <c r="B911" s="215"/>
      <c r="C911" s="215"/>
    </row>
    <row r="912" spans="1:3" ht="13.2">
      <c r="A912" s="215"/>
      <c r="B912" s="215"/>
      <c r="C912" s="215"/>
    </row>
    <row r="913" spans="1:3" ht="13.2">
      <c r="A913" s="215"/>
      <c r="B913" s="215"/>
      <c r="C913" s="215"/>
    </row>
    <row r="914" spans="1:3" ht="13.2">
      <c r="A914" s="215"/>
      <c r="B914" s="215"/>
      <c r="C914" s="215"/>
    </row>
    <row r="915" spans="1:3" ht="13.2">
      <c r="A915" s="215"/>
      <c r="B915" s="215"/>
      <c r="C915" s="215"/>
    </row>
    <row r="916" spans="1:3" ht="13.2">
      <c r="A916" s="215"/>
      <c r="B916" s="215"/>
      <c r="C916" s="215"/>
    </row>
    <row r="917" spans="1:3" ht="13.2">
      <c r="A917" s="215"/>
      <c r="B917" s="215"/>
      <c r="C917" s="215"/>
    </row>
    <row r="918" spans="1:3" ht="13.2">
      <c r="A918" s="215"/>
      <c r="B918" s="215"/>
      <c r="C918" s="215"/>
    </row>
    <row r="919" spans="1:3" ht="13.2">
      <c r="A919" s="215"/>
      <c r="B919" s="215"/>
      <c r="C919" s="215"/>
    </row>
    <row r="920" spans="1:3" ht="13.2">
      <c r="A920" s="215"/>
      <c r="B920" s="215"/>
      <c r="C920" s="215"/>
    </row>
    <row r="921" spans="1:3" ht="13.2">
      <c r="A921" s="215"/>
      <c r="B921" s="215"/>
      <c r="C921" s="215"/>
    </row>
    <row r="922" spans="1:3" ht="13.2">
      <c r="A922" s="215"/>
      <c r="B922" s="215"/>
      <c r="C922" s="215"/>
    </row>
    <row r="923" spans="1:3" ht="13.2">
      <c r="A923" s="215"/>
      <c r="B923" s="215"/>
      <c r="C923" s="215"/>
    </row>
    <row r="924" spans="1:3" ht="13.2">
      <c r="A924" s="215"/>
      <c r="B924" s="215"/>
      <c r="C924" s="215"/>
    </row>
    <row r="925" spans="1:3" ht="13.2">
      <c r="A925" s="215"/>
      <c r="B925" s="215"/>
      <c r="C925" s="215"/>
    </row>
    <row r="926" spans="1:3" ht="13.2">
      <c r="A926" s="215"/>
      <c r="B926" s="215"/>
      <c r="C926" s="215"/>
    </row>
    <row r="927" spans="1:3" ht="13.2">
      <c r="A927" s="215"/>
      <c r="B927" s="215"/>
      <c r="C927" s="215"/>
    </row>
    <row r="928" spans="1:3" ht="13.2">
      <c r="A928" s="215"/>
      <c r="B928" s="215"/>
      <c r="C928" s="215"/>
    </row>
    <row r="929" spans="1:3" ht="13.2">
      <c r="A929" s="215"/>
      <c r="B929" s="215"/>
      <c r="C929" s="215"/>
    </row>
    <row r="930" spans="1:3" ht="13.2">
      <c r="A930" s="215"/>
      <c r="B930" s="215"/>
      <c r="C930" s="215"/>
    </row>
    <row r="931" spans="1:3" ht="13.2">
      <c r="A931" s="215"/>
      <c r="B931" s="215"/>
      <c r="C931" s="215"/>
    </row>
    <row r="932" spans="1:3" ht="13.2">
      <c r="A932" s="215"/>
      <c r="B932" s="215"/>
      <c r="C932" s="215"/>
    </row>
    <row r="933" spans="1:3" ht="13.2">
      <c r="A933" s="215"/>
      <c r="B933" s="215"/>
      <c r="C933" s="215"/>
    </row>
    <row r="934" spans="1:3" ht="13.2">
      <c r="A934" s="215"/>
      <c r="B934" s="215"/>
      <c r="C934" s="215"/>
    </row>
    <row r="935" spans="1:3" ht="13.2">
      <c r="A935" s="215"/>
      <c r="B935" s="215"/>
      <c r="C935" s="215"/>
    </row>
    <row r="936" spans="1:3" ht="13.2">
      <c r="A936" s="215"/>
      <c r="B936" s="215"/>
      <c r="C936" s="215"/>
    </row>
    <row r="937" spans="1:3" ht="13.2">
      <c r="A937" s="215"/>
      <c r="B937" s="215"/>
      <c r="C937" s="215"/>
    </row>
    <row r="938" spans="1:3" ht="13.2">
      <c r="A938" s="215"/>
      <c r="B938" s="215"/>
      <c r="C938" s="215"/>
    </row>
    <row r="939" spans="1:3" ht="13.2">
      <c r="A939" s="215"/>
      <c r="B939" s="215"/>
      <c r="C939" s="215"/>
    </row>
    <row r="940" spans="1:3" ht="13.2">
      <c r="A940" s="215"/>
      <c r="B940" s="215"/>
      <c r="C940" s="215"/>
    </row>
    <row r="941" spans="1:3" ht="13.2">
      <c r="A941" s="215"/>
      <c r="B941" s="215"/>
      <c r="C941" s="215"/>
    </row>
    <row r="942" spans="1:3" ht="13.2">
      <c r="A942" s="215"/>
      <c r="B942" s="215"/>
      <c r="C942" s="215"/>
    </row>
    <row r="943" spans="1:3" ht="13.2">
      <c r="A943" s="215"/>
      <c r="B943" s="215"/>
      <c r="C943" s="215"/>
    </row>
    <row r="944" spans="1:3" ht="13.2">
      <c r="A944" s="215"/>
      <c r="B944" s="215"/>
      <c r="C944" s="215"/>
    </row>
    <row r="945" spans="1:3" ht="13.2">
      <c r="A945" s="215"/>
      <c r="B945" s="215"/>
      <c r="C945" s="215"/>
    </row>
    <row r="946" spans="1:3" ht="13.2">
      <c r="A946" s="215"/>
      <c r="B946" s="215"/>
      <c r="C946" s="215"/>
    </row>
    <row r="947" spans="1:3" ht="13.2">
      <c r="A947" s="215"/>
      <c r="B947" s="215"/>
      <c r="C947" s="215"/>
    </row>
    <row r="948" spans="1:3" ht="13.2">
      <c r="A948" s="215"/>
      <c r="B948" s="215"/>
      <c r="C948" s="215"/>
    </row>
    <row r="949" spans="1:3" ht="13.2">
      <c r="A949" s="215"/>
      <c r="B949" s="215"/>
      <c r="C949" s="215"/>
    </row>
    <row r="950" spans="1:3" ht="13.2">
      <c r="A950" s="215"/>
      <c r="B950" s="215"/>
      <c r="C950" s="215"/>
    </row>
    <row r="951" spans="1:3" ht="13.2">
      <c r="A951" s="215"/>
      <c r="B951" s="215"/>
      <c r="C951" s="215"/>
    </row>
    <row r="952" spans="1:3" ht="13.2">
      <c r="A952" s="215"/>
      <c r="B952" s="215"/>
      <c r="C952" s="215"/>
    </row>
    <row r="953" spans="1:3" ht="13.2">
      <c r="A953" s="215"/>
      <c r="B953" s="215"/>
      <c r="C953" s="215"/>
    </row>
    <row r="954" spans="1:3" ht="13.2">
      <c r="A954" s="215"/>
      <c r="B954" s="215"/>
      <c r="C954" s="215"/>
    </row>
    <row r="955" spans="1:3" ht="13.2">
      <c r="A955" s="215"/>
      <c r="B955" s="215"/>
      <c r="C955" s="215"/>
    </row>
    <row r="956" spans="1:3" ht="13.2">
      <c r="A956" s="215"/>
      <c r="B956" s="215"/>
      <c r="C956" s="215"/>
    </row>
    <row r="957" spans="1:3" ht="13.2">
      <c r="A957" s="215"/>
      <c r="B957" s="215"/>
      <c r="C957" s="215"/>
    </row>
    <row r="958" spans="1:3" ht="13.2">
      <c r="A958" s="215"/>
      <c r="B958" s="215"/>
      <c r="C958" s="215"/>
    </row>
    <row r="959" spans="1:3" ht="13.2">
      <c r="A959" s="215"/>
      <c r="B959" s="215"/>
      <c r="C959" s="215"/>
    </row>
    <row r="960" spans="1:3" ht="13.2">
      <c r="A960" s="215"/>
      <c r="B960" s="215"/>
      <c r="C960" s="215"/>
    </row>
    <row r="961" spans="1:3" ht="13.2">
      <c r="A961" s="215"/>
      <c r="B961" s="215"/>
      <c r="C961" s="215"/>
    </row>
    <row r="962" spans="1:3" ht="13.2">
      <c r="A962" s="215"/>
      <c r="B962" s="215"/>
      <c r="C962" s="215"/>
    </row>
    <row r="963" spans="1:3" ht="13.2">
      <c r="A963" s="215"/>
      <c r="B963" s="215"/>
      <c r="C963" s="215"/>
    </row>
    <row r="964" spans="1:3" ht="13.2">
      <c r="A964" s="215"/>
      <c r="B964" s="215"/>
      <c r="C964" s="215"/>
    </row>
    <row r="965" spans="1:3" ht="13.2">
      <c r="A965" s="215"/>
      <c r="B965" s="215"/>
      <c r="C965" s="215"/>
    </row>
    <row r="966" spans="1:3" ht="13.2">
      <c r="A966" s="215"/>
      <c r="B966" s="215"/>
      <c r="C966" s="215"/>
    </row>
    <row r="967" spans="1:3" ht="13.2">
      <c r="A967" s="215"/>
      <c r="B967" s="215"/>
      <c r="C967" s="215"/>
    </row>
    <row r="968" spans="1:3" ht="13.2">
      <c r="A968" s="215"/>
      <c r="B968" s="215"/>
      <c r="C968" s="215"/>
    </row>
    <row r="969" spans="1:3" ht="13.2">
      <c r="A969" s="215"/>
      <c r="B969" s="215"/>
      <c r="C969" s="215"/>
    </row>
    <row r="970" spans="1:3" ht="13.2">
      <c r="A970" s="215"/>
      <c r="B970" s="215"/>
      <c r="C970" s="215"/>
    </row>
    <row r="971" spans="1:3" ht="13.2">
      <c r="A971" s="215"/>
      <c r="B971" s="215"/>
      <c r="C971" s="215"/>
    </row>
    <row r="972" spans="1:3" ht="13.2">
      <c r="A972" s="215"/>
      <c r="B972" s="215"/>
      <c r="C972" s="215"/>
    </row>
  </sheetData>
  <mergeCells count="2">
    <mergeCell ref="A10:B10"/>
    <mergeCell ref="A30:C3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E960"/>
  <sheetViews>
    <sheetView workbookViewId="0"/>
  </sheetViews>
  <sheetFormatPr defaultColWidth="12.6640625" defaultRowHeight="15.75" customHeight="1"/>
  <cols>
    <col min="1" max="1" width="2.88671875" customWidth="1"/>
    <col min="2" max="2" width="30.21875" customWidth="1"/>
    <col min="3" max="3" width="15.44140625" customWidth="1"/>
    <col min="4" max="4" width="7.88671875" hidden="1" customWidth="1"/>
    <col min="5" max="5" width="7.77734375" hidden="1" customWidth="1"/>
    <col min="6" max="6" width="8.109375" hidden="1" customWidth="1"/>
    <col min="7" max="7" width="8.21875" hidden="1" customWidth="1"/>
    <col min="8" max="8" width="7.77734375" hidden="1" customWidth="1"/>
    <col min="9" max="9" width="7.6640625" hidden="1" customWidth="1"/>
    <col min="10" max="10" width="7.77734375" hidden="1" customWidth="1"/>
    <col min="11" max="11" width="7.44140625" hidden="1" customWidth="1"/>
    <col min="12" max="12" width="7.88671875" hidden="1" customWidth="1"/>
    <col min="13" max="13" width="8.21875" hidden="1" customWidth="1"/>
    <col min="14" max="14" width="8.33203125" hidden="1" customWidth="1"/>
    <col min="15" max="15" width="7.88671875" hidden="1" customWidth="1"/>
    <col min="16" max="17" width="9" hidden="1" customWidth="1"/>
    <col min="18" max="20" width="12.6640625" hidden="1"/>
    <col min="21" max="27" width="12.109375" hidden="1" customWidth="1"/>
    <col min="28" max="31" width="12.109375" customWidth="1"/>
  </cols>
  <sheetData>
    <row r="1" spans="1:31" ht="13.2">
      <c r="A1" s="215"/>
      <c r="B1" s="215"/>
      <c r="C1" s="215"/>
    </row>
    <row r="2" spans="1:31" ht="22.2">
      <c r="A2" s="215"/>
      <c r="B2" s="216" t="s">
        <v>60</v>
      </c>
      <c r="C2" s="215"/>
    </row>
    <row r="3" spans="1:31" ht="17.399999999999999">
      <c r="A3" s="215"/>
      <c r="B3" s="217"/>
      <c r="C3" s="215"/>
    </row>
    <row r="4" spans="1:31" ht="15.6">
      <c r="B4" s="218" t="s">
        <v>363</v>
      </c>
      <c r="D4" s="215"/>
    </row>
    <row r="5" spans="1:31" ht="15.6">
      <c r="B5" s="219" t="s">
        <v>364</v>
      </c>
      <c r="D5" s="215"/>
    </row>
    <row r="6" spans="1:31" ht="15.6">
      <c r="B6" s="218" t="s">
        <v>365</v>
      </c>
      <c r="D6" s="215"/>
    </row>
    <row r="7" spans="1:31" ht="13.2">
      <c r="A7" s="215"/>
      <c r="B7" s="215"/>
      <c r="C7" s="215"/>
    </row>
    <row r="8" spans="1:31" ht="13.2">
      <c r="A8" s="215"/>
      <c r="B8" s="215"/>
      <c r="C8" s="215"/>
    </row>
    <row r="9" spans="1:31" ht="13.2">
      <c r="A9" s="215"/>
      <c r="C9" s="215"/>
    </row>
    <row r="10" spans="1:31" ht="13.2">
      <c r="A10" s="497" t="s">
        <v>366</v>
      </c>
      <c r="B10" s="498"/>
      <c r="C10" s="220" t="s">
        <v>54</v>
      </c>
      <c r="D10" s="221"/>
      <c r="E10" s="221"/>
      <c r="F10" s="221"/>
      <c r="G10" s="221"/>
      <c r="T10" s="91"/>
    </row>
    <row r="11" spans="1:31" ht="14.4">
      <c r="A11" s="222" t="s">
        <v>212</v>
      </c>
      <c r="B11" s="223" t="s">
        <v>232</v>
      </c>
      <c r="C11" s="222" t="s">
        <v>321</v>
      </c>
      <c r="D11" s="224">
        <v>45922</v>
      </c>
      <c r="E11" s="224">
        <v>45929</v>
      </c>
      <c r="F11" s="224">
        <v>45936</v>
      </c>
      <c r="G11" s="224">
        <v>45943</v>
      </c>
      <c r="H11" s="225">
        <v>45950</v>
      </c>
      <c r="I11" s="197">
        <v>45964</v>
      </c>
      <c r="J11" s="225">
        <v>45971</v>
      </c>
      <c r="K11" s="225">
        <v>45978</v>
      </c>
      <c r="L11" s="225">
        <v>45985</v>
      </c>
      <c r="M11" s="225">
        <v>45992</v>
      </c>
      <c r="N11" s="197">
        <v>45999</v>
      </c>
      <c r="O11" s="225">
        <v>46006</v>
      </c>
      <c r="P11" s="226">
        <v>46013</v>
      </c>
      <c r="Q11" s="227">
        <v>46049</v>
      </c>
      <c r="R11" s="228">
        <v>46057</v>
      </c>
      <c r="S11" s="228">
        <v>46064</v>
      </c>
      <c r="T11" s="249">
        <v>46071</v>
      </c>
      <c r="U11" s="228">
        <v>37312</v>
      </c>
      <c r="V11" s="230">
        <v>46085</v>
      </c>
      <c r="W11" s="230">
        <v>46092</v>
      </c>
      <c r="X11" s="230">
        <v>46098</v>
      </c>
      <c r="Y11" s="230">
        <v>46105</v>
      </c>
      <c r="Z11" s="230">
        <v>46112</v>
      </c>
      <c r="AB11" s="171"/>
      <c r="AC11" s="171"/>
      <c r="AD11" s="171"/>
      <c r="AE11" s="171"/>
    </row>
    <row r="12" spans="1:31" ht="13.2">
      <c r="A12" s="236">
        <v>1</v>
      </c>
      <c r="B12" s="250" t="s">
        <v>367</v>
      </c>
      <c r="C12" s="250" t="s">
        <v>368</v>
      </c>
      <c r="D12" s="239"/>
      <c r="E12" s="239"/>
      <c r="F12" s="239"/>
      <c r="G12" s="239"/>
      <c r="H12" s="251"/>
      <c r="I12" s="239"/>
      <c r="J12" s="239"/>
      <c r="K12" s="239"/>
      <c r="L12" s="239"/>
      <c r="M12" s="239"/>
      <c r="N12" s="239"/>
      <c r="O12" s="239"/>
      <c r="P12" s="239"/>
      <c r="Q12" s="239"/>
      <c r="R12" s="140">
        <v>1</v>
      </c>
      <c r="S12" s="140"/>
      <c r="T12" s="140">
        <v>1</v>
      </c>
      <c r="U12" s="140">
        <v>1</v>
      </c>
      <c r="V12" s="140">
        <v>1</v>
      </c>
      <c r="W12" s="140">
        <v>1</v>
      </c>
      <c r="X12" s="140"/>
      <c r="Y12" s="140"/>
      <c r="Z12" s="140"/>
      <c r="AA12" s="91"/>
      <c r="AB12" s="138"/>
      <c r="AC12" s="138"/>
      <c r="AD12" s="138"/>
      <c r="AE12" s="138"/>
    </row>
    <row r="13" spans="1:31" ht="13.2">
      <c r="A13" s="236">
        <v>2</v>
      </c>
      <c r="B13" s="250" t="s">
        <v>369</v>
      </c>
      <c r="C13" s="250" t="s">
        <v>370</v>
      </c>
      <c r="D13" s="239"/>
      <c r="E13" s="239"/>
      <c r="F13" s="239"/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140">
        <v>1</v>
      </c>
      <c r="R13" s="140">
        <v>1</v>
      </c>
      <c r="S13" s="140">
        <v>1</v>
      </c>
      <c r="T13" s="140">
        <v>1</v>
      </c>
      <c r="U13" s="140">
        <v>1</v>
      </c>
      <c r="V13" s="140">
        <v>1</v>
      </c>
      <c r="W13" s="140"/>
      <c r="X13" s="140" t="s">
        <v>160</v>
      </c>
      <c r="Y13" s="140" t="s">
        <v>160</v>
      </c>
      <c r="Z13" s="140"/>
      <c r="AA13" s="138"/>
      <c r="AB13" s="138"/>
      <c r="AC13" s="138"/>
      <c r="AD13" s="138"/>
      <c r="AE13" s="138"/>
    </row>
    <row r="14" spans="1:31" ht="13.2">
      <c r="A14" s="236">
        <v>3</v>
      </c>
      <c r="B14" s="234" t="s">
        <v>371</v>
      </c>
      <c r="C14" s="234" t="s">
        <v>372</v>
      </c>
      <c r="D14" s="140">
        <v>1</v>
      </c>
      <c r="E14" s="140">
        <v>1</v>
      </c>
      <c r="F14" s="138"/>
      <c r="G14" s="140"/>
      <c r="H14" s="140">
        <v>1</v>
      </c>
      <c r="I14" s="235">
        <v>1</v>
      </c>
      <c r="J14" s="140">
        <v>1</v>
      </c>
      <c r="K14" s="140">
        <v>1</v>
      </c>
      <c r="L14" s="91" t="s">
        <v>325</v>
      </c>
      <c r="M14" s="91"/>
      <c r="N14" s="91"/>
      <c r="O14" s="91"/>
      <c r="P14" s="91"/>
      <c r="Q14" s="239"/>
      <c r="R14" s="140">
        <v>1</v>
      </c>
      <c r="S14" s="140"/>
      <c r="T14" s="140">
        <v>1</v>
      </c>
      <c r="U14" s="140">
        <v>1</v>
      </c>
      <c r="V14" s="140">
        <v>1</v>
      </c>
      <c r="W14" s="140">
        <v>1</v>
      </c>
      <c r="X14" s="140"/>
      <c r="Y14" s="140"/>
      <c r="Z14" s="140"/>
      <c r="AA14" s="138"/>
      <c r="AB14" s="138"/>
      <c r="AC14" s="138"/>
      <c r="AD14" s="138"/>
      <c r="AE14" s="138"/>
    </row>
    <row r="15" spans="1:31" ht="13.2">
      <c r="A15" s="236">
        <v>4</v>
      </c>
      <c r="B15" s="234" t="s">
        <v>373</v>
      </c>
      <c r="C15" s="234" t="s">
        <v>374</v>
      </c>
      <c r="D15" s="140">
        <v>1</v>
      </c>
      <c r="E15" s="140">
        <v>1</v>
      </c>
      <c r="F15" s="140">
        <v>1</v>
      </c>
      <c r="G15" s="140">
        <v>1</v>
      </c>
      <c r="H15" s="138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140">
        <v>1</v>
      </c>
      <c r="U15" s="140">
        <v>1</v>
      </c>
      <c r="V15" s="140">
        <v>1</v>
      </c>
      <c r="W15" s="140">
        <v>1</v>
      </c>
      <c r="X15" s="140"/>
      <c r="Y15" s="140"/>
      <c r="Z15" s="140"/>
      <c r="AA15" s="140"/>
      <c r="AB15" s="138"/>
      <c r="AC15" s="138"/>
      <c r="AD15" s="138"/>
      <c r="AE15" s="138"/>
    </row>
    <row r="16" spans="1:31" ht="13.2">
      <c r="A16" s="236">
        <v>5</v>
      </c>
      <c r="B16" s="250" t="s">
        <v>375</v>
      </c>
      <c r="C16" s="250"/>
      <c r="D16" s="239"/>
      <c r="E16" s="239"/>
      <c r="F16" s="239"/>
      <c r="G16" s="239"/>
      <c r="H16" s="251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140"/>
      <c r="V16" s="140">
        <v>1</v>
      </c>
      <c r="W16" s="140"/>
      <c r="X16" s="140"/>
      <c r="Y16" s="140"/>
      <c r="Z16" s="140"/>
      <c r="AA16" s="91"/>
      <c r="AB16" s="138"/>
      <c r="AC16" s="138"/>
      <c r="AD16" s="138"/>
      <c r="AE16" s="138"/>
    </row>
    <row r="17" spans="1:31" ht="14.4">
      <c r="A17" s="240"/>
      <c r="B17" s="215"/>
      <c r="C17" s="215"/>
      <c r="G17" s="91" t="s">
        <v>340</v>
      </c>
      <c r="H17" s="91" t="e">
        <f>SUM(#REF!)</f>
        <v>#REF!</v>
      </c>
      <c r="L17" s="85">
        <f>SUM(I16:L16)</f>
        <v>0</v>
      </c>
      <c r="N17" s="91" t="s">
        <v>340</v>
      </c>
      <c r="O17" s="91">
        <f>SUM(M16:P16)</f>
        <v>0</v>
      </c>
      <c r="V17" s="85">
        <v>5</v>
      </c>
      <c r="W17" s="85">
        <v>3</v>
      </c>
      <c r="AB17" s="100"/>
      <c r="AC17" s="100"/>
      <c r="AD17" s="100"/>
      <c r="AE17" s="100"/>
    </row>
    <row r="18" spans="1:31" ht="14.4">
      <c r="A18" s="240"/>
      <c r="B18" s="215"/>
      <c r="C18" s="215"/>
      <c r="AB18" s="100"/>
      <c r="AC18" s="100"/>
      <c r="AD18" s="100"/>
      <c r="AE18" s="100"/>
    </row>
    <row r="19" spans="1:31" ht="13.2">
      <c r="A19" s="497" t="s">
        <v>376</v>
      </c>
      <c r="B19" s="498"/>
      <c r="C19" s="498"/>
      <c r="X19" s="85" t="s">
        <v>377</v>
      </c>
      <c r="AB19" s="100"/>
      <c r="AC19" s="100"/>
      <c r="AD19" s="100"/>
      <c r="AE19" s="100"/>
    </row>
    <row r="20" spans="1:31" ht="14.4">
      <c r="A20" s="222" t="s">
        <v>212</v>
      </c>
      <c r="B20" s="223" t="s">
        <v>232</v>
      </c>
      <c r="C20" s="222" t="s">
        <v>321</v>
      </c>
      <c r="D20" s="224">
        <v>45918</v>
      </c>
      <c r="E20" s="224">
        <v>45925</v>
      </c>
      <c r="F20" s="224">
        <v>45932</v>
      </c>
      <c r="G20" s="224">
        <v>45939</v>
      </c>
      <c r="H20" s="224">
        <v>45946</v>
      </c>
      <c r="I20" s="225">
        <v>45950</v>
      </c>
      <c r="J20" s="197">
        <v>45967</v>
      </c>
      <c r="K20" s="225">
        <v>45974</v>
      </c>
      <c r="L20" s="226">
        <v>45981</v>
      </c>
      <c r="M20" s="226">
        <v>45988</v>
      </c>
      <c r="N20" s="228">
        <v>45995</v>
      </c>
      <c r="O20" s="226">
        <v>46002</v>
      </c>
      <c r="P20" s="227">
        <v>46009</v>
      </c>
      <c r="Q20" s="227">
        <v>46049</v>
      </c>
      <c r="R20" s="228">
        <v>46056</v>
      </c>
      <c r="S20" s="228">
        <v>46063</v>
      </c>
      <c r="T20" s="228">
        <v>46070</v>
      </c>
      <c r="U20" s="228">
        <v>46077</v>
      </c>
      <c r="V20" s="228">
        <v>46084</v>
      </c>
      <c r="W20" s="228">
        <v>46091</v>
      </c>
      <c r="X20" s="228">
        <v>46098</v>
      </c>
      <c r="Y20" s="91">
        <v>30.03</v>
      </c>
      <c r="Z20" s="91">
        <v>31.03</v>
      </c>
      <c r="AA20" s="228"/>
      <c r="AB20" s="197"/>
      <c r="AC20" s="197"/>
      <c r="AD20" s="197"/>
      <c r="AE20" s="197"/>
    </row>
    <row r="21" spans="1:31" ht="14.4">
      <c r="A21" s="233"/>
      <c r="B21" s="215"/>
      <c r="C21" s="234"/>
      <c r="D21" s="140"/>
      <c r="E21" s="140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AB21" s="138"/>
      <c r="AC21" s="138"/>
      <c r="AD21" s="138"/>
      <c r="AE21" s="138"/>
    </row>
    <row r="22" spans="1:31" ht="14.4">
      <c r="A22" s="160">
        <v>1</v>
      </c>
      <c r="B22" s="250" t="s">
        <v>378</v>
      </c>
      <c r="C22" s="250" t="s">
        <v>379</v>
      </c>
      <c r="D22" s="239"/>
      <c r="E22" s="239"/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140">
        <v>1</v>
      </c>
      <c r="R22" s="140"/>
      <c r="S22" s="140">
        <v>1</v>
      </c>
      <c r="T22" s="140">
        <v>1</v>
      </c>
      <c r="U22" s="235">
        <v>1</v>
      </c>
      <c r="V22" s="140">
        <v>1</v>
      </c>
      <c r="W22" s="140">
        <v>1</v>
      </c>
      <c r="X22" s="140">
        <v>1</v>
      </c>
      <c r="Y22" s="140"/>
      <c r="Z22" s="140"/>
      <c r="AA22" s="91"/>
      <c r="AB22" s="138"/>
      <c r="AC22" s="138"/>
      <c r="AD22" s="138"/>
      <c r="AE22" s="138"/>
    </row>
    <row r="23" spans="1:31" ht="14.4" hidden="1">
      <c r="A23" s="160"/>
      <c r="B23" s="250"/>
      <c r="C23" s="250"/>
      <c r="D23" s="239"/>
      <c r="E23" s="239"/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91"/>
      <c r="W23" s="91"/>
      <c r="X23" s="91"/>
      <c r="Y23" s="91"/>
      <c r="Z23" s="91"/>
      <c r="AA23" s="91"/>
      <c r="AB23" s="138"/>
      <c r="AC23" s="138"/>
      <c r="AD23" s="138"/>
      <c r="AE23" s="138"/>
    </row>
    <row r="24" spans="1:31" ht="14.4" hidden="1">
      <c r="A24" s="160"/>
      <c r="B24" s="250"/>
      <c r="C24" s="250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91"/>
      <c r="W24" s="91"/>
      <c r="X24" s="91"/>
      <c r="Y24" s="91"/>
      <c r="Z24" s="91"/>
      <c r="AA24" s="91"/>
      <c r="AB24" s="138"/>
      <c r="AC24" s="138"/>
      <c r="AD24" s="138"/>
      <c r="AE24" s="138"/>
    </row>
    <row r="25" spans="1:31" ht="14.4">
      <c r="A25" s="160">
        <v>2</v>
      </c>
      <c r="B25" s="250" t="s">
        <v>380</v>
      </c>
      <c r="C25" s="250" t="s">
        <v>381</v>
      </c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140">
        <v>1</v>
      </c>
      <c r="R25" s="140">
        <v>1</v>
      </c>
      <c r="S25" s="140">
        <v>1</v>
      </c>
      <c r="T25" s="140">
        <v>1</v>
      </c>
      <c r="U25" s="140">
        <v>1</v>
      </c>
      <c r="V25" s="140">
        <v>1</v>
      </c>
      <c r="W25" s="140">
        <v>1</v>
      </c>
      <c r="X25" s="140">
        <v>1</v>
      </c>
      <c r="Y25" s="140">
        <v>1</v>
      </c>
      <c r="Z25" s="140">
        <v>1</v>
      </c>
      <c r="AA25" s="140"/>
      <c r="AB25" s="138"/>
      <c r="AC25" s="138"/>
      <c r="AD25" s="138"/>
      <c r="AE25" s="138"/>
    </row>
    <row r="26" spans="1:31" ht="14.4">
      <c r="A26" s="160">
        <v>3</v>
      </c>
      <c r="B26" s="250" t="s">
        <v>382</v>
      </c>
      <c r="C26" s="250" t="s">
        <v>383</v>
      </c>
      <c r="D26" s="239"/>
      <c r="E26" s="239"/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140">
        <v>1</v>
      </c>
      <c r="R26" s="140">
        <v>1</v>
      </c>
      <c r="S26" s="140">
        <v>1</v>
      </c>
      <c r="T26" s="140"/>
      <c r="U26" s="235"/>
      <c r="V26" s="91"/>
      <c r="W26" s="91"/>
      <c r="X26" s="91"/>
      <c r="Y26" s="91"/>
      <c r="Z26" s="91"/>
      <c r="AA26" s="91"/>
      <c r="AB26" s="138"/>
      <c r="AC26" s="138"/>
      <c r="AD26" s="138"/>
      <c r="AE26" s="138"/>
    </row>
    <row r="27" spans="1:31" ht="14.4">
      <c r="A27" s="160">
        <v>4</v>
      </c>
      <c r="B27" s="250" t="s">
        <v>384</v>
      </c>
      <c r="C27" s="250" t="s">
        <v>385</v>
      </c>
      <c r="D27" s="239"/>
      <c r="E27" s="239"/>
      <c r="F27" s="239"/>
      <c r="G27" s="239"/>
      <c r="H27" s="239"/>
      <c r="I27" s="239"/>
      <c r="J27" s="239"/>
      <c r="K27" s="239"/>
      <c r="L27" s="239"/>
      <c r="M27" s="239"/>
      <c r="N27" s="239"/>
      <c r="O27" s="239"/>
      <c r="P27" s="239"/>
      <c r="Q27" s="140">
        <v>1</v>
      </c>
      <c r="R27" s="140"/>
      <c r="S27" s="140">
        <v>1</v>
      </c>
      <c r="T27" s="140">
        <v>1</v>
      </c>
      <c r="U27" s="235">
        <v>1</v>
      </c>
      <c r="V27" s="140">
        <v>1</v>
      </c>
      <c r="W27" s="140">
        <v>1</v>
      </c>
      <c r="X27" s="140">
        <v>1</v>
      </c>
      <c r="Y27" s="140"/>
      <c r="Z27" s="140"/>
      <c r="AA27" s="140"/>
      <c r="AB27" s="138"/>
      <c r="AC27" s="138"/>
      <c r="AD27" s="138"/>
      <c r="AE27" s="138"/>
    </row>
    <row r="28" spans="1:31" ht="14.4" hidden="1">
      <c r="A28" s="160"/>
      <c r="B28" s="250"/>
      <c r="C28" s="250"/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91"/>
      <c r="W28" s="91"/>
      <c r="X28" s="91"/>
      <c r="Y28" s="91"/>
      <c r="Z28" s="91"/>
      <c r="AA28" s="91"/>
      <c r="AB28" s="138"/>
      <c r="AC28" s="138"/>
      <c r="AD28" s="138"/>
      <c r="AE28" s="138"/>
    </row>
    <row r="29" spans="1:31" ht="14.4">
      <c r="A29" s="160">
        <v>5</v>
      </c>
      <c r="B29" s="250" t="s">
        <v>386</v>
      </c>
      <c r="C29" s="250" t="s">
        <v>387</v>
      </c>
      <c r="D29" s="239"/>
      <c r="E29" s="239"/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140">
        <v>1</v>
      </c>
      <c r="R29" s="140">
        <v>1</v>
      </c>
      <c r="S29" s="140">
        <v>1</v>
      </c>
      <c r="T29" s="140">
        <v>1</v>
      </c>
      <c r="U29" s="140">
        <v>1</v>
      </c>
      <c r="V29" s="140">
        <v>1</v>
      </c>
      <c r="W29" s="140">
        <v>1</v>
      </c>
      <c r="X29" s="140">
        <v>1</v>
      </c>
      <c r="Y29" s="140"/>
      <c r="Z29" s="140">
        <v>1</v>
      </c>
      <c r="AA29" s="140"/>
      <c r="AB29" s="138"/>
      <c r="AC29" s="138"/>
      <c r="AD29" s="138"/>
      <c r="AE29" s="138"/>
    </row>
    <row r="30" spans="1:31" ht="14.4" hidden="1">
      <c r="A30" s="160"/>
      <c r="B30" s="250"/>
      <c r="C30" s="250"/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91"/>
      <c r="W30" s="91"/>
      <c r="X30" s="91"/>
      <c r="Y30" s="91"/>
      <c r="Z30" s="91"/>
      <c r="AA30" s="91"/>
      <c r="AB30" s="138"/>
      <c r="AC30" s="138"/>
      <c r="AD30" s="138"/>
      <c r="AE30" s="138"/>
    </row>
    <row r="31" spans="1:31" ht="14.4">
      <c r="A31" s="160">
        <v>6</v>
      </c>
      <c r="B31" s="250" t="s">
        <v>388</v>
      </c>
      <c r="C31" s="250" t="s">
        <v>389</v>
      </c>
      <c r="Q31" s="140">
        <v>1</v>
      </c>
      <c r="R31" s="140">
        <v>1</v>
      </c>
      <c r="S31" s="140">
        <v>1</v>
      </c>
      <c r="T31" s="140"/>
      <c r="U31" s="235">
        <v>1</v>
      </c>
      <c r="V31" s="91"/>
      <c r="W31" s="91"/>
      <c r="X31" s="91"/>
      <c r="Y31" s="91"/>
      <c r="Z31" s="91"/>
      <c r="AA31" s="91"/>
      <c r="AB31" s="138"/>
      <c r="AC31" s="138"/>
      <c r="AD31" s="138"/>
      <c r="AE31" s="138"/>
    </row>
    <row r="32" spans="1:31" ht="14.4" hidden="1">
      <c r="A32" s="160"/>
      <c r="B32" s="250"/>
      <c r="C32" s="250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91"/>
      <c r="W32" s="91"/>
      <c r="X32" s="91"/>
      <c r="Y32" s="91"/>
      <c r="Z32" s="91"/>
      <c r="AA32" s="91"/>
      <c r="AB32" s="138"/>
      <c r="AC32" s="138"/>
      <c r="AD32" s="138"/>
      <c r="AE32" s="138"/>
    </row>
    <row r="33" spans="1:31" ht="14.4">
      <c r="A33" s="160">
        <v>7</v>
      </c>
      <c r="B33" s="250" t="s">
        <v>390</v>
      </c>
      <c r="C33" s="250" t="s">
        <v>391</v>
      </c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140">
        <v>1</v>
      </c>
      <c r="R33" s="140">
        <v>1</v>
      </c>
      <c r="S33" s="140">
        <v>1</v>
      </c>
      <c r="T33" s="140"/>
      <c r="U33" s="235">
        <v>1</v>
      </c>
      <c r="V33" s="140">
        <v>1</v>
      </c>
      <c r="W33" s="140">
        <v>1</v>
      </c>
      <c r="X33" s="140">
        <v>1</v>
      </c>
      <c r="Y33" s="140"/>
      <c r="Z33" s="140">
        <v>1</v>
      </c>
      <c r="AA33" s="140"/>
      <c r="AB33" s="138"/>
      <c r="AC33" s="138"/>
      <c r="AD33" s="138"/>
      <c r="AE33" s="138"/>
    </row>
    <row r="34" spans="1:31" ht="14.4">
      <c r="A34" s="160">
        <v>8</v>
      </c>
      <c r="B34" s="250" t="s">
        <v>392</v>
      </c>
      <c r="C34" s="250" t="s">
        <v>393</v>
      </c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140">
        <v>1</v>
      </c>
      <c r="R34" s="140">
        <v>1</v>
      </c>
      <c r="S34" s="140">
        <v>1</v>
      </c>
      <c r="T34" s="140">
        <v>1</v>
      </c>
      <c r="U34" s="239"/>
      <c r="V34" s="91"/>
      <c r="W34" s="91"/>
      <c r="X34" s="91"/>
      <c r="Y34" s="91"/>
      <c r="Z34" s="91"/>
      <c r="AA34" s="91"/>
      <c r="AB34" s="138"/>
      <c r="AC34" s="138"/>
      <c r="AD34" s="138"/>
      <c r="AE34" s="138"/>
    </row>
    <row r="35" spans="1:31" ht="14.4">
      <c r="A35" s="160">
        <v>9</v>
      </c>
      <c r="B35" s="250" t="s">
        <v>394</v>
      </c>
      <c r="C35" s="250" t="s">
        <v>395</v>
      </c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140">
        <v>1</v>
      </c>
      <c r="R35" s="140">
        <v>1</v>
      </c>
      <c r="S35" s="140">
        <v>1</v>
      </c>
      <c r="T35" s="140"/>
      <c r="U35" s="235">
        <v>1</v>
      </c>
      <c r="V35" s="140">
        <v>1</v>
      </c>
      <c r="W35" s="140">
        <v>1</v>
      </c>
      <c r="X35" s="91"/>
      <c r="Y35" s="91"/>
      <c r="Z35" s="91"/>
      <c r="AA35" s="91"/>
      <c r="AB35" s="138"/>
      <c r="AC35" s="138"/>
      <c r="AD35" s="138"/>
      <c r="AE35" s="138"/>
    </row>
    <row r="36" spans="1:31" ht="14.4">
      <c r="A36" s="160">
        <v>10</v>
      </c>
      <c r="B36" s="250" t="s">
        <v>396</v>
      </c>
      <c r="C36" s="250" t="s">
        <v>397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140">
        <v>1</v>
      </c>
      <c r="R36" s="140">
        <v>1</v>
      </c>
      <c r="S36" s="140">
        <v>1</v>
      </c>
      <c r="T36" s="140">
        <v>1</v>
      </c>
      <c r="U36" s="239"/>
      <c r="V36" s="91"/>
      <c r="W36" s="91"/>
      <c r="X36" s="91"/>
      <c r="Y36" s="91"/>
      <c r="Z36" s="91"/>
      <c r="AA36" s="91"/>
      <c r="AB36" s="138"/>
      <c r="AC36" s="138"/>
      <c r="AD36" s="138"/>
      <c r="AE36" s="138"/>
    </row>
    <row r="37" spans="1:31" ht="13.2">
      <c r="A37" s="236">
        <v>11</v>
      </c>
      <c r="B37" s="250" t="s">
        <v>398</v>
      </c>
      <c r="C37" s="250" t="s">
        <v>399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140">
        <v>1</v>
      </c>
      <c r="R37" s="140">
        <v>1</v>
      </c>
      <c r="S37" s="140">
        <v>1</v>
      </c>
      <c r="T37" s="140">
        <v>1</v>
      </c>
      <c r="U37" s="140">
        <v>1</v>
      </c>
      <c r="V37" s="140">
        <v>1</v>
      </c>
      <c r="W37" s="140"/>
      <c r="X37" s="140">
        <v>1</v>
      </c>
      <c r="Y37" s="140"/>
      <c r="Z37" s="140"/>
      <c r="AA37" s="140"/>
      <c r="AB37" s="138"/>
      <c r="AC37" s="138"/>
      <c r="AD37" s="138"/>
      <c r="AE37" s="138"/>
    </row>
    <row r="38" spans="1:31" ht="13.2">
      <c r="A38" s="236">
        <v>12</v>
      </c>
      <c r="B38" s="250" t="s">
        <v>400</v>
      </c>
      <c r="C38" s="250" t="s">
        <v>401</v>
      </c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140">
        <v>1</v>
      </c>
      <c r="R38" s="140">
        <v>1</v>
      </c>
      <c r="S38" s="140"/>
      <c r="T38" s="140"/>
      <c r="U38" s="235"/>
      <c r="V38" s="235"/>
      <c r="W38" s="91"/>
      <c r="X38" s="91"/>
      <c r="Y38" s="91"/>
      <c r="Z38" s="91"/>
      <c r="AA38" s="91"/>
      <c r="AB38" s="138"/>
      <c r="AC38" s="138"/>
      <c r="AD38" s="138"/>
      <c r="AE38" s="138"/>
    </row>
    <row r="39" spans="1:31" ht="13.2">
      <c r="A39" s="236">
        <v>13</v>
      </c>
      <c r="B39" s="250" t="s">
        <v>402</v>
      </c>
      <c r="C39" s="250" t="s">
        <v>403</v>
      </c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140">
        <v>1</v>
      </c>
      <c r="R39" s="140">
        <v>1</v>
      </c>
      <c r="S39" s="140">
        <v>1</v>
      </c>
      <c r="T39" s="140"/>
      <c r="U39" s="235">
        <v>1</v>
      </c>
      <c r="V39" s="140">
        <v>1</v>
      </c>
      <c r="W39" s="140">
        <v>1</v>
      </c>
      <c r="X39" s="140">
        <v>1</v>
      </c>
      <c r="Y39" s="91"/>
      <c r="Z39" s="140">
        <v>1</v>
      </c>
      <c r="AA39" s="91"/>
      <c r="AB39" s="138"/>
      <c r="AC39" s="138"/>
      <c r="AD39" s="138"/>
      <c r="AE39" s="138"/>
    </row>
    <row r="40" spans="1:31" ht="13.2">
      <c r="A40" s="236">
        <v>14</v>
      </c>
      <c r="B40" s="250" t="s">
        <v>404</v>
      </c>
      <c r="C40" s="250" t="s">
        <v>405</v>
      </c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140">
        <v>1</v>
      </c>
      <c r="R40" s="140">
        <v>1</v>
      </c>
      <c r="S40" s="140">
        <v>1</v>
      </c>
      <c r="T40" s="140">
        <v>1</v>
      </c>
      <c r="U40" s="140">
        <v>1</v>
      </c>
      <c r="V40" s="140">
        <v>1</v>
      </c>
      <c r="W40" s="140">
        <v>1</v>
      </c>
      <c r="X40" s="140">
        <v>1</v>
      </c>
      <c r="Y40" s="140"/>
      <c r="Z40" s="140">
        <v>1</v>
      </c>
      <c r="AA40" s="140"/>
      <c r="AB40" s="138"/>
      <c r="AC40" s="138"/>
      <c r="AD40" s="138"/>
      <c r="AE40" s="138"/>
    </row>
    <row r="41" spans="1:31" ht="13.2" hidden="1">
      <c r="A41" s="236">
        <v>15</v>
      </c>
      <c r="B41" s="242" t="s">
        <v>406</v>
      </c>
      <c r="C41" s="250" t="s">
        <v>407</v>
      </c>
      <c r="Q41" s="140">
        <v>1</v>
      </c>
      <c r="R41" s="239"/>
      <c r="S41" s="239"/>
      <c r="T41" s="239"/>
      <c r="U41" s="91"/>
      <c r="V41" s="91"/>
      <c r="W41" s="91"/>
      <c r="X41" s="91"/>
      <c r="Y41" s="91"/>
      <c r="Z41" s="91"/>
      <c r="AA41" s="91"/>
      <c r="AB41" s="138"/>
      <c r="AC41" s="138"/>
      <c r="AD41" s="138"/>
      <c r="AE41" s="138"/>
    </row>
    <row r="42" spans="1:31" ht="13.2">
      <c r="A42" s="236">
        <v>16</v>
      </c>
      <c r="B42" s="250" t="s">
        <v>408</v>
      </c>
      <c r="C42" s="250" t="s">
        <v>409</v>
      </c>
      <c r="Q42" s="140">
        <v>1</v>
      </c>
      <c r="R42" s="140">
        <v>1</v>
      </c>
      <c r="S42" s="140">
        <v>1</v>
      </c>
      <c r="T42" s="140"/>
      <c r="U42" s="235">
        <v>1</v>
      </c>
      <c r="V42" s="140">
        <v>1</v>
      </c>
      <c r="W42" s="91"/>
      <c r="X42" s="91"/>
      <c r="Y42" s="91"/>
      <c r="Z42" s="91"/>
      <c r="AA42" s="91"/>
      <c r="AB42" s="138"/>
      <c r="AC42" s="138"/>
      <c r="AD42" s="138"/>
      <c r="AE42" s="138"/>
    </row>
    <row r="43" spans="1:31" ht="13.2">
      <c r="A43" s="236">
        <v>17</v>
      </c>
      <c r="B43" s="250" t="s">
        <v>410</v>
      </c>
      <c r="C43" s="250" t="s">
        <v>403</v>
      </c>
      <c r="D43" s="239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140">
        <v>1</v>
      </c>
      <c r="R43" s="140">
        <v>1</v>
      </c>
      <c r="S43" s="140"/>
      <c r="T43" s="140">
        <v>1</v>
      </c>
      <c r="U43" s="235">
        <v>1</v>
      </c>
      <c r="V43" s="140">
        <v>1</v>
      </c>
      <c r="W43" s="140">
        <v>1</v>
      </c>
      <c r="X43" s="140">
        <v>1</v>
      </c>
      <c r="Y43" s="91"/>
      <c r="Z43" s="140">
        <v>1</v>
      </c>
      <c r="AA43" s="91"/>
      <c r="AB43" s="138"/>
      <c r="AC43" s="138"/>
      <c r="AD43" s="138"/>
      <c r="AE43" s="138"/>
    </row>
    <row r="44" spans="1:31" ht="13.2">
      <c r="A44" s="252">
        <v>18</v>
      </c>
      <c r="B44" s="250" t="s">
        <v>411</v>
      </c>
      <c r="C44" s="250" t="s">
        <v>412</v>
      </c>
      <c r="D44" s="239"/>
      <c r="E44" s="239"/>
      <c r="F44" s="239"/>
      <c r="G44" s="239"/>
      <c r="H44" s="251"/>
      <c r="I44" s="239"/>
      <c r="J44" s="239"/>
      <c r="K44" s="239"/>
      <c r="L44" s="239"/>
      <c r="M44" s="239"/>
      <c r="N44" s="239"/>
      <c r="O44" s="239"/>
      <c r="P44" s="239"/>
      <c r="Q44" s="140">
        <v>1</v>
      </c>
      <c r="R44" s="140"/>
      <c r="S44" s="140"/>
      <c r="T44" s="140"/>
      <c r="U44" s="91"/>
      <c r="V44" s="91"/>
      <c r="W44" s="91"/>
      <c r="X44" s="91"/>
      <c r="Y44" s="91"/>
      <c r="Z44" s="91"/>
      <c r="AA44" s="91"/>
      <c r="AB44" s="138"/>
      <c r="AC44" s="138"/>
      <c r="AD44" s="138"/>
      <c r="AE44" s="138"/>
    </row>
    <row r="45" spans="1:31" ht="13.2">
      <c r="A45" s="253">
        <v>19</v>
      </c>
      <c r="B45" s="250" t="s">
        <v>413</v>
      </c>
      <c r="C45" s="250" t="s">
        <v>414</v>
      </c>
      <c r="Q45" s="234"/>
      <c r="R45" s="202">
        <v>1</v>
      </c>
      <c r="S45" s="202">
        <v>1</v>
      </c>
      <c r="T45" s="91"/>
      <c r="U45" s="91">
        <v>1</v>
      </c>
      <c r="V45" s="91">
        <v>1</v>
      </c>
      <c r="W45" s="91">
        <v>1</v>
      </c>
      <c r="X45" s="91"/>
      <c r="Y45" s="91"/>
      <c r="Z45" s="91"/>
      <c r="AA45" s="91"/>
      <c r="AB45" s="138"/>
      <c r="AC45" s="138"/>
      <c r="AD45" s="138"/>
      <c r="AE45" s="138"/>
    </row>
    <row r="46" spans="1:31" ht="13.2">
      <c r="A46" s="215"/>
      <c r="B46" s="250"/>
      <c r="C46" s="250"/>
      <c r="Q46" s="215"/>
      <c r="R46" s="254"/>
      <c r="S46" s="255"/>
      <c r="V46" s="91"/>
      <c r="W46" s="91"/>
      <c r="X46" s="91"/>
      <c r="Y46" s="91"/>
      <c r="Z46" s="91"/>
      <c r="AA46" s="91"/>
      <c r="AB46" s="138"/>
      <c r="AC46" s="138"/>
      <c r="AD46" s="138"/>
      <c r="AE46" s="138"/>
    </row>
    <row r="47" spans="1:31" ht="13.2">
      <c r="A47" s="215"/>
      <c r="B47" s="250"/>
      <c r="C47" s="256"/>
      <c r="Q47" s="215"/>
      <c r="R47" s="254">
        <f t="shared" ref="R47:U47" si="0">SUM(R22:R45)</f>
        <v>15</v>
      </c>
      <c r="S47" s="254">
        <f t="shared" si="0"/>
        <v>15</v>
      </c>
      <c r="T47" s="254">
        <f t="shared" si="0"/>
        <v>9</v>
      </c>
      <c r="U47" s="254">
        <f t="shared" si="0"/>
        <v>13</v>
      </c>
      <c r="V47" s="91">
        <v>12</v>
      </c>
      <c r="W47" s="91">
        <v>10</v>
      </c>
      <c r="X47" s="91">
        <v>9</v>
      </c>
      <c r="Y47" s="91">
        <v>1</v>
      </c>
      <c r="Z47" s="91"/>
      <c r="AA47" s="91"/>
      <c r="AB47" s="138"/>
      <c r="AC47" s="138"/>
      <c r="AD47" s="138"/>
      <c r="AE47" s="138"/>
    </row>
    <row r="48" spans="1:31" ht="13.2">
      <c r="A48" s="215"/>
      <c r="B48" s="250"/>
      <c r="C48" s="250"/>
    </row>
    <row r="49" spans="1:24" ht="13.2">
      <c r="A49" s="215"/>
      <c r="B49" s="250"/>
      <c r="C49" s="250"/>
      <c r="X49" s="85">
        <v>31</v>
      </c>
    </row>
    <row r="50" spans="1:24" ht="13.2">
      <c r="A50" s="215"/>
      <c r="B50" s="202"/>
      <c r="C50" s="234" t="s">
        <v>358</v>
      </c>
    </row>
    <row r="51" spans="1:24" ht="13.2">
      <c r="A51" s="215"/>
      <c r="B51" s="244"/>
      <c r="C51" s="234" t="s">
        <v>359</v>
      </c>
    </row>
    <row r="52" spans="1:24" ht="13.2">
      <c r="A52" s="215"/>
      <c r="B52" s="245"/>
      <c r="C52" s="234" t="s">
        <v>360</v>
      </c>
    </row>
    <row r="53" spans="1:24" ht="26.4">
      <c r="A53" s="215"/>
      <c r="B53" s="246"/>
      <c r="C53" s="247" t="s">
        <v>361</v>
      </c>
    </row>
    <row r="54" spans="1:24" ht="13.2">
      <c r="A54" s="215"/>
      <c r="B54" s="257"/>
      <c r="C54" s="234" t="s">
        <v>362</v>
      </c>
    </row>
    <row r="55" spans="1:24" ht="13.2">
      <c r="A55" s="215"/>
      <c r="B55" s="242"/>
      <c r="C55" s="234" t="s">
        <v>415</v>
      </c>
    </row>
    <row r="56" spans="1:24" ht="13.2">
      <c r="A56" s="215"/>
      <c r="B56" s="215"/>
      <c r="C56" s="215"/>
    </row>
    <row r="57" spans="1:24" ht="13.2">
      <c r="A57" s="215"/>
      <c r="B57" s="215"/>
      <c r="C57" s="215"/>
    </row>
    <row r="58" spans="1:24" ht="13.2">
      <c r="A58" s="215"/>
      <c r="B58" s="215"/>
      <c r="C58" s="215"/>
    </row>
    <row r="59" spans="1:24" ht="13.2">
      <c r="A59" s="215"/>
      <c r="B59" s="215"/>
      <c r="C59" s="215"/>
    </row>
    <row r="60" spans="1:24" ht="13.2">
      <c r="A60" s="215"/>
      <c r="B60" s="215"/>
      <c r="C60" s="215"/>
    </row>
    <row r="61" spans="1:24" ht="13.2">
      <c r="A61" s="215"/>
      <c r="B61" s="215"/>
      <c r="C61" s="215"/>
    </row>
    <row r="62" spans="1:24" ht="13.2">
      <c r="A62" s="215"/>
      <c r="B62" s="215"/>
      <c r="C62" s="215"/>
    </row>
    <row r="63" spans="1:24" ht="13.2">
      <c r="A63" s="215"/>
      <c r="B63" s="215"/>
      <c r="C63" s="215"/>
    </row>
    <row r="64" spans="1:24" ht="13.2">
      <c r="A64" s="215"/>
      <c r="B64" s="215"/>
      <c r="C64" s="215"/>
    </row>
    <row r="65" spans="1:3" ht="13.2">
      <c r="A65" s="215"/>
      <c r="B65" s="215"/>
      <c r="C65" s="215"/>
    </row>
    <row r="66" spans="1:3" ht="13.2">
      <c r="A66" s="215"/>
      <c r="B66" s="215"/>
      <c r="C66" s="215"/>
    </row>
    <row r="67" spans="1:3" ht="13.2">
      <c r="A67" s="215"/>
      <c r="B67" s="215"/>
      <c r="C67" s="215"/>
    </row>
    <row r="68" spans="1:3" ht="13.2">
      <c r="A68" s="215"/>
      <c r="B68" s="215"/>
      <c r="C68" s="215"/>
    </row>
    <row r="69" spans="1:3" ht="13.2">
      <c r="A69" s="215"/>
      <c r="B69" s="215"/>
      <c r="C69" s="215"/>
    </row>
    <row r="70" spans="1:3" ht="13.2">
      <c r="A70" s="215"/>
      <c r="B70" s="215"/>
      <c r="C70" s="215"/>
    </row>
    <row r="71" spans="1:3" ht="13.2">
      <c r="A71" s="215"/>
      <c r="B71" s="215"/>
      <c r="C71" s="215"/>
    </row>
    <row r="72" spans="1:3" ht="13.2">
      <c r="A72" s="215"/>
      <c r="B72" s="215"/>
      <c r="C72" s="215"/>
    </row>
    <row r="73" spans="1:3" ht="13.2">
      <c r="A73" s="215"/>
      <c r="B73" s="215"/>
      <c r="C73" s="215"/>
    </row>
    <row r="74" spans="1:3" ht="13.2">
      <c r="A74" s="215"/>
      <c r="B74" s="215"/>
      <c r="C74" s="215"/>
    </row>
    <row r="75" spans="1:3" ht="13.2">
      <c r="A75" s="215"/>
      <c r="B75" s="215"/>
      <c r="C75" s="215"/>
    </row>
    <row r="76" spans="1:3" ht="13.2">
      <c r="A76" s="215"/>
      <c r="B76" s="215"/>
      <c r="C76" s="215"/>
    </row>
    <row r="77" spans="1:3" ht="13.2">
      <c r="A77" s="215"/>
      <c r="B77" s="215"/>
      <c r="C77" s="215"/>
    </row>
    <row r="78" spans="1:3" ht="13.2">
      <c r="A78" s="215"/>
      <c r="B78" s="215"/>
      <c r="C78" s="215"/>
    </row>
    <row r="79" spans="1:3" ht="13.2">
      <c r="A79" s="215"/>
      <c r="B79" s="215"/>
      <c r="C79" s="215"/>
    </row>
    <row r="80" spans="1:3" ht="13.2">
      <c r="A80" s="215"/>
      <c r="B80" s="215"/>
      <c r="C80" s="215"/>
    </row>
    <row r="81" spans="1:3" ht="13.2">
      <c r="A81" s="215"/>
      <c r="B81" s="215"/>
      <c r="C81" s="215"/>
    </row>
    <row r="82" spans="1:3" ht="13.2">
      <c r="A82" s="215"/>
      <c r="B82" s="215"/>
      <c r="C82" s="215"/>
    </row>
    <row r="83" spans="1:3" ht="13.2">
      <c r="A83" s="215"/>
      <c r="B83" s="215"/>
      <c r="C83" s="215"/>
    </row>
    <row r="84" spans="1:3" ht="13.2">
      <c r="A84" s="215"/>
      <c r="B84" s="215"/>
      <c r="C84" s="215"/>
    </row>
    <row r="85" spans="1:3" ht="13.2">
      <c r="A85" s="215"/>
      <c r="B85" s="215"/>
      <c r="C85" s="215"/>
    </row>
    <row r="86" spans="1:3" ht="13.2">
      <c r="A86" s="215"/>
      <c r="B86" s="215"/>
      <c r="C86" s="215"/>
    </row>
    <row r="87" spans="1:3" ht="13.2">
      <c r="A87" s="215"/>
      <c r="B87" s="215"/>
      <c r="C87" s="215"/>
    </row>
    <row r="88" spans="1:3" ht="13.2">
      <c r="A88" s="215"/>
      <c r="B88" s="215"/>
      <c r="C88" s="215"/>
    </row>
    <row r="89" spans="1:3" ht="13.2">
      <c r="A89" s="215"/>
      <c r="B89" s="215"/>
      <c r="C89" s="215"/>
    </row>
    <row r="90" spans="1:3" ht="13.2">
      <c r="A90" s="215"/>
      <c r="B90" s="215"/>
      <c r="C90" s="215"/>
    </row>
    <row r="91" spans="1:3" ht="13.2">
      <c r="A91" s="215"/>
      <c r="B91" s="215"/>
      <c r="C91" s="215"/>
    </row>
    <row r="92" spans="1:3" ht="13.2">
      <c r="A92" s="215"/>
      <c r="B92" s="215"/>
      <c r="C92" s="215"/>
    </row>
    <row r="93" spans="1:3" ht="13.2">
      <c r="A93" s="215"/>
      <c r="B93" s="215"/>
      <c r="C93" s="215"/>
    </row>
    <row r="94" spans="1:3" ht="13.2">
      <c r="A94" s="215"/>
      <c r="B94" s="215"/>
      <c r="C94" s="215"/>
    </row>
    <row r="95" spans="1:3" ht="13.2">
      <c r="A95" s="215"/>
      <c r="B95" s="215"/>
      <c r="C95" s="215"/>
    </row>
    <row r="96" spans="1:3" ht="13.2">
      <c r="A96" s="215"/>
      <c r="B96" s="215"/>
      <c r="C96" s="215"/>
    </row>
    <row r="97" spans="1:3" ht="13.2">
      <c r="A97" s="215"/>
      <c r="B97" s="215"/>
      <c r="C97" s="215"/>
    </row>
    <row r="98" spans="1:3" ht="13.2">
      <c r="A98" s="215"/>
      <c r="B98" s="215"/>
      <c r="C98" s="215"/>
    </row>
    <row r="99" spans="1:3" ht="13.2">
      <c r="A99" s="215"/>
      <c r="B99" s="215"/>
      <c r="C99" s="215"/>
    </row>
    <row r="100" spans="1:3" ht="13.2">
      <c r="A100" s="215"/>
      <c r="B100" s="215"/>
      <c r="C100" s="215"/>
    </row>
    <row r="101" spans="1:3" ht="13.2">
      <c r="A101" s="215"/>
      <c r="B101" s="215"/>
      <c r="C101" s="215"/>
    </row>
    <row r="102" spans="1:3" ht="13.2">
      <c r="A102" s="215"/>
      <c r="B102" s="215"/>
      <c r="C102" s="215"/>
    </row>
    <row r="103" spans="1:3" ht="13.2">
      <c r="A103" s="215"/>
      <c r="B103" s="215"/>
      <c r="C103" s="215"/>
    </row>
    <row r="104" spans="1:3" ht="13.2">
      <c r="A104" s="215"/>
      <c r="B104" s="215"/>
      <c r="C104" s="215"/>
    </row>
    <row r="105" spans="1:3" ht="13.2">
      <c r="A105" s="215"/>
      <c r="B105" s="215"/>
      <c r="C105" s="215"/>
    </row>
    <row r="106" spans="1:3" ht="13.2">
      <c r="A106" s="215"/>
      <c r="B106" s="215"/>
      <c r="C106" s="215"/>
    </row>
    <row r="107" spans="1:3" ht="13.2">
      <c r="A107" s="215"/>
      <c r="B107" s="215"/>
      <c r="C107" s="215"/>
    </row>
    <row r="108" spans="1:3" ht="13.2">
      <c r="A108" s="215"/>
      <c r="B108" s="215"/>
      <c r="C108" s="215"/>
    </row>
    <row r="109" spans="1:3" ht="13.2">
      <c r="A109" s="215"/>
      <c r="B109" s="215"/>
      <c r="C109" s="215"/>
    </row>
    <row r="110" spans="1:3" ht="13.2">
      <c r="A110" s="215"/>
      <c r="B110" s="215"/>
      <c r="C110" s="215"/>
    </row>
    <row r="111" spans="1:3" ht="13.2">
      <c r="A111" s="215"/>
      <c r="B111" s="215"/>
      <c r="C111" s="215"/>
    </row>
    <row r="112" spans="1:3" ht="13.2">
      <c r="A112" s="215"/>
      <c r="B112" s="215"/>
      <c r="C112" s="215"/>
    </row>
    <row r="113" spans="1:3" ht="13.2">
      <c r="A113" s="215"/>
      <c r="B113" s="215"/>
      <c r="C113" s="215"/>
    </row>
    <row r="114" spans="1:3" ht="13.2">
      <c r="A114" s="215"/>
      <c r="B114" s="215"/>
      <c r="C114" s="215"/>
    </row>
    <row r="115" spans="1:3" ht="13.2">
      <c r="A115" s="215"/>
      <c r="B115" s="215"/>
      <c r="C115" s="215"/>
    </row>
    <row r="116" spans="1:3" ht="13.2">
      <c r="A116" s="215"/>
      <c r="B116" s="215"/>
      <c r="C116" s="215"/>
    </row>
    <row r="117" spans="1:3" ht="13.2">
      <c r="A117" s="215"/>
      <c r="B117" s="215"/>
      <c r="C117" s="215"/>
    </row>
    <row r="118" spans="1:3" ht="13.2">
      <c r="A118" s="215"/>
      <c r="B118" s="215"/>
      <c r="C118" s="215"/>
    </row>
    <row r="119" spans="1:3" ht="13.2">
      <c r="A119" s="215"/>
      <c r="B119" s="215"/>
      <c r="C119" s="215"/>
    </row>
    <row r="120" spans="1:3" ht="13.2">
      <c r="A120" s="215"/>
      <c r="B120" s="215"/>
      <c r="C120" s="215"/>
    </row>
    <row r="121" spans="1:3" ht="13.2">
      <c r="A121" s="215"/>
      <c r="B121" s="215"/>
      <c r="C121" s="215"/>
    </row>
    <row r="122" spans="1:3" ht="13.2">
      <c r="A122" s="215"/>
      <c r="B122" s="215"/>
      <c r="C122" s="215"/>
    </row>
    <row r="123" spans="1:3" ht="13.2">
      <c r="A123" s="215"/>
      <c r="B123" s="215"/>
      <c r="C123" s="215"/>
    </row>
    <row r="124" spans="1:3" ht="13.2">
      <c r="A124" s="215"/>
      <c r="B124" s="215"/>
      <c r="C124" s="215"/>
    </row>
    <row r="125" spans="1:3" ht="13.2">
      <c r="A125" s="215"/>
      <c r="B125" s="215"/>
      <c r="C125" s="215"/>
    </row>
    <row r="126" spans="1:3" ht="13.2">
      <c r="A126" s="215"/>
      <c r="B126" s="215"/>
      <c r="C126" s="215"/>
    </row>
    <row r="127" spans="1:3" ht="13.2">
      <c r="A127" s="215"/>
      <c r="B127" s="215"/>
      <c r="C127" s="215"/>
    </row>
    <row r="128" spans="1:3" ht="13.2">
      <c r="A128" s="215"/>
      <c r="B128" s="215"/>
      <c r="C128" s="215"/>
    </row>
    <row r="129" spans="1:3" ht="13.2">
      <c r="A129" s="215"/>
      <c r="B129" s="215"/>
      <c r="C129" s="215"/>
    </row>
    <row r="130" spans="1:3" ht="13.2">
      <c r="A130" s="215"/>
      <c r="B130" s="215"/>
      <c r="C130" s="215"/>
    </row>
    <row r="131" spans="1:3" ht="13.2">
      <c r="A131" s="215"/>
      <c r="B131" s="215"/>
      <c r="C131" s="215"/>
    </row>
    <row r="132" spans="1:3" ht="13.2">
      <c r="A132" s="215"/>
      <c r="B132" s="215"/>
      <c r="C132" s="215"/>
    </row>
    <row r="133" spans="1:3" ht="13.2">
      <c r="A133" s="215"/>
      <c r="B133" s="215"/>
      <c r="C133" s="215"/>
    </row>
    <row r="134" spans="1:3" ht="13.2">
      <c r="A134" s="215"/>
      <c r="B134" s="215"/>
      <c r="C134" s="215"/>
    </row>
    <row r="135" spans="1:3" ht="13.2">
      <c r="A135" s="215"/>
      <c r="B135" s="215"/>
      <c r="C135" s="215"/>
    </row>
    <row r="136" spans="1:3" ht="13.2">
      <c r="A136" s="215"/>
      <c r="B136" s="215"/>
      <c r="C136" s="215"/>
    </row>
    <row r="137" spans="1:3" ht="13.2">
      <c r="A137" s="215"/>
      <c r="B137" s="215"/>
      <c r="C137" s="215"/>
    </row>
    <row r="138" spans="1:3" ht="13.2">
      <c r="A138" s="215"/>
      <c r="B138" s="215"/>
      <c r="C138" s="215"/>
    </row>
    <row r="139" spans="1:3" ht="13.2">
      <c r="A139" s="215"/>
      <c r="B139" s="215"/>
      <c r="C139" s="215"/>
    </row>
    <row r="140" spans="1:3" ht="13.2">
      <c r="A140" s="215"/>
      <c r="B140" s="215"/>
      <c r="C140" s="215"/>
    </row>
    <row r="141" spans="1:3" ht="13.2">
      <c r="A141" s="215"/>
      <c r="B141" s="215"/>
      <c r="C141" s="215"/>
    </row>
    <row r="142" spans="1:3" ht="13.2">
      <c r="A142" s="215"/>
      <c r="B142" s="215"/>
      <c r="C142" s="215"/>
    </row>
    <row r="143" spans="1:3" ht="13.2">
      <c r="A143" s="215"/>
      <c r="B143" s="215"/>
      <c r="C143" s="215"/>
    </row>
    <row r="144" spans="1:3" ht="13.2">
      <c r="A144" s="215"/>
      <c r="B144" s="215"/>
      <c r="C144" s="215"/>
    </row>
    <row r="145" spans="1:3" ht="13.2">
      <c r="A145" s="215"/>
      <c r="B145" s="215"/>
      <c r="C145" s="215"/>
    </row>
    <row r="146" spans="1:3" ht="13.2">
      <c r="A146" s="215"/>
      <c r="B146" s="215"/>
      <c r="C146" s="215"/>
    </row>
    <row r="147" spans="1:3" ht="13.2">
      <c r="A147" s="215"/>
      <c r="B147" s="215"/>
      <c r="C147" s="215"/>
    </row>
    <row r="148" spans="1:3" ht="13.2">
      <c r="A148" s="215"/>
      <c r="B148" s="215"/>
      <c r="C148" s="215"/>
    </row>
    <row r="149" spans="1:3" ht="13.2">
      <c r="A149" s="215"/>
      <c r="B149" s="215"/>
      <c r="C149" s="215"/>
    </row>
    <row r="150" spans="1:3" ht="13.2">
      <c r="A150" s="215"/>
      <c r="B150" s="215"/>
      <c r="C150" s="215"/>
    </row>
    <row r="151" spans="1:3" ht="13.2">
      <c r="A151" s="215"/>
      <c r="B151" s="215"/>
      <c r="C151" s="215"/>
    </row>
    <row r="152" spans="1:3" ht="13.2">
      <c r="A152" s="215"/>
      <c r="B152" s="215"/>
      <c r="C152" s="215"/>
    </row>
    <row r="153" spans="1:3" ht="13.2">
      <c r="A153" s="215"/>
      <c r="B153" s="215"/>
      <c r="C153" s="215"/>
    </row>
    <row r="154" spans="1:3" ht="13.2">
      <c r="A154" s="215"/>
      <c r="B154" s="215"/>
      <c r="C154" s="215"/>
    </row>
    <row r="155" spans="1:3" ht="13.2">
      <c r="A155" s="215"/>
      <c r="B155" s="215"/>
      <c r="C155" s="215"/>
    </row>
    <row r="156" spans="1:3" ht="13.2">
      <c r="A156" s="215"/>
      <c r="B156" s="215"/>
      <c r="C156" s="215"/>
    </row>
    <row r="157" spans="1:3" ht="13.2">
      <c r="A157" s="215"/>
      <c r="B157" s="215"/>
      <c r="C157" s="215"/>
    </row>
    <row r="158" spans="1:3" ht="13.2">
      <c r="A158" s="215"/>
      <c r="B158" s="215"/>
      <c r="C158" s="215"/>
    </row>
    <row r="159" spans="1:3" ht="13.2">
      <c r="A159" s="215"/>
      <c r="B159" s="215"/>
      <c r="C159" s="215"/>
    </row>
    <row r="160" spans="1:3" ht="13.2">
      <c r="A160" s="215"/>
      <c r="B160" s="215"/>
      <c r="C160" s="215"/>
    </row>
    <row r="161" spans="1:3" ht="13.2">
      <c r="A161" s="215"/>
      <c r="B161" s="215"/>
      <c r="C161" s="215"/>
    </row>
    <row r="162" spans="1:3" ht="13.2">
      <c r="A162" s="215"/>
      <c r="B162" s="215"/>
      <c r="C162" s="215"/>
    </row>
    <row r="163" spans="1:3" ht="13.2">
      <c r="A163" s="215"/>
      <c r="B163" s="215"/>
      <c r="C163" s="215"/>
    </row>
    <row r="164" spans="1:3" ht="13.2">
      <c r="A164" s="215"/>
      <c r="B164" s="215"/>
      <c r="C164" s="215"/>
    </row>
    <row r="165" spans="1:3" ht="13.2">
      <c r="A165" s="215"/>
      <c r="B165" s="215"/>
      <c r="C165" s="215"/>
    </row>
    <row r="166" spans="1:3" ht="13.2">
      <c r="A166" s="215"/>
      <c r="B166" s="215"/>
      <c r="C166" s="215"/>
    </row>
    <row r="167" spans="1:3" ht="13.2">
      <c r="A167" s="215"/>
      <c r="B167" s="215"/>
      <c r="C167" s="215"/>
    </row>
    <row r="168" spans="1:3" ht="13.2">
      <c r="A168" s="215"/>
      <c r="B168" s="215"/>
      <c r="C168" s="215"/>
    </row>
    <row r="169" spans="1:3" ht="13.2">
      <c r="A169" s="215"/>
      <c r="B169" s="215"/>
      <c r="C169" s="215"/>
    </row>
    <row r="170" spans="1:3" ht="13.2">
      <c r="A170" s="215"/>
      <c r="B170" s="215"/>
      <c r="C170" s="215"/>
    </row>
    <row r="171" spans="1:3" ht="13.2">
      <c r="A171" s="215"/>
      <c r="B171" s="215"/>
      <c r="C171" s="215"/>
    </row>
    <row r="172" spans="1:3" ht="13.2">
      <c r="A172" s="215"/>
      <c r="B172" s="215"/>
      <c r="C172" s="215"/>
    </row>
    <row r="173" spans="1:3" ht="13.2">
      <c r="A173" s="215"/>
      <c r="B173" s="215"/>
      <c r="C173" s="215"/>
    </row>
    <row r="174" spans="1:3" ht="13.2">
      <c r="A174" s="215"/>
      <c r="B174" s="215"/>
      <c r="C174" s="215"/>
    </row>
    <row r="175" spans="1:3" ht="13.2">
      <c r="A175" s="215"/>
      <c r="B175" s="215"/>
      <c r="C175" s="215"/>
    </row>
    <row r="176" spans="1:3" ht="13.2">
      <c r="A176" s="215"/>
      <c r="B176" s="215"/>
      <c r="C176" s="215"/>
    </row>
    <row r="177" spans="1:3" ht="13.2">
      <c r="A177" s="215"/>
      <c r="B177" s="215"/>
      <c r="C177" s="215"/>
    </row>
    <row r="178" spans="1:3" ht="13.2">
      <c r="A178" s="215"/>
      <c r="B178" s="215"/>
      <c r="C178" s="215"/>
    </row>
    <row r="179" spans="1:3" ht="13.2">
      <c r="A179" s="215"/>
      <c r="B179" s="215"/>
      <c r="C179" s="215"/>
    </row>
    <row r="180" spans="1:3" ht="13.2">
      <c r="A180" s="215"/>
      <c r="B180" s="215"/>
      <c r="C180" s="215"/>
    </row>
    <row r="181" spans="1:3" ht="13.2">
      <c r="A181" s="215"/>
      <c r="B181" s="215"/>
      <c r="C181" s="215"/>
    </row>
    <row r="182" spans="1:3" ht="13.2">
      <c r="A182" s="215"/>
      <c r="B182" s="215"/>
      <c r="C182" s="215"/>
    </row>
    <row r="183" spans="1:3" ht="13.2">
      <c r="A183" s="215"/>
      <c r="B183" s="215"/>
      <c r="C183" s="215"/>
    </row>
    <row r="184" spans="1:3" ht="13.2">
      <c r="A184" s="215"/>
      <c r="B184" s="215"/>
      <c r="C184" s="215"/>
    </row>
    <row r="185" spans="1:3" ht="13.2">
      <c r="A185" s="215"/>
      <c r="B185" s="215"/>
      <c r="C185" s="215"/>
    </row>
    <row r="186" spans="1:3" ht="13.2">
      <c r="A186" s="215"/>
      <c r="B186" s="215"/>
      <c r="C186" s="215"/>
    </row>
    <row r="187" spans="1:3" ht="13.2">
      <c r="A187" s="215"/>
      <c r="B187" s="215"/>
      <c r="C187" s="215"/>
    </row>
    <row r="188" spans="1:3" ht="13.2">
      <c r="A188" s="215"/>
      <c r="B188" s="215"/>
      <c r="C188" s="215"/>
    </row>
    <row r="189" spans="1:3" ht="13.2">
      <c r="A189" s="215"/>
      <c r="B189" s="215"/>
      <c r="C189" s="215"/>
    </row>
    <row r="190" spans="1:3" ht="13.2">
      <c r="A190" s="215"/>
      <c r="B190" s="215"/>
      <c r="C190" s="215"/>
    </row>
    <row r="191" spans="1:3" ht="13.2">
      <c r="A191" s="215"/>
      <c r="B191" s="215"/>
      <c r="C191" s="215"/>
    </row>
    <row r="192" spans="1:3" ht="13.2">
      <c r="A192" s="215"/>
      <c r="B192" s="215"/>
      <c r="C192" s="215"/>
    </row>
    <row r="193" spans="1:3" ht="13.2">
      <c r="A193" s="215"/>
      <c r="B193" s="215"/>
      <c r="C193" s="215"/>
    </row>
    <row r="194" spans="1:3" ht="13.2">
      <c r="A194" s="215"/>
      <c r="B194" s="215"/>
      <c r="C194" s="215"/>
    </row>
    <row r="195" spans="1:3" ht="13.2">
      <c r="A195" s="215"/>
      <c r="B195" s="215"/>
      <c r="C195" s="215"/>
    </row>
    <row r="196" spans="1:3" ht="13.2">
      <c r="A196" s="215"/>
      <c r="B196" s="215"/>
      <c r="C196" s="215"/>
    </row>
    <row r="197" spans="1:3" ht="13.2">
      <c r="A197" s="215"/>
      <c r="B197" s="215"/>
      <c r="C197" s="215"/>
    </row>
    <row r="198" spans="1:3" ht="13.2">
      <c r="A198" s="215"/>
      <c r="B198" s="215"/>
      <c r="C198" s="215"/>
    </row>
    <row r="199" spans="1:3" ht="13.2">
      <c r="A199" s="215"/>
      <c r="B199" s="215"/>
      <c r="C199" s="215"/>
    </row>
    <row r="200" spans="1:3" ht="13.2">
      <c r="A200" s="215"/>
      <c r="B200" s="215"/>
      <c r="C200" s="215"/>
    </row>
    <row r="201" spans="1:3" ht="13.2">
      <c r="A201" s="215"/>
      <c r="B201" s="215"/>
      <c r="C201" s="215"/>
    </row>
    <row r="202" spans="1:3" ht="13.2">
      <c r="A202" s="215"/>
      <c r="B202" s="215"/>
      <c r="C202" s="215"/>
    </row>
    <row r="203" spans="1:3" ht="13.2">
      <c r="A203" s="215"/>
      <c r="B203" s="215"/>
      <c r="C203" s="215"/>
    </row>
    <row r="204" spans="1:3" ht="13.2">
      <c r="A204" s="215"/>
      <c r="B204" s="215"/>
      <c r="C204" s="215"/>
    </row>
    <row r="205" spans="1:3" ht="13.2">
      <c r="A205" s="215"/>
      <c r="B205" s="215"/>
      <c r="C205" s="215"/>
    </row>
    <row r="206" spans="1:3" ht="13.2">
      <c r="A206" s="215"/>
      <c r="B206" s="215"/>
      <c r="C206" s="215"/>
    </row>
    <row r="207" spans="1:3" ht="13.2">
      <c r="A207" s="215"/>
      <c r="B207" s="215"/>
      <c r="C207" s="215"/>
    </row>
    <row r="208" spans="1:3" ht="13.2">
      <c r="A208" s="215"/>
      <c r="B208" s="215"/>
      <c r="C208" s="215"/>
    </row>
    <row r="209" spans="1:3" ht="13.2">
      <c r="A209" s="215"/>
      <c r="B209" s="215"/>
      <c r="C209" s="215"/>
    </row>
    <row r="210" spans="1:3" ht="13.2">
      <c r="A210" s="215"/>
      <c r="B210" s="215"/>
      <c r="C210" s="215"/>
    </row>
    <row r="211" spans="1:3" ht="13.2">
      <c r="A211" s="215"/>
      <c r="B211" s="215"/>
      <c r="C211" s="215"/>
    </row>
    <row r="212" spans="1:3" ht="13.2">
      <c r="A212" s="215"/>
      <c r="B212" s="215"/>
      <c r="C212" s="215"/>
    </row>
    <row r="213" spans="1:3" ht="13.2">
      <c r="A213" s="215"/>
      <c r="B213" s="215"/>
      <c r="C213" s="215"/>
    </row>
    <row r="214" spans="1:3" ht="13.2">
      <c r="A214" s="215"/>
      <c r="B214" s="215"/>
      <c r="C214" s="215"/>
    </row>
    <row r="215" spans="1:3" ht="13.2">
      <c r="A215" s="215"/>
      <c r="B215" s="215"/>
      <c r="C215" s="215"/>
    </row>
    <row r="216" spans="1:3" ht="13.2">
      <c r="A216" s="215"/>
      <c r="B216" s="215"/>
      <c r="C216" s="215"/>
    </row>
    <row r="217" spans="1:3" ht="13.2">
      <c r="A217" s="215"/>
      <c r="B217" s="215"/>
      <c r="C217" s="215"/>
    </row>
    <row r="218" spans="1:3" ht="13.2">
      <c r="A218" s="215"/>
      <c r="B218" s="215"/>
      <c r="C218" s="215"/>
    </row>
    <row r="219" spans="1:3" ht="13.2">
      <c r="A219" s="215"/>
      <c r="B219" s="215"/>
      <c r="C219" s="215"/>
    </row>
    <row r="220" spans="1:3" ht="13.2">
      <c r="A220" s="215"/>
      <c r="B220" s="215"/>
      <c r="C220" s="215"/>
    </row>
    <row r="221" spans="1:3" ht="13.2">
      <c r="A221" s="215"/>
      <c r="B221" s="215"/>
      <c r="C221" s="215"/>
    </row>
    <row r="222" spans="1:3" ht="13.2">
      <c r="A222" s="215"/>
      <c r="B222" s="215"/>
      <c r="C222" s="215"/>
    </row>
    <row r="223" spans="1:3" ht="13.2">
      <c r="A223" s="215"/>
      <c r="B223" s="215"/>
      <c r="C223" s="215"/>
    </row>
    <row r="224" spans="1:3" ht="13.2">
      <c r="A224" s="215"/>
      <c r="B224" s="215"/>
      <c r="C224" s="215"/>
    </row>
    <row r="225" spans="1:3" ht="13.2">
      <c r="A225" s="215"/>
      <c r="B225" s="215"/>
      <c r="C225" s="215"/>
    </row>
    <row r="226" spans="1:3" ht="13.2">
      <c r="A226" s="215"/>
      <c r="B226" s="215"/>
      <c r="C226" s="215"/>
    </row>
    <row r="227" spans="1:3" ht="13.2">
      <c r="A227" s="215"/>
      <c r="B227" s="215"/>
      <c r="C227" s="215"/>
    </row>
    <row r="228" spans="1:3" ht="13.2">
      <c r="A228" s="215"/>
      <c r="B228" s="215"/>
      <c r="C228" s="215"/>
    </row>
    <row r="229" spans="1:3" ht="13.2">
      <c r="A229" s="215"/>
      <c r="B229" s="215"/>
      <c r="C229" s="215"/>
    </row>
    <row r="230" spans="1:3" ht="13.2">
      <c r="A230" s="215"/>
      <c r="B230" s="215"/>
      <c r="C230" s="215"/>
    </row>
    <row r="231" spans="1:3" ht="13.2">
      <c r="A231" s="215"/>
      <c r="B231" s="215"/>
      <c r="C231" s="215"/>
    </row>
    <row r="232" spans="1:3" ht="13.2">
      <c r="A232" s="215"/>
      <c r="B232" s="215"/>
      <c r="C232" s="215"/>
    </row>
    <row r="233" spans="1:3" ht="13.2">
      <c r="A233" s="215"/>
      <c r="B233" s="215"/>
      <c r="C233" s="215"/>
    </row>
    <row r="234" spans="1:3" ht="13.2">
      <c r="A234" s="215"/>
      <c r="B234" s="215"/>
      <c r="C234" s="215"/>
    </row>
    <row r="235" spans="1:3" ht="13.2">
      <c r="A235" s="215"/>
      <c r="B235" s="215"/>
      <c r="C235" s="215"/>
    </row>
    <row r="236" spans="1:3" ht="13.2">
      <c r="A236" s="215"/>
      <c r="B236" s="215"/>
      <c r="C236" s="215"/>
    </row>
    <row r="237" spans="1:3" ht="13.2">
      <c r="A237" s="215"/>
      <c r="B237" s="215"/>
      <c r="C237" s="215"/>
    </row>
    <row r="238" spans="1:3" ht="13.2">
      <c r="A238" s="215"/>
      <c r="B238" s="215"/>
      <c r="C238" s="215"/>
    </row>
    <row r="239" spans="1:3" ht="13.2">
      <c r="A239" s="215"/>
      <c r="B239" s="215"/>
      <c r="C239" s="215"/>
    </row>
    <row r="240" spans="1:3" ht="13.2">
      <c r="A240" s="215"/>
      <c r="B240" s="215"/>
      <c r="C240" s="215"/>
    </row>
    <row r="241" spans="1:3" ht="13.2">
      <c r="A241" s="215"/>
      <c r="B241" s="215"/>
      <c r="C241" s="215"/>
    </row>
    <row r="242" spans="1:3" ht="13.2">
      <c r="A242" s="215"/>
      <c r="B242" s="215"/>
      <c r="C242" s="215"/>
    </row>
    <row r="243" spans="1:3" ht="13.2">
      <c r="A243" s="215"/>
      <c r="B243" s="215"/>
      <c r="C243" s="215"/>
    </row>
    <row r="244" spans="1:3" ht="13.2">
      <c r="A244" s="215"/>
      <c r="B244" s="215"/>
      <c r="C244" s="215"/>
    </row>
    <row r="245" spans="1:3" ht="13.2">
      <c r="A245" s="215"/>
      <c r="B245" s="215"/>
      <c r="C245" s="215"/>
    </row>
    <row r="246" spans="1:3" ht="13.2">
      <c r="A246" s="215"/>
      <c r="B246" s="215"/>
      <c r="C246" s="215"/>
    </row>
    <row r="247" spans="1:3" ht="13.2">
      <c r="A247" s="215"/>
      <c r="B247" s="215"/>
      <c r="C247" s="215"/>
    </row>
    <row r="248" spans="1:3" ht="13.2">
      <c r="A248" s="215"/>
      <c r="B248" s="215"/>
      <c r="C248" s="215"/>
    </row>
    <row r="249" spans="1:3" ht="13.2">
      <c r="A249" s="215"/>
      <c r="B249" s="215"/>
      <c r="C249" s="215"/>
    </row>
    <row r="250" spans="1:3" ht="13.2">
      <c r="A250" s="215"/>
      <c r="B250" s="215"/>
      <c r="C250" s="215"/>
    </row>
    <row r="251" spans="1:3" ht="13.2">
      <c r="A251" s="215"/>
      <c r="B251" s="215"/>
      <c r="C251" s="215"/>
    </row>
    <row r="252" spans="1:3" ht="13.2">
      <c r="A252" s="215"/>
      <c r="B252" s="215"/>
      <c r="C252" s="215"/>
    </row>
    <row r="253" spans="1:3" ht="13.2">
      <c r="A253" s="215"/>
      <c r="B253" s="215"/>
      <c r="C253" s="215"/>
    </row>
    <row r="254" spans="1:3" ht="13.2">
      <c r="A254" s="215"/>
      <c r="B254" s="215"/>
      <c r="C254" s="215"/>
    </row>
    <row r="255" spans="1:3" ht="13.2">
      <c r="A255" s="215"/>
      <c r="B255" s="215"/>
      <c r="C255" s="215"/>
    </row>
    <row r="256" spans="1:3" ht="13.2">
      <c r="A256" s="215"/>
      <c r="B256" s="215"/>
      <c r="C256" s="215"/>
    </row>
    <row r="257" spans="1:3" ht="13.2">
      <c r="A257" s="215"/>
      <c r="B257" s="215"/>
      <c r="C257" s="215"/>
    </row>
    <row r="258" spans="1:3" ht="13.2">
      <c r="A258" s="215"/>
      <c r="B258" s="215"/>
      <c r="C258" s="215"/>
    </row>
    <row r="259" spans="1:3" ht="13.2">
      <c r="A259" s="215"/>
      <c r="B259" s="215"/>
      <c r="C259" s="215"/>
    </row>
    <row r="260" spans="1:3" ht="13.2">
      <c r="A260" s="215"/>
      <c r="B260" s="215"/>
      <c r="C260" s="215"/>
    </row>
    <row r="261" spans="1:3" ht="13.2">
      <c r="A261" s="215"/>
      <c r="B261" s="215"/>
      <c r="C261" s="215"/>
    </row>
    <row r="262" spans="1:3" ht="13.2">
      <c r="A262" s="215"/>
      <c r="B262" s="215"/>
      <c r="C262" s="215"/>
    </row>
    <row r="263" spans="1:3" ht="13.2">
      <c r="A263" s="215"/>
      <c r="B263" s="215"/>
      <c r="C263" s="215"/>
    </row>
    <row r="264" spans="1:3" ht="13.2">
      <c r="A264" s="215"/>
      <c r="B264" s="215"/>
      <c r="C264" s="215"/>
    </row>
    <row r="265" spans="1:3" ht="13.2">
      <c r="A265" s="215"/>
      <c r="B265" s="215"/>
      <c r="C265" s="215"/>
    </row>
    <row r="266" spans="1:3" ht="13.2">
      <c r="A266" s="215"/>
      <c r="B266" s="215"/>
      <c r="C266" s="215"/>
    </row>
    <row r="267" spans="1:3" ht="13.2">
      <c r="A267" s="215"/>
      <c r="B267" s="215"/>
      <c r="C267" s="215"/>
    </row>
    <row r="268" spans="1:3" ht="13.2">
      <c r="A268" s="215"/>
      <c r="B268" s="215"/>
      <c r="C268" s="215"/>
    </row>
    <row r="269" spans="1:3" ht="13.2">
      <c r="A269" s="215"/>
      <c r="B269" s="215"/>
      <c r="C269" s="215"/>
    </row>
    <row r="270" spans="1:3" ht="13.2">
      <c r="A270" s="215"/>
      <c r="B270" s="215"/>
      <c r="C270" s="215"/>
    </row>
    <row r="271" spans="1:3" ht="13.2">
      <c r="A271" s="215"/>
      <c r="B271" s="215"/>
      <c r="C271" s="215"/>
    </row>
    <row r="272" spans="1:3" ht="13.2">
      <c r="A272" s="215"/>
      <c r="B272" s="215"/>
      <c r="C272" s="215"/>
    </row>
    <row r="273" spans="1:3" ht="13.2">
      <c r="A273" s="215"/>
      <c r="B273" s="215"/>
      <c r="C273" s="215"/>
    </row>
    <row r="274" spans="1:3" ht="13.2">
      <c r="A274" s="215"/>
      <c r="B274" s="215"/>
      <c r="C274" s="215"/>
    </row>
    <row r="275" spans="1:3" ht="13.2">
      <c r="A275" s="215"/>
      <c r="B275" s="215"/>
      <c r="C275" s="215"/>
    </row>
    <row r="276" spans="1:3" ht="13.2">
      <c r="A276" s="215"/>
      <c r="B276" s="215"/>
      <c r="C276" s="215"/>
    </row>
    <row r="277" spans="1:3" ht="13.2">
      <c r="A277" s="215"/>
      <c r="B277" s="215"/>
      <c r="C277" s="215"/>
    </row>
    <row r="278" spans="1:3" ht="13.2">
      <c r="A278" s="215"/>
      <c r="B278" s="215"/>
      <c r="C278" s="215"/>
    </row>
    <row r="279" spans="1:3" ht="13.2">
      <c r="A279" s="215"/>
      <c r="B279" s="215"/>
      <c r="C279" s="215"/>
    </row>
    <row r="280" spans="1:3" ht="13.2">
      <c r="A280" s="215"/>
      <c r="B280" s="215"/>
      <c r="C280" s="215"/>
    </row>
    <row r="281" spans="1:3" ht="13.2">
      <c r="A281" s="215"/>
      <c r="B281" s="215"/>
      <c r="C281" s="215"/>
    </row>
    <row r="282" spans="1:3" ht="13.2">
      <c r="A282" s="215"/>
      <c r="B282" s="215"/>
      <c r="C282" s="215"/>
    </row>
    <row r="283" spans="1:3" ht="13.2">
      <c r="A283" s="215"/>
      <c r="B283" s="215"/>
      <c r="C283" s="215"/>
    </row>
    <row r="284" spans="1:3" ht="13.2">
      <c r="A284" s="215"/>
      <c r="B284" s="215"/>
      <c r="C284" s="215"/>
    </row>
    <row r="285" spans="1:3" ht="13.2">
      <c r="A285" s="215"/>
      <c r="B285" s="215"/>
      <c r="C285" s="215"/>
    </row>
    <row r="286" spans="1:3" ht="13.2">
      <c r="A286" s="215"/>
      <c r="B286" s="215"/>
      <c r="C286" s="215"/>
    </row>
    <row r="287" spans="1:3" ht="13.2">
      <c r="A287" s="215"/>
      <c r="B287" s="215"/>
      <c r="C287" s="215"/>
    </row>
    <row r="288" spans="1:3" ht="13.2">
      <c r="A288" s="215"/>
      <c r="B288" s="215"/>
      <c r="C288" s="215"/>
    </row>
    <row r="289" spans="1:3" ht="13.2">
      <c r="A289" s="215"/>
      <c r="B289" s="215"/>
      <c r="C289" s="215"/>
    </row>
    <row r="290" spans="1:3" ht="13.2">
      <c r="A290" s="215"/>
      <c r="B290" s="215"/>
      <c r="C290" s="215"/>
    </row>
    <row r="291" spans="1:3" ht="13.2">
      <c r="A291" s="215"/>
      <c r="B291" s="215"/>
      <c r="C291" s="215"/>
    </row>
    <row r="292" spans="1:3" ht="13.2">
      <c r="A292" s="215"/>
      <c r="B292" s="215"/>
      <c r="C292" s="215"/>
    </row>
    <row r="293" spans="1:3" ht="13.2">
      <c r="A293" s="215"/>
      <c r="B293" s="215"/>
      <c r="C293" s="215"/>
    </row>
    <row r="294" spans="1:3" ht="13.2">
      <c r="A294" s="215"/>
      <c r="B294" s="215"/>
      <c r="C294" s="215"/>
    </row>
    <row r="295" spans="1:3" ht="13.2">
      <c r="A295" s="215"/>
      <c r="B295" s="215"/>
      <c r="C295" s="215"/>
    </row>
    <row r="296" spans="1:3" ht="13.2">
      <c r="A296" s="215"/>
      <c r="B296" s="215"/>
      <c r="C296" s="215"/>
    </row>
    <row r="297" spans="1:3" ht="13.2">
      <c r="A297" s="215"/>
      <c r="B297" s="215"/>
      <c r="C297" s="215"/>
    </row>
    <row r="298" spans="1:3" ht="13.2">
      <c r="A298" s="215"/>
      <c r="B298" s="215"/>
      <c r="C298" s="215"/>
    </row>
    <row r="299" spans="1:3" ht="13.2">
      <c r="A299" s="215"/>
      <c r="B299" s="215"/>
      <c r="C299" s="215"/>
    </row>
    <row r="300" spans="1:3" ht="13.2">
      <c r="A300" s="215"/>
      <c r="B300" s="215"/>
      <c r="C300" s="215"/>
    </row>
    <row r="301" spans="1:3" ht="13.2">
      <c r="A301" s="215"/>
      <c r="B301" s="215"/>
      <c r="C301" s="215"/>
    </row>
    <row r="302" spans="1:3" ht="13.2">
      <c r="A302" s="215"/>
      <c r="B302" s="215"/>
      <c r="C302" s="215"/>
    </row>
    <row r="303" spans="1:3" ht="13.2">
      <c r="A303" s="215"/>
      <c r="B303" s="215"/>
      <c r="C303" s="215"/>
    </row>
    <row r="304" spans="1:3" ht="13.2">
      <c r="A304" s="215"/>
      <c r="B304" s="215"/>
      <c r="C304" s="215"/>
    </row>
    <row r="305" spans="1:3" ht="13.2">
      <c r="A305" s="215"/>
      <c r="B305" s="215"/>
      <c r="C305" s="215"/>
    </row>
    <row r="306" spans="1:3" ht="13.2">
      <c r="A306" s="215"/>
      <c r="B306" s="215"/>
      <c r="C306" s="215"/>
    </row>
    <row r="307" spans="1:3" ht="13.2">
      <c r="A307" s="215"/>
      <c r="B307" s="215"/>
      <c r="C307" s="215"/>
    </row>
    <row r="308" spans="1:3" ht="13.2">
      <c r="A308" s="215"/>
      <c r="B308" s="215"/>
      <c r="C308" s="215"/>
    </row>
    <row r="309" spans="1:3" ht="13.2">
      <c r="A309" s="215"/>
      <c r="B309" s="215"/>
      <c r="C309" s="215"/>
    </row>
    <row r="310" spans="1:3" ht="13.2">
      <c r="A310" s="215"/>
      <c r="B310" s="215"/>
      <c r="C310" s="215"/>
    </row>
    <row r="311" spans="1:3" ht="13.2">
      <c r="A311" s="215"/>
      <c r="B311" s="215"/>
      <c r="C311" s="215"/>
    </row>
    <row r="312" spans="1:3" ht="13.2">
      <c r="A312" s="215"/>
      <c r="B312" s="215"/>
      <c r="C312" s="215"/>
    </row>
    <row r="313" spans="1:3" ht="13.2">
      <c r="A313" s="215"/>
      <c r="B313" s="215"/>
      <c r="C313" s="215"/>
    </row>
    <row r="314" spans="1:3" ht="13.2">
      <c r="A314" s="215"/>
      <c r="B314" s="215"/>
      <c r="C314" s="215"/>
    </row>
    <row r="315" spans="1:3" ht="13.2">
      <c r="A315" s="215"/>
      <c r="B315" s="215"/>
      <c r="C315" s="215"/>
    </row>
    <row r="316" spans="1:3" ht="13.2">
      <c r="A316" s="215"/>
      <c r="B316" s="215"/>
      <c r="C316" s="215"/>
    </row>
    <row r="317" spans="1:3" ht="13.2">
      <c r="A317" s="215"/>
      <c r="B317" s="215"/>
      <c r="C317" s="215"/>
    </row>
    <row r="318" spans="1:3" ht="13.2">
      <c r="A318" s="215"/>
      <c r="B318" s="215"/>
      <c r="C318" s="215"/>
    </row>
    <row r="319" spans="1:3" ht="13.2">
      <c r="A319" s="215"/>
      <c r="B319" s="215"/>
      <c r="C319" s="215"/>
    </row>
    <row r="320" spans="1:3" ht="13.2">
      <c r="A320" s="215"/>
      <c r="B320" s="215"/>
      <c r="C320" s="215"/>
    </row>
    <row r="321" spans="1:3" ht="13.2">
      <c r="A321" s="215"/>
      <c r="B321" s="215"/>
      <c r="C321" s="215"/>
    </row>
    <row r="322" spans="1:3" ht="13.2">
      <c r="A322" s="215"/>
      <c r="B322" s="215"/>
      <c r="C322" s="215"/>
    </row>
    <row r="323" spans="1:3" ht="13.2">
      <c r="A323" s="215"/>
      <c r="B323" s="215"/>
      <c r="C323" s="215"/>
    </row>
    <row r="324" spans="1:3" ht="13.2">
      <c r="A324" s="215"/>
      <c r="B324" s="215"/>
      <c r="C324" s="215"/>
    </row>
    <row r="325" spans="1:3" ht="13.2">
      <c r="A325" s="215"/>
      <c r="B325" s="215"/>
      <c r="C325" s="215"/>
    </row>
    <row r="326" spans="1:3" ht="13.2">
      <c r="A326" s="215"/>
      <c r="B326" s="215"/>
      <c r="C326" s="215"/>
    </row>
    <row r="327" spans="1:3" ht="13.2">
      <c r="A327" s="215"/>
      <c r="B327" s="215"/>
      <c r="C327" s="215"/>
    </row>
    <row r="328" spans="1:3" ht="13.2">
      <c r="A328" s="215"/>
      <c r="B328" s="215"/>
      <c r="C328" s="215"/>
    </row>
    <row r="329" spans="1:3" ht="13.2">
      <c r="A329" s="215"/>
      <c r="B329" s="215"/>
      <c r="C329" s="215"/>
    </row>
    <row r="330" spans="1:3" ht="13.2">
      <c r="A330" s="215"/>
      <c r="B330" s="215"/>
      <c r="C330" s="215"/>
    </row>
    <row r="331" spans="1:3" ht="13.2">
      <c r="A331" s="215"/>
      <c r="B331" s="215"/>
      <c r="C331" s="215"/>
    </row>
    <row r="332" spans="1:3" ht="13.2">
      <c r="A332" s="215"/>
      <c r="B332" s="215"/>
      <c r="C332" s="215"/>
    </row>
    <row r="333" spans="1:3" ht="13.2">
      <c r="A333" s="215"/>
      <c r="B333" s="215"/>
      <c r="C333" s="215"/>
    </row>
    <row r="334" spans="1:3" ht="13.2">
      <c r="A334" s="215"/>
      <c r="B334" s="215"/>
      <c r="C334" s="215"/>
    </row>
    <row r="335" spans="1:3" ht="13.2">
      <c r="A335" s="215"/>
      <c r="B335" s="215"/>
      <c r="C335" s="215"/>
    </row>
    <row r="336" spans="1:3" ht="13.2">
      <c r="A336" s="215"/>
      <c r="B336" s="215"/>
      <c r="C336" s="215"/>
    </row>
    <row r="337" spans="1:3" ht="13.2">
      <c r="A337" s="215"/>
      <c r="B337" s="215"/>
      <c r="C337" s="215"/>
    </row>
    <row r="338" spans="1:3" ht="13.2">
      <c r="A338" s="215"/>
      <c r="B338" s="215"/>
      <c r="C338" s="215"/>
    </row>
    <row r="339" spans="1:3" ht="13.2">
      <c r="A339" s="215"/>
      <c r="B339" s="215"/>
      <c r="C339" s="215"/>
    </row>
    <row r="340" spans="1:3" ht="13.2">
      <c r="A340" s="215"/>
      <c r="B340" s="215"/>
      <c r="C340" s="215"/>
    </row>
    <row r="341" spans="1:3" ht="13.2">
      <c r="A341" s="215"/>
      <c r="B341" s="215"/>
      <c r="C341" s="215"/>
    </row>
    <row r="342" spans="1:3" ht="13.2">
      <c r="A342" s="215"/>
      <c r="B342" s="215"/>
      <c r="C342" s="215"/>
    </row>
    <row r="343" spans="1:3" ht="13.2">
      <c r="A343" s="215"/>
      <c r="B343" s="215"/>
      <c r="C343" s="215"/>
    </row>
    <row r="344" spans="1:3" ht="13.2">
      <c r="A344" s="215"/>
      <c r="B344" s="215"/>
      <c r="C344" s="215"/>
    </row>
    <row r="345" spans="1:3" ht="13.2">
      <c r="A345" s="215"/>
      <c r="B345" s="215"/>
      <c r="C345" s="215"/>
    </row>
    <row r="346" spans="1:3" ht="13.2">
      <c r="A346" s="215"/>
      <c r="B346" s="215"/>
      <c r="C346" s="215"/>
    </row>
    <row r="347" spans="1:3" ht="13.2">
      <c r="A347" s="215"/>
      <c r="B347" s="215"/>
      <c r="C347" s="215"/>
    </row>
    <row r="348" spans="1:3" ht="13.2">
      <c r="A348" s="215"/>
      <c r="B348" s="215"/>
      <c r="C348" s="215"/>
    </row>
    <row r="349" spans="1:3" ht="13.2">
      <c r="A349" s="215"/>
      <c r="B349" s="215"/>
      <c r="C349" s="215"/>
    </row>
    <row r="350" spans="1:3" ht="13.2">
      <c r="A350" s="215"/>
      <c r="B350" s="215"/>
      <c r="C350" s="215"/>
    </row>
    <row r="351" spans="1:3" ht="13.2">
      <c r="A351" s="215"/>
      <c r="B351" s="215"/>
      <c r="C351" s="215"/>
    </row>
    <row r="352" spans="1:3" ht="13.2">
      <c r="A352" s="215"/>
      <c r="B352" s="215"/>
      <c r="C352" s="215"/>
    </row>
    <row r="353" spans="1:3" ht="13.2">
      <c r="A353" s="215"/>
      <c r="B353" s="215"/>
      <c r="C353" s="215"/>
    </row>
    <row r="354" spans="1:3" ht="13.2">
      <c r="A354" s="215"/>
      <c r="B354" s="215"/>
      <c r="C354" s="215"/>
    </row>
    <row r="355" spans="1:3" ht="13.2">
      <c r="A355" s="215"/>
      <c r="B355" s="215"/>
      <c r="C355" s="215"/>
    </row>
    <row r="356" spans="1:3" ht="13.2">
      <c r="A356" s="215"/>
      <c r="B356" s="215"/>
      <c r="C356" s="215"/>
    </row>
    <row r="357" spans="1:3" ht="13.2">
      <c r="A357" s="215"/>
      <c r="B357" s="215"/>
      <c r="C357" s="215"/>
    </row>
    <row r="358" spans="1:3" ht="13.2">
      <c r="A358" s="215"/>
      <c r="B358" s="215"/>
      <c r="C358" s="215"/>
    </row>
    <row r="359" spans="1:3" ht="13.2">
      <c r="A359" s="215"/>
      <c r="B359" s="215"/>
      <c r="C359" s="215"/>
    </row>
    <row r="360" spans="1:3" ht="13.2">
      <c r="A360" s="215"/>
      <c r="B360" s="215"/>
      <c r="C360" s="215"/>
    </row>
    <row r="361" spans="1:3" ht="13.2">
      <c r="A361" s="215"/>
      <c r="B361" s="215"/>
      <c r="C361" s="215"/>
    </row>
    <row r="362" spans="1:3" ht="13.2">
      <c r="A362" s="215"/>
      <c r="B362" s="215"/>
      <c r="C362" s="215"/>
    </row>
    <row r="363" spans="1:3" ht="13.2">
      <c r="A363" s="215"/>
      <c r="B363" s="215"/>
      <c r="C363" s="215"/>
    </row>
    <row r="364" spans="1:3" ht="13.2">
      <c r="A364" s="215"/>
      <c r="B364" s="215"/>
      <c r="C364" s="215"/>
    </row>
    <row r="365" spans="1:3" ht="13.2">
      <c r="A365" s="215"/>
      <c r="B365" s="215"/>
      <c r="C365" s="215"/>
    </row>
    <row r="366" spans="1:3" ht="13.2">
      <c r="A366" s="215"/>
      <c r="B366" s="215"/>
      <c r="C366" s="215"/>
    </row>
    <row r="367" spans="1:3" ht="13.2">
      <c r="A367" s="215"/>
      <c r="B367" s="215"/>
      <c r="C367" s="215"/>
    </row>
    <row r="368" spans="1:3" ht="13.2">
      <c r="A368" s="215"/>
      <c r="B368" s="215"/>
      <c r="C368" s="215"/>
    </row>
    <row r="369" spans="1:3" ht="13.2">
      <c r="A369" s="215"/>
      <c r="B369" s="215"/>
      <c r="C369" s="215"/>
    </row>
    <row r="370" spans="1:3" ht="13.2">
      <c r="A370" s="215"/>
      <c r="B370" s="215"/>
      <c r="C370" s="215"/>
    </row>
    <row r="371" spans="1:3" ht="13.2">
      <c r="A371" s="215"/>
      <c r="B371" s="215"/>
      <c r="C371" s="215"/>
    </row>
    <row r="372" spans="1:3" ht="13.2">
      <c r="A372" s="215"/>
      <c r="B372" s="215"/>
      <c r="C372" s="215"/>
    </row>
    <row r="373" spans="1:3" ht="13.2">
      <c r="A373" s="215"/>
      <c r="B373" s="215"/>
      <c r="C373" s="215"/>
    </row>
    <row r="374" spans="1:3" ht="13.2">
      <c r="A374" s="215"/>
      <c r="B374" s="215"/>
      <c r="C374" s="215"/>
    </row>
    <row r="375" spans="1:3" ht="13.2">
      <c r="A375" s="215"/>
      <c r="B375" s="215"/>
      <c r="C375" s="215"/>
    </row>
    <row r="376" spans="1:3" ht="13.2">
      <c r="A376" s="215"/>
      <c r="B376" s="215"/>
      <c r="C376" s="215"/>
    </row>
    <row r="377" spans="1:3" ht="13.2">
      <c r="A377" s="215"/>
      <c r="B377" s="215"/>
      <c r="C377" s="215"/>
    </row>
    <row r="378" spans="1:3" ht="13.2">
      <c r="A378" s="215"/>
      <c r="B378" s="215"/>
      <c r="C378" s="215"/>
    </row>
    <row r="379" spans="1:3" ht="13.2">
      <c r="A379" s="215"/>
      <c r="B379" s="215"/>
      <c r="C379" s="215"/>
    </row>
    <row r="380" spans="1:3" ht="13.2">
      <c r="A380" s="215"/>
      <c r="B380" s="215"/>
      <c r="C380" s="215"/>
    </row>
    <row r="381" spans="1:3" ht="13.2">
      <c r="A381" s="215"/>
      <c r="B381" s="215"/>
      <c r="C381" s="215"/>
    </row>
    <row r="382" spans="1:3" ht="13.2">
      <c r="A382" s="215"/>
      <c r="B382" s="215"/>
      <c r="C382" s="215"/>
    </row>
    <row r="383" spans="1:3" ht="13.2">
      <c r="A383" s="215"/>
      <c r="B383" s="215"/>
      <c r="C383" s="215"/>
    </row>
    <row r="384" spans="1:3" ht="13.2">
      <c r="A384" s="215"/>
      <c r="B384" s="215"/>
      <c r="C384" s="215"/>
    </row>
    <row r="385" spans="1:3" ht="13.2">
      <c r="A385" s="215"/>
      <c r="B385" s="215"/>
      <c r="C385" s="215"/>
    </row>
    <row r="386" spans="1:3" ht="13.2">
      <c r="A386" s="215"/>
      <c r="B386" s="215"/>
      <c r="C386" s="215"/>
    </row>
    <row r="387" spans="1:3" ht="13.2">
      <c r="A387" s="215"/>
      <c r="B387" s="215"/>
      <c r="C387" s="215"/>
    </row>
    <row r="388" spans="1:3" ht="13.2">
      <c r="A388" s="215"/>
      <c r="B388" s="215"/>
      <c r="C388" s="215"/>
    </row>
    <row r="389" spans="1:3" ht="13.2">
      <c r="A389" s="215"/>
      <c r="B389" s="215"/>
      <c r="C389" s="215"/>
    </row>
    <row r="390" spans="1:3" ht="13.2">
      <c r="A390" s="215"/>
      <c r="B390" s="215"/>
      <c r="C390" s="215"/>
    </row>
    <row r="391" spans="1:3" ht="13.2">
      <c r="A391" s="215"/>
      <c r="B391" s="215"/>
      <c r="C391" s="215"/>
    </row>
    <row r="392" spans="1:3" ht="13.2">
      <c r="A392" s="215"/>
      <c r="B392" s="215"/>
      <c r="C392" s="215"/>
    </row>
    <row r="393" spans="1:3" ht="13.2">
      <c r="A393" s="215"/>
      <c r="B393" s="215"/>
      <c r="C393" s="215"/>
    </row>
    <row r="394" spans="1:3" ht="13.2">
      <c r="A394" s="215"/>
      <c r="B394" s="215"/>
      <c r="C394" s="215"/>
    </row>
    <row r="395" spans="1:3" ht="13.2">
      <c r="A395" s="215"/>
      <c r="B395" s="215"/>
      <c r="C395" s="215"/>
    </row>
    <row r="396" spans="1:3" ht="13.2">
      <c r="A396" s="215"/>
      <c r="B396" s="215"/>
      <c r="C396" s="215"/>
    </row>
    <row r="397" spans="1:3" ht="13.2">
      <c r="A397" s="215"/>
      <c r="B397" s="215"/>
      <c r="C397" s="215"/>
    </row>
    <row r="398" spans="1:3" ht="13.2">
      <c r="A398" s="215"/>
      <c r="B398" s="215"/>
      <c r="C398" s="215"/>
    </row>
    <row r="399" spans="1:3" ht="13.2">
      <c r="A399" s="215"/>
      <c r="B399" s="215"/>
      <c r="C399" s="215"/>
    </row>
    <row r="400" spans="1:3" ht="13.2">
      <c r="A400" s="215"/>
      <c r="B400" s="215"/>
      <c r="C400" s="215"/>
    </row>
    <row r="401" spans="1:3" ht="13.2">
      <c r="A401" s="215"/>
      <c r="B401" s="215"/>
      <c r="C401" s="215"/>
    </row>
    <row r="402" spans="1:3" ht="13.2">
      <c r="A402" s="215"/>
      <c r="B402" s="215"/>
      <c r="C402" s="215"/>
    </row>
    <row r="403" spans="1:3" ht="13.2">
      <c r="A403" s="215"/>
      <c r="B403" s="215"/>
      <c r="C403" s="215"/>
    </row>
    <row r="404" spans="1:3" ht="13.2">
      <c r="A404" s="215"/>
      <c r="B404" s="215"/>
      <c r="C404" s="215"/>
    </row>
    <row r="405" spans="1:3" ht="13.2">
      <c r="A405" s="215"/>
      <c r="B405" s="215"/>
      <c r="C405" s="215"/>
    </row>
    <row r="406" spans="1:3" ht="13.2">
      <c r="A406" s="215"/>
      <c r="B406" s="215"/>
      <c r="C406" s="215"/>
    </row>
    <row r="407" spans="1:3" ht="13.2">
      <c r="A407" s="215"/>
      <c r="B407" s="215"/>
      <c r="C407" s="215"/>
    </row>
    <row r="408" spans="1:3" ht="13.2">
      <c r="A408" s="215"/>
      <c r="B408" s="215"/>
      <c r="C408" s="215"/>
    </row>
    <row r="409" spans="1:3" ht="13.2">
      <c r="A409" s="215"/>
      <c r="B409" s="215"/>
      <c r="C409" s="215"/>
    </row>
    <row r="410" spans="1:3" ht="13.2">
      <c r="A410" s="215"/>
      <c r="B410" s="215"/>
      <c r="C410" s="215"/>
    </row>
    <row r="411" spans="1:3" ht="13.2">
      <c r="A411" s="215"/>
      <c r="B411" s="215"/>
      <c r="C411" s="215"/>
    </row>
    <row r="412" spans="1:3" ht="13.2">
      <c r="A412" s="215"/>
      <c r="B412" s="215"/>
      <c r="C412" s="215"/>
    </row>
    <row r="413" spans="1:3" ht="13.2">
      <c r="A413" s="215"/>
      <c r="B413" s="215"/>
      <c r="C413" s="215"/>
    </row>
    <row r="414" spans="1:3" ht="13.2">
      <c r="A414" s="215"/>
      <c r="B414" s="215"/>
      <c r="C414" s="215"/>
    </row>
    <row r="415" spans="1:3" ht="13.2">
      <c r="A415" s="215"/>
      <c r="B415" s="215"/>
      <c r="C415" s="215"/>
    </row>
    <row r="416" spans="1:3" ht="13.2">
      <c r="A416" s="215"/>
      <c r="B416" s="215"/>
      <c r="C416" s="215"/>
    </row>
    <row r="417" spans="1:3" ht="13.2">
      <c r="A417" s="215"/>
      <c r="B417" s="215"/>
      <c r="C417" s="215"/>
    </row>
    <row r="418" spans="1:3" ht="13.2">
      <c r="A418" s="215"/>
      <c r="B418" s="215"/>
      <c r="C418" s="215"/>
    </row>
    <row r="419" spans="1:3" ht="13.2">
      <c r="A419" s="215"/>
      <c r="B419" s="215"/>
      <c r="C419" s="215"/>
    </row>
    <row r="420" spans="1:3" ht="13.2">
      <c r="A420" s="215"/>
      <c r="B420" s="215"/>
      <c r="C420" s="215"/>
    </row>
    <row r="421" spans="1:3" ht="13.2">
      <c r="A421" s="215"/>
      <c r="B421" s="215"/>
      <c r="C421" s="215"/>
    </row>
    <row r="422" spans="1:3" ht="13.2">
      <c r="A422" s="215"/>
      <c r="B422" s="215"/>
      <c r="C422" s="215"/>
    </row>
    <row r="423" spans="1:3" ht="13.2">
      <c r="A423" s="215"/>
      <c r="B423" s="215"/>
      <c r="C423" s="215"/>
    </row>
    <row r="424" spans="1:3" ht="13.2">
      <c r="A424" s="215"/>
      <c r="B424" s="215"/>
      <c r="C424" s="215"/>
    </row>
    <row r="425" spans="1:3" ht="13.2">
      <c r="A425" s="215"/>
      <c r="B425" s="215"/>
      <c r="C425" s="215"/>
    </row>
    <row r="426" spans="1:3" ht="13.2">
      <c r="A426" s="215"/>
      <c r="B426" s="215"/>
      <c r="C426" s="215"/>
    </row>
    <row r="427" spans="1:3" ht="13.2">
      <c r="A427" s="215"/>
      <c r="B427" s="215"/>
      <c r="C427" s="215"/>
    </row>
    <row r="428" spans="1:3" ht="13.2">
      <c r="A428" s="215"/>
      <c r="B428" s="215"/>
      <c r="C428" s="215"/>
    </row>
    <row r="429" spans="1:3" ht="13.2">
      <c r="A429" s="215"/>
      <c r="B429" s="215"/>
      <c r="C429" s="215"/>
    </row>
    <row r="430" spans="1:3" ht="13.2">
      <c r="A430" s="215"/>
      <c r="B430" s="215"/>
      <c r="C430" s="215"/>
    </row>
    <row r="431" spans="1:3" ht="13.2">
      <c r="A431" s="215"/>
      <c r="B431" s="215"/>
      <c r="C431" s="215"/>
    </row>
    <row r="432" spans="1:3" ht="13.2">
      <c r="A432" s="215"/>
      <c r="B432" s="215"/>
      <c r="C432" s="215"/>
    </row>
    <row r="433" spans="1:3" ht="13.2">
      <c r="A433" s="215"/>
      <c r="B433" s="215"/>
      <c r="C433" s="215"/>
    </row>
    <row r="434" spans="1:3" ht="13.2">
      <c r="A434" s="215"/>
      <c r="B434" s="215"/>
      <c r="C434" s="215"/>
    </row>
    <row r="435" spans="1:3" ht="13.2">
      <c r="A435" s="215"/>
      <c r="B435" s="215"/>
      <c r="C435" s="215"/>
    </row>
    <row r="436" spans="1:3" ht="13.2">
      <c r="A436" s="215"/>
      <c r="B436" s="215"/>
      <c r="C436" s="215"/>
    </row>
    <row r="437" spans="1:3" ht="13.2">
      <c r="A437" s="215"/>
      <c r="B437" s="215"/>
      <c r="C437" s="215"/>
    </row>
    <row r="438" spans="1:3" ht="13.2">
      <c r="A438" s="215"/>
      <c r="B438" s="215"/>
      <c r="C438" s="215"/>
    </row>
    <row r="439" spans="1:3" ht="13.2">
      <c r="A439" s="215"/>
      <c r="B439" s="215"/>
      <c r="C439" s="215"/>
    </row>
    <row r="440" spans="1:3" ht="13.2">
      <c r="A440" s="215"/>
      <c r="B440" s="215"/>
      <c r="C440" s="215"/>
    </row>
    <row r="441" spans="1:3" ht="13.2">
      <c r="A441" s="215"/>
      <c r="B441" s="215"/>
      <c r="C441" s="215"/>
    </row>
    <row r="442" spans="1:3" ht="13.2">
      <c r="A442" s="215"/>
      <c r="B442" s="215"/>
      <c r="C442" s="215"/>
    </row>
    <row r="443" spans="1:3" ht="13.2">
      <c r="A443" s="215"/>
      <c r="B443" s="215"/>
      <c r="C443" s="215"/>
    </row>
    <row r="444" spans="1:3" ht="13.2">
      <c r="A444" s="215"/>
      <c r="B444" s="215"/>
      <c r="C444" s="215"/>
    </row>
    <row r="445" spans="1:3" ht="13.2">
      <c r="A445" s="215"/>
      <c r="B445" s="215"/>
      <c r="C445" s="215"/>
    </row>
    <row r="446" spans="1:3" ht="13.2">
      <c r="A446" s="215"/>
      <c r="B446" s="215"/>
      <c r="C446" s="215"/>
    </row>
    <row r="447" spans="1:3" ht="13.2">
      <c r="A447" s="215"/>
      <c r="B447" s="215"/>
      <c r="C447" s="215"/>
    </row>
    <row r="448" spans="1:3" ht="13.2">
      <c r="A448" s="215"/>
      <c r="B448" s="215"/>
      <c r="C448" s="215"/>
    </row>
    <row r="449" spans="1:3" ht="13.2">
      <c r="A449" s="215"/>
      <c r="B449" s="215"/>
      <c r="C449" s="215"/>
    </row>
    <row r="450" spans="1:3" ht="13.2">
      <c r="A450" s="215"/>
      <c r="B450" s="215"/>
      <c r="C450" s="215"/>
    </row>
    <row r="451" spans="1:3" ht="13.2">
      <c r="A451" s="215"/>
      <c r="B451" s="215"/>
      <c r="C451" s="215"/>
    </row>
    <row r="452" spans="1:3" ht="13.2">
      <c r="A452" s="215"/>
      <c r="B452" s="215"/>
      <c r="C452" s="215"/>
    </row>
    <row r="453" spans="1:3" ht="13.2">
      <c r="A453" s="215"/>
      <c r="B453" s="215"/>
      <c r="C453" s="215"/>
    </row>
    <row r="454" spans="1:3" ht="13.2">
      <c r="A454" s="215"/>
      <c r="B454" s="215"/>
      <c r="C454" s="215"/>
    </row>
    <row r="455" spans="1:3" ht="13.2">
      <c r="A455" s="215"/>
      <c r="B455" s="215"/>
      <c r="C455" s="215"/>
    </row>
    <row r="456" spans="1:3" ht="13.2">
      <c r="A456" s="215"/>
      <c r="B456" s="215"/>
      <c r="C456" s="215"/>
    </row>
    <row r="457" spans="1:3" ht="13.2">
      <c r="A457" s="215"/>
      <c r="B457" s="215"/>
      <c r="C457" s="215"/>
    </row>
    <row r="458" spans="1:3" ht="13.2">
      <c r="A458" s="215"/>
      <c r="B458" s="215"/>
      <c r="C458" s="215"/>
    </row>
    <row r="459" spans="1:3" ht="13.2">
      <c r="A459" s="215"/>
      <c r="B459" s="215"/>
      <c r="C459" s="215"/>
    </row>
    <row r="460" spans="1:3" ht="13.2">
      <c r="A460" s="215"/>
      <c r="B460" s="215"/>
      <c r="C460" s="215"/>
    </row>
    <row r="461" spans="1:3" ht="13.2">
      <c r="A461" s="215"/>
      <c r="B461" s="215"/>
      <c r="C461" s="215"/>
    </row>
    <row r="462" spans="1:3" ht="13.2">
      <c r="A462" s="215"/>
      <c r="B462" s="215"/>
      <c r="C462" s="215"/>
    </row>
    <row r="463" spans="1:3" ht="13.2">
      <c r="A463" s="215"/>
      <c r="B463" s="215"/>
      <c r="C463" s="215"/>
    </row>
    <row r="464" spans="1:3" ht="13.2">
      <c r="A464" s="215"/>
      <c r="B464" s="215"/>
      <c r="C464" s="215"/>
    </row>
    <row r="465" spans="1:3" ht="13.2">
      <c r="A465" s="215"/>
      <c r="B465" s="215"/>
      <c r="C465" s="215"/>
    </row>
    <row r="466" spans="1:3" ht="13.2">
      <c r="A466" s="215"/>
      <c r="B466" s="215"/>
      <c r="C466" s="215"/>
    </row>
    <row r="467" spans="1:3" ht="13.2">
      <c r="A467" s="215"/>
      <c r="B467" s="215"/>
      <c r="C467" s="215"/>
    </row>
    <row r="468" spans="1:3" ht="13.2">
      <c r="A468" s="215"/>
      <c r="B468" s="215"/>
      <c r="C468" s="215"/>
    </row>
    <row r="469" spans="1:3" ht="13.2">
      <c r="A469" s="215"/>
      <c r="B469" s="215"/>
      <c r="C469" s="215"/>
    </row>
    <row r="470" spans="1:3" ht="13.2">
      <c r="A470" s="215"/>
      <c r="B470" s="215"/>
      <c r="C470" s="215"/>
    </row>
    <row r="471" spans="1:3" ht="13.2">
      <c r="A471" s="215"/>
      <c r="B471" s="215"/>
      <c r="C471" s="215"/>
    </row>
    <row r="472" spans="1:3" ht="13.2">
      <c r="A472" s="215"/>
      <c r="B472" s="215"/>
      <c r="C472" s="215"/>
    </row>
    <row r="473" spans="1:3" ht="13.2">
      <c r="A473" s="215"/>
      <c r="B473" s="215"/>
      <c r="C473" s="215"/>
    </row>
    <row r="474" spans="1:3" ht="13.2">
      <c r="A474" s="215"/>
      <c r="B474" s="215"/>
      <c r="C474" s="215"/>
    </row>
    <row r="475" spans="1:3" ht="13.2">
      <c r="A475" s="215"/>
      <c r="B475" s="215"/>
      <c r="C475" s="215"/>
    </row>
    <row r="476" spans="1:3" ht="13.2">
      <c r="A476" s="215"/>
      <c r="B476" s="215"/>
      <c r="C476" s="215"/>
    </row>
    <row r="477" spans="1:3" ht="13.2">
      <c r="A477" s="215"/>
      <c r="B477" s="215"/>
      <c r="C477" s="215"/>
    </row>
    <row r="478" spans="1:3" ht="13.2">
      <c r="A478" s="215"/>
      <c r="B478" s="215"/>
      <c r="C478" s="215"/>
    </row>
    <row r="479" spans="1:3" ht="13.2">
      <c r="A479" s="215"/>
      <c r="B479" s="215"/>
      <c r="C479" s="215"/>
    </row>
    <row r="480" spans="1:3" ht="13.2">
      <c r="A480" s="215"/>
      <c r="B480" s="215"/>
      <c r="C480" s="215"/>
    </row>
    <row r="481" spans="1:3" ht="13.2">
      <c r="A481" s="215"/>
      <c r="B481" s="215"/>
      <c r="C481" s="215"/>
    </row>
    <row r="482" spans="1:3" ht="13.2">
      <c r="A482" s="215"/>
      <c r="B482" s="215"/>
      <c r="C482" s="215"/>
    </row>
    <row r="483" spans="1:3" ht="13.2">
      <c r="A483" s="215"/>
      <c r="B483" s="215"/>
      <c r="C483" s="215"/>
    </row>
    <row r="484" spans="1:3" ht="13.2">
      <c r="A484" s="215"/>
      <c r="B484" s="215"/>
      <c r="C484" s="215"/>
    </row>
    <row r="485" spans="1:3" ht="13.2">
      <c r="A485" s="215"/>
      <c r="B485" s="215"/>
      <c r="C485" s="215"/>
    </row>
    <row r="486" spans="1:3" ht="13.2">
      <c r="A486" s="215"/>
      <c r="B486" s="215"/>
      <c r="C486" s="215"/>
    </row>
    <row r="487" spans="1:3" ht="13.2">
      <c r="A487" s="215"/>
      <c r="B487" s="215"/>
      <c r="C487" s="215"/>
    </row>
    <row r="488" spans="1:3" ht="13.2">
      <c r="A488" s="215"/>
      <c r="B488" s="215"/>
      <c r="C488" s="215"/>
    </row>
    <row r="489" spans="1:3" ht="13.2">
      <c r="A489" s="215"/>
      <c r="B489" s="215"/>
      <c r="C489" s="215"/>
    </row>
    <row r="490" spans="1:3" ht="13.2">
      <c r="A490" s="215"/>
      <c r="B490" s="215"/>
      <c r="C490" s="215"/>
    </row>
    <row r="491" spans="1:3" ht="13.2">
      <c r="A491" s="215"/>
      <c r="B491" s="215"/>
      <c r="C491" s="215"/>
    </row>
    <row r="492" spans="1:3" ht="13.2">
      <c r="A492" s="215"/>
      <c r="B492" s="215"/>
      <c r="C492" s="215"/>
    </row>
    <row r="493" spans="1:3" ht="13.2">
      <c r="A493" s="215"/>
      <c r="B493" s="215"/>
      <c r="C493" s="215"/>
    </row>
    <row r="494" spans="1:3" ht="13.2">
      <c r="A494" s="215"/>
      <c r="B494" s="215"/>
      <c r="C494" s="215"/>
    </row>
    <row r="495" spans="1:3" ht="13.2">
      <c r="A495" s="215"/>
      <c r="B495" s="215"/>
      <c r="C495" s="215"/>
    </row>
    <row r="496" spans="1:3" ht="13.2">
      <c r="A496" s="215"/>
      <c r="B496" s="215"/>
      <c r="C496" s="215"/>
    </row>
    <row r="497" spans="1:3" ht="13.2">
      <c r="A497" s="215"/>
      <c r="B497" s="215"/>
      <c r="C497" s="215"/>
    </row>
    <row r="498" spans="1:3" ht="13.2">
      <c r="A498" s="215"/>
      <c r="B498" s="215"/>
      <c r="C498" s="215"/>
    </row>
    <row r="499" spans="1:3" ht="13.2">
      <c r="A499" s="215"/>
      <c r="B499" s="215"/>
      <c r="C499" s="215"/>
    </row>
    <row r="500" spans="1:3" ht="13.2">
      <c r="A500" s="215"/>
      <c r="B500" s="215"/>
      <c r="C500" s="215"/>
    </row>
    <row r="501" spans="1:3" ht="13.2">
      <c r="A501" s="215"/>
      <c r="B501" s="215"/>
      <c r="C501" s="215"/>
    </row>
    <row r="502" spans="1:3" ht="13.2">
      <c r="A502" s="215"/>
      <c r="B502" s="215"/>
      <c r="C502" s="215"/>
    </row>
    <row r="503" spans="1:3" ht="13.2">
      <c r="A503" s="215"/>
      <c r="B503" s="215"/>
      <c r="C503" s="215"/>
    </row>
    <row r="504" spans="1:3" ht="13.2">
      <c r="A504" s="215"/>
      <c r="B504" s="215"/>
      <c r="C504" s="215"/>
    </row>
    <row r="505" spans="1:3" ht="13.2">
      <c r="A505" s="215"/>
      <c r="B505" s="215"/>
      <c r="C505" s="215"/>
    </row>
    <row r="506" spans="1:3" ht="13.2">
      <c r="A506" s="215"/>
      <c r="B506" s="215"/>
      <c r="C506" s="215"/>
    </row>
    <row r="507" spans="1:3" ht="13.2">
      <c r="A507" s="215"/>
      <c r="B507" s="215"/>
      <c r="C507" s="215"/>
    </row>
    <row r="508" spans="1:3" ht="13.2">
      <c r="A508" s="215"/>
      <c r="B508" s="215"/>
      <c r="C508" s="215"/>
    </row>
    <row r="509" spans="1:3" ht="13.2">
      <c r="A509" s="215"/>
      <c r="B509" s="215"/>
      <c r="C509" s="215"/>
    </row>
    <row r="510" spans="1:3" ht="13.2">
      <c r="A510" s="215"/>
      <c r="B510" s="215"/>
      <c r="C510" s="215"/>
    </row>
    <row r="511" spans="1:3" ht="13.2">
      <c r="A511" s="215"/>
      <c r="B511" s="215"/>
      <c r="C511" s="215"/>
    </row>
    <row r="512" spans="1:3" ht="13.2">
      <c r="A512" s="215"/>
      <c r="B512" s="215"/>
      <c r="C512" s="215"/>
    </row>
    <row r="513" spans="1:3" ht="13.2">
      <c r="A513" s="215"/>
      <c r="B513" s="215"/>
      <c r="C513" s="215"/>
    </row>
    <row r="514" spans="1:3" ht="13.2">
      <c r="A514" s="215"/>
      <c r="B514" s="215"/>
      <c r="C514" s="215"/>
    </row>
    <row r="515" spans="1:3" ht="13.2">
      <c r="A515" s="215"/>
      <c r="B515" s="215"/>
      <c r="C515" s="215"/>
    </row>
    <row r="516" spans="1:3" ht="13.2">
      <c r="A516" s="215"/>
      <c r="B516" s="215"/>
      <c r="C516" s="215"/>
    </row>
    <row r="517" spans="1:3" ht="13.2">
      <c r="A517" s="215"/>
      <c r="B517" s="215"/>
      <c r="C517" s="215"/>
    </row>
    <row r="518" spans="1:3" ht="13.2">
      <c r="A518" s="215"/>
      <c r="B518" s="215"/>
      <c r="C518" s="215"/>
    </row>
    <row r="519" spans="1:3" ht="13.2">
      <c r="A519" s="215"/>
      <c r="B519" s="215"/>
      <c r="C519" s="215"/>
    </row>
    <row r="520" spans="1:3" ht="13.2">
      <c r="A520" s="215"/>
      <c r="B520" s="215"/>
      <c r="C520" s="215"/>
    </row>
    <row r="521" spans="1:3" ht="13.2">
      <c r="A521" s="215"/>
      <c r="B521" s="215"/>
      <c r="C521" s="215"/>
    </row>
    <row r="522" spans="1:3" ht="13.2">
      <c r="A522" s="215"/>
      <c r="B522" s="215"/>
      <c r="C522" s="215"/>
    </row>
    <row r="523" spans="1:3" ht="13.2">
      <c r="A523" s="215"/>
      <c r="B523" s="215"/>
      <c r="C523" s="215"/>
    </row>
    <row r="524" spans="1:3" ht="13.2">
      <c r="A524" s="215"/>
      <c r="B524" s="215"/>
      <c r="C524" s="215"/>
    </row>
    <row r="525" spans="1:3" ht="13.2">
      <c r="A525" s="215"/>
      <c r="B525" s="215"/>
      <c r="C525" s="215"/>
    </row>
    <row r="526" spans="1:3" ht="13.2">
      <c r="A526" s="215"/>
      <c r="B526" s="215"/>
      <c r="C526" s="215"/>
    </row>
    <row r="527" spans="1:3" ht="13.2">
      <c r="A527" s="215"/>
      <c r="B527" s="215"/>
      <c r="C527" s="215"/>
    </row>
    <row r="528" spans="1:3" ht="13.2">
      <c r="A528" s="215"/>
      <c r="B528" s="215"/>
      <c r="C528" s="215"/>
    </row>
    <row r="529" spans="1:3" ht="13.2">
      <c r="A529" s="215"/>
      <c r="B529" s="215"/>
      <c r="C529" s="215"/>
    </row>
    <row r="530" spans="1:3" ht="13.2">
      <c r="A530" s="215"/>
      <c r="B530" s="215"/>
      <c r="C530" s="215"/>
    </row>
    <row r="531" spans="1:3" ht="13.2">
      <c r="A531" s="215"/>
      <c r="B531" s="215"/>
      <c r="C531" s="215"/>
    </row>
    <row r="532" spans="1:3" ht="13.2">
      <c r="A532" s="215"/>
      <c r="B532" s="215"/>
      <c r="C532" s="215"/>
    </row>
    <row r="533" spans="1:3" ht="13.2">
      <c r="A533" s="215"/>
      <c r="B533" s="215"/>
      <c r="C533" s="215"/>
    </row>
    <row r="534" spans="1:3" ht="13.2">
      <c r="A534" s="215"/>
      <c r="B534" s="215"/>
      <c r="C534" s="215"/>
    </row>
    <row r="535" spans="1:3" ht="13.2">
      <c r="A535" s="215"/>
      <c r="B535" s="215"/>
      <c r="C535" s="215"/>
    </row>
    <row r="536" spans="1:3" ht="13.2">
      <c r="A536" s="215"/>
      <c r="B536" s="215"/>
      <c r="C536" s="215"/>
    </row>
    <row r="537" spans="1:3" ht="13.2">
      <c r="A537" s="215"/>
      <c r="B537" s="215"/>
      <c r="C537" s="215"/>
    </row>
    <row r="538" spans="1:3" ht="13.2">
      <c r="A538" s="215"/>
      <c r="B538" s="215"/>
      <c r="C538" s="215"/>
    </row>
    <row r="539" spans="1:3" ht="13.2">
      <c r="A539" s="215"/>
      <c r="B539" s="215"/>
      <c r="C539" s="215"/>
    </row>
    <row r="540" spans="1:3" ht="13.2">
      <c r="A540" s="215"/>
      <c r="B540" s="215"/>
      <c r="C540" s="215"/>
    </row>
    <row r="541" spans="1:3" ht="13.2">
      <c r="A541" s="215"/>
      <c r="B541" s="215"/>
      <c r="C541" s="215"/>
    </row>
    <row r="542" spans="1:3" ht="13.2">
      <c r="A542" s="215"/>
      <c r="B542" s="215"/>
      <c r="C542" s="215"/>
    </row>
    <row r="543" spans="1:3" ht="13.2">
      <c r="A543" s="215"/>
      <c r="B543" s="215"/>
      <c r="C543" s="215"/>
    </row>
    <row r="544" spans="1:3" ht="13.2">
      <c r="A544" s="215"/>
      <c r="B544" s="215"/>
      <c r="C544" s="215"/>
    </row>
    <row r="545" spans="1:3" ht="13.2">
      <c r="A545" s="215"/>
      <c r="B545" s="215"/>
      <c r="C545" s="215"/>
    </row>
    <row r="546" spans="1:3" ht="13.2">
      <c r="A546" s="215"/>
      <c r="B546" s="215"/>
      <c r="C546" s="215"/>
    </row>
    <row r="547" spans="1:3" ht="13.2">
      <c r="A547" s="215"/>
      <c r="B547" s="215"/>
      <c r="C547" s="215"/>
    </row>
    <row r="548" spans="1:3" ht="13.2">
      <c r="A548" s="215"/>
      <c r="B548" s="215"/>
      <c r="C548" s="215"/>
    </row>
    <row r="549" spans="1:3" ht="13.2">
      <c r="A549" s="215"/>
      <c r="B549" s="215"/>
      <c r="C549" s="215"/>
    </row>
    <row r="550" spans="1:3" ht="13.2">
      <c r="A550" s="215"/>
      <c r="B550" s="215"/>
      <c r="C550" s="215"/>
    </row>
    <row r="551" spans="1:3" ht="13.2">
      <c r="A551" s="215"/>
      <c r="B551" s="215"/>
      <c r="C551" s="215"/>
    </row>
    <row r="552" spans="1:3" ht="13.2">
      <c r="A552" s="215"/>
      <c r="B552" s="215"/>
      <c r="C552" s="215"/>
    </row>
    <row r="553" spans="1:3" ht="13.2">
      <c r="A553" s="215"/>
      <c r="B553" s="215"/>
      <c r="C553" s="215"/>
    </row>
    <row r="554" spans="1:3" ht="13.2">
      <c r="A554" s="215"/>
      <c r="B554" s="215"/>
      <c r="C554" s="215"/>
    </row>
    <row r="555" spans="1:3" ht="13.2">
      <c r="A555" s="215"/>
      <c r="B555" s="215"/>
      <c r="C555" s="215"/>
    </row>
    <row r="556" spans="1:3" ht="13.2">
      <c r="A556" s="215"/>
      <c r="B556" s="215"/>
      <c r="C556" s="215"/>
    </row>
    <row r="557" spans="1:3" ht="13.2">
      <c r="A557" s="215"/>
      <c r="B557" s="215"/>
      <c r="C557" s="215"/>
    </row>
    <row r="558" spans="1:3" ht="13.2">
      <c r="A558" s="215"/>
      <c r="B558" s="215"/>
      <c r="C558" s="215"/>
    </row>
    <row r="559" spans="1:3" ht="13.2">
      <c r="A559" s="215"/>
      <c r="B559" s="215"/>
      <c r="C559" s="215"/>
    </row>
    <row r="560" spans="1:3" ht="13.2">
      <c r="A560" s="215"/>
      <c r="B560" s="215"/>
      <c r="C560" s="215"/>
    </row>
    <row r="561" spans="1:3" ht="13.2">
      <c r="A561" s="215"/>
      <c r="B561" s="215"/>
      <c r="C561" s="215"/>
    </row>
    <row r="562" spans="1:3" ht="13.2">
      <c r="A562" s="215"/>
      <c r="B562" s="215"/>
      <c r="C562" s="215"/>
    </row>
    <row r="563" spans="1:3" ht="13.2">
      <c r="A563" s="215"/>
      <c r="B563" s="215"/>
      <c r="C563" s="215"/>
    </row>
    <row r="564" spans="1:3" ht="13.2">
      <c r="A564" s="215"/>
      <c r="B564" s="215"/>
      <c r="C564" s="215"/>
    </row>
    <row r="565" spans="1:3" ht="13.2">
      <c r="A565" s="215"/>
      <c r="B565" s="215"/>
      <c r="C565" s="215"/>
    </row>
    <row r="566" spans="1:3" ht="13.2">
      <c r="A566" s="215"/>
      <c r="B566" s="215"/>
      <c r="C566" s="215"/>
    </row>
    <row r="567" spans="1:3" ht="13.2">
      <c r="A567" s="215"/>
      <c r="B567" s="215"/>
      <c r="C567" s="215"/>
    </row>
    <row r="568" spans="1:3" ht="13.2">
      <c r="A568" s="215"/>
      <c r="B568" s="215"/>
      <c r="C568" s="215"/>
    </row>
    <row r="569" spans="1:3" ht="13.2">
      <c r="A569" s="215"/>
      <c r="B569" s="215"/>
      <c r="C569" s="215"/>
    </row>
    <row r="570" spans="1:3" ht="13.2">
      <c r="A570" s="215"/>
      <c r="B570" s="215"/>
      <c r="C570" s="215"/>
    </row>
    <row r="571" spans="1:3" ht="13.2">
      <c r="A571" s="215"/>
      <c r="B571" s="215"/>
      <c r="C571" s="215"/>
    </row>
    <row r="572" spans="1:3" ht="13.2">
      <c r="A572" s="215"/>
      <c r="B572" s="215"/>
      <c r="C572" s="215"/>
    </row>
    <row r="573" spans="1:3" ht="13.2">
      <c r="A573" s="215"/>
      <c r="B573" s="215"/>
      <c r="C573" s="215"/>
    </row>
    <row r="574" spans="1:3" ht="13.2">
      <c r="A574" s="215"/>
      <c r="B574" s="215"/>
      <c r="C574" s="215"/>
    </row>
    <row r="575" spans="1:3" ht="13.2">
      <c r="A575" s="215"/>
      <c r="B575" s="215"/>
      <c r="C575" s="215"/>
    </row>
    <row r="576" spans="1:3" ht="13.2">
      <c r="A576" s="215"/>
      <c r="B576" s="215"/>
      <c r="C576" s="215"/>
    </row>
    <row r="577" spans="1:3" ht="13.2">
      <c r="A577" s="215"/>
      <c r="B577" s="215"/>
      <c r="C577" s="215"/>
    </row>
    <row r="578" spans="1:3" ht="13.2">
      <c r="A578" s="215"/>
      <c r="B578" s="215"/>
      <c r="C578" s="215"/>
    </row>
    <row r="579" spans="1:3" ht="13.2">
      <c r="A579" s="215"/>
      <c r="B579" s="215"/>
      <c r="C579" s="215"/>
    </row>
    <row r="580" spans="1:3" ht="13.2">
      <c r="A580" s="215"/>
      <c r="B580" s="215"/>
      <c r="C580" s="215"/>
    </row>
    <row r="581" spans="1:3" ht="13.2">
      <c r="A581" s="215"/>
      <c r="B581" s="215"/>
      <c r="C581" s="215"/>
    </row>
    <row r="582" spans="1:3" ht="13.2">
      <c r="A582" s="215"/>
      <c r="B582" s="215"/>
      <c r="C582" s="215"/>
    </row>
    <row r="583" spans="1:3" ht="13.2">
      <c r="A583" s="215"/>
      <c r="B583" s="215"/>
      <c r="C583" s="215"/>
    </row>
    <row r="584" spans="1:3" ht="13.2">
      <c r="A584" s="215"/>
      <c r="B584" s="215"/>
      <c r="C584" s="215"/>
    </row>
    <row r="585" spans="1:3" ht="13.2">
      <c r="A585" s="215"/>
      <c r="B585" s="215"/>
      <c r="C585" s="215"/>
    </row>
    <row r="586" spans="1:3" ht="13.2">
      <c r="A586" s="215"/>
      <c r="B586" s="215"/>
      <c r="C586" s="215"/>
    </row>
    <row r="587" spans="1:3" ht="13.2">
      <c r="A587" s="215"/>
      <c r="B587" s="215"/>
      <c r="C587" s="215"/>
    </row>
    <row r="588" spans="1:3" ht="13.2">
      <c r="A588" s="215"/>
      <c r="B588" s="215"/>
      <c r="C588" s="215"/>
    </row>
    <row r="589" spans="1:3" ht="13.2">
      <c r="A589" s="215"/>
      <c r="B589" s="215"/>
      <c r="C589" s="215"/>
    </row>
    <row r="590" spans="1:3" ht="13.2">
      <c r="A590" s="215"/>
      <c r="B590" s="215"/>
      <c r="C590" s="215"/>
    </row>
    <row r="591" spans="1:3" ht="13.2">
      <c r="A591" s="215"/>
      <c r="B591" s="215"/>
      <c r="C591" s="215"/>
    </row>
    <row r="592" spans="1:3" ht="13.2">
      <c r="A592" s="215"/>
      <c r="B592" s="215"/>
      <c r="C592" s="215"/>
    </row>
    <row r="593" spans="1:3" ht="13.2">
      <c r="A593" s="215"/>
      <c r="B593" s="215"/>
      <c r="C593" s="215"/>
    </row>
    <row r="594" spans="1:3" ht="13.2">
      <c r="A594" s="215"/>
      <c r="B594" s="215"/>
      <c r="C594" s="215"/>
    </row>
    <row r="595" spans="1:3" ht="13.2">
      <c r="A595" s="215"/>
      <c r="B595" s="215"/>
      <c r="C595" s="215"/>
    </row>
    <row r="596" spans="1:3" ht="13.2">
      <c r="A596" s="215"/>
      <c r="B596" s="215"/>
      <c r="C596" s="215"/>
    </row>
    <row r="597" spans="1:3" ht="13.2">
      <c r="A597" s="215"/>
      <c r="B597" s="215"/>
      <c r="C597" s="215"/>
    </row>
    <row r="598" spans="1:3" ht="13.2">
      <c r="A598" s="215"/>
      <c r="B598" s="215"/>
      <c r="C598" s="215"/>
    </row>
    <row r="599" spans="1:3" ht="13.2">
      <c r="A599" s="215"/>
      <c r="B599" s="215"/>
      <c r="C599" s="215"/>
    </row>
    <row r="600" spans="1:3" ht="13.2">
      <c r="A600" s="215"/>
      <c r="B600" s="215"/>
      <c r="C600" s="215"/>
    </row>
    <row r="601" spans="1:3" ht="13.2">
      <c r="A601" s="215"/>
      <c r="B601" s="215"/>
      <c r="C601" s="215"/>
    </row>
    <row r="602" spans="1:3" ht="13.2">
      <c r="A602" s="215"/>
      <c r="B602" s="215"/>
      <c r="C602" s="215"/>
    </row>
    <row r="603" spans="1:3" ht="13.2">
      <c r="A603" s="215"/>
      <c r="B603" s="215"/>
      <c r="C603" s="215"/>
    </row>
    <row r="604" spans="1:3" ht="13.2">
      <c r="A604" s="215"/>
      <c r="B604" s="215"/>
      <c r="C604" s="215"/>
    </row>
    <row r="605" spans="1:3" ht="13.2">
      <c r="A605" s="215"/>
      <c r="B605" s="215"/>
      <c r="C605" s="215"/>
    </row>
    <row r="606" spans="1:3" ht="13.2">
      <c r="A606" s="215"/>
      <c r="B606" s="215"/>
      <c r="C606" s="215"/>
    </row>
    <row r="607" spans="1:3" ht="13.2">
      <c r="A607" s="215"/>
      <c r="B607" s="215"/>
      <c r="C607" s="215"/>
    </row>
    <row r="608" spans="1:3" ht="13.2">
      <c r="A608" s="215"/>
      <c r="B608" s="215"/>
      <c r="C608" s="215"/>
    </row>
    <row r="609" spans="1:3" ht="13.2">
      <c r="A609" s="215"/>
      <c r="B609" s="215"/>
      <c r="C609" s="215"/>
    </row>
    <row r="610" spans="1:3" ht="13.2">
      <c r="A610" s="215"/>
      <c r="B610" s="215"/>
      <c r="C610" s="215"/>
    </row>
    <row r="611" spans="1:3" ht="13.2">
      <c r="A611" s="215"/>
      <c r="B611" s="215"/>
      <c r="C611" s="215"/>
    </row>
    <row r="612" spans="1:3" ht="13.2">
      <c r="A612" s="215"/>
      <c r="B612" s="215"/>
      <c r="C612" s="215"/>
    </row>
    <row r="613" spans="1:3" ht="13.2">
      <c r="A613" s="215"/>
      <c r="B613" s="215"/>
      <c r="C613" s="215"/>
    </row>
    <row r="614" spans="1:3" ht="13.2">
      <c r="A614" s="215"/>
      <c r="B614" s="215"/>
      <c r="C614" s="215"/>
    </row>
    <row r="615" spans="1:3" ht="13.2">
      <c r="A615" s="215"/>
      <c r="B615" s="215"/>
      <c r="C615" s="215"/>
    </row>
    <row r="616" spans="1:3" ht="13.2">
      <c r="A616" s="215"/>
      <c r="B616" s="215"/>
      <c r="C616" s="215"/>
    </row>
    <row r="617" spans="1:3" ht="13.2">
      <c r="A617" s="215"/>
      <c r="B617" s="215"/>
      <c r="C617" s="215"/>
    </row>
    <row r="618" spans="1:3" ht="13.2">
      <c r="A618" s="215"/>
      <c r="B618" s="215"/>
      <c r="C618" s="215"/>
    </row>
    <row r="619" spans="1:3" ht="13.2">
      <c r="A619" s="215"/>
      <c r="B619" s="215"/>
      <c r="C619" s="215"/>
    </row>
    <row r="620" spans="1:3" ht="13.2">
      <c r="A620" s="215"/>
      <c r="B620" s="215"/>
      <c r="C620" s="215"/>
    </row>
    <row r="621" spans="1:3" ht="13.2">
      <c r="A621" s="215"/>
      <c r="B621" s="215"/>
      <c r="C621" s="215"/>
    </row>
    <row r="622" spans="1:3" ht="13.2">
      <c r="A622" s="215"/>
      <c r="B622" s="215"/>
      <c r="C622" s="215"/>
    </row>
    <row r="623" spans="1:3" ht="13.2">
      <c r="A623" s="215"/>
      <c r="B623" s="215"/>
      <c r="C623" s="215"/>
    </row>
    <row r="624" spans="1:3" ht="13.2">
      <c r="A624" s="215"/>
      <c r="B624" s="215"/>
      <c r="C624" s="215"/>
    </row>
    <row r="625" spans="1:3" ht="13.2">
      <c r="A625" s="215"/>
      <c r="B625" s="215"/>
      <c r="C625" s="215"/>
    </row>
    <row r="626" spans="1:3" ht="13.2">
      <c r="A626" s="215"/>
      <c r="B626" s="215"/>
      <c r="C626" s="215"/>
    </row>
    <row r="627" spans="1:3" ht="13.2">
      <c r="A627" s="215"/>
      <c r="B627" s="215"/>
      <c r="C627" s="215"/>
    </row>
    <row r="628" spans="1:3" ht="13.2">
      <c r="A628" s="215"/>
      <c r="B628" s="215"/>
      <c r="C628" s="215"/>
    </row>
    <row r="629" spans="1:3" ht="13.2">
      <c r="A629" s="215"/>
      <c r="B629" s="215"/>
      <c r="C629" s="215"/>
    </row>
    <row r="630" spans="1:3" ht="13.2">
      <c r="A630" s="215"/>
      <c r="B630" s="215"/>
      <c r="C630" s="215"/>
    </row>
    <row r="631" spans="1:3" ht="13.2">
      <c r="A631" s="215"/>
      <c r="B631" s="215"/>
      <c r="C631" s="215"/>
    </row>
    <row r="632" spans="1:3" ht="13.2">
      <c r="A632" s="215"/>
      <c r="B632" s="215"/>
      <c r="C632" s="215"/>
    </row>
    <row r="633" spans="1:3" ht="13.2">
      <c r="A633" s="215"/>
      <c r="B633" s="215"/>
      <c r="C633" s="215"/>
    </row>
    <row r="634" spans="1:3" ht="13.2">
      <c r="A634" s="215"/>
      <c r="B634" s="215"/>
      <c r="C634" s="215"/>
    </row>
    <row r="635" spans="1:3" ht="13.2">
      <c r="A635" s="215"/>
      <c r="B635" s="215"/>
      <c r="C635" s="215"/>
    </row>
    <row r="636" spans="1:3" ht="13.2">
      <c r="A636" s="215"/>
      <c r="B636" s="215"/>
      <c r="C636" s="215"/>
    </row>
    <row r="637" spans="1:3" ht="13.2">
      <c r="A637" s="215"/>
      <c r="B637" s="215"/>
      <c r="C637" s="215"/>
    </row>
    <row r="638" spans="1:3" ht="13.2">
      <c r="A638" s="215"/>
      <c r="B638" s="215"/>
      <c r="C638" s="215"/>
    </row>
    <row r="639" spans="1:3" ht="13.2">
      <c r="A639" s="215"/>
      <c r="B639" s="215"/>
      <c r="C639" s="215"/>
    </row>
    <row r="640" spans="1:3" ht="13.2">
      <c r="A640" s="215"/>
      <c r="B640" s="215"/>
      <c r="C640" s="215"/>
    </row>
    <row r="641" spans="1:3" ht="13.2">
      <c r="A641" s="215"/>
      <c r="B641" s="215"/>
      <c r="C641" s="215"/>
    </row>
    <row r="642" spans="1:3" ht="13.2">
      <c r="A642" s="215"/>
      <c r="B642" s="215"/>
      <c r="C642" s="215"/>
    </row>
    <row r="643" spans="1:3" ht="13.2">
      <c r="A643" s="215"/>
      <c r="B643" s="215"/>
      <c r="C643" s="215"/>
    </row>
    <row r="644" spans="1:3" ht="13.2">
      <c r="A644" s="215"/>
      <c r="B644" s="215"/>
      <c r="C644" s="215"/>
    </row>
    <row r="645" spans="1:3" ht="13.2">
      <c r="A645" s="215"/>
      <c r="B645" s="215"/>
      <c r="C645" s="215"/>
    </row>
    <row r="646" spans="1:3" ht="13.2">
      <c r="A646" s="215"/>
      <c r="B646" s="215"/>
      <c r="C646" s="215"/>
    </row>
    <row r="647" spans="1:3" ht="13.2">
      <c r="A647" s="215"/>
      <c r="B647" s="215"/>
      <c r="C647" s="215"/>
    </row>
    <row r="648" spans="1:3" ht="13.2">
      <c r="A648" s="215"/>
      <c r="B648" s="215"/>
      <c r="C648" s="215"/>
    </row>
    <row r="649" spans="1:3" ht="13.2">
      <c r="A649" s="215"/>
      <c r="B649" s="215"/>
      <c r="C649" s="215"/>
    </row>
    <row r="650" spans="1:3" ht="13.2">
      <c r="A650" s="215"/>
      <c r="B650" s="215"/>
      <c r="C650" s="215"/>
    </row>
    <row r="651" spans="1:3" ht="13.2">
      <c r="A651" s="215"/>
      <c r="B651" s="215"/>
      <c r="C651" s="215"/>
    </row>
    <row r="652" spans="1:3" ht="13.2">
      <c r="A652" s="215"/>
      <c r="B652" s="215"/>
      <c r="C652" s="215"/>
    </row>
    <row r="653" spans="1:3" ht="13.2">
      <c r="A653" s="215"/>
      <c r="B653" s="215"/>
      <c r="C653" s="215"/>
    </row>
    <row r="654" spans="1:3" ht="13.2">
      <c r="A654" s="215"/>
      <c r="B654" s="215"/>
      <c r="C654" s="215"/>
    </row>
    <row r="655" spans="1:3" ht="13.2">
      <c r="A655" s="215"/>
      <c r="B655" s="215"/>
      <c r="C655" s="215"/>
    </row>
    <row r="656" spans="1:3" ht="13.2">
      <c r="A656" s="215"/>
      <c r="B656" s="215"/>
      <c r="C656" s="215"/>
    </row>
    <row r="657" spans="1:3" ht="13.2">
      <c r="A657" s="215"/>
      <c r="B657" s="215"/>
      <c r="C657" s="215"/>
    </row>
    <row r="658" spans="1:3" ht="13.2">
      <c r="A658" s="215"/>
      <c r="B658" s="215"/>
      <c r="C658" s="215"/>
    </row>
    <row r="659" spans="1:3" ht="13.2">
      <c r="A659" s="215"/>
      <c r="B659" s="215"/>
      <c r="C659" s="215"/>
    </row>
    <row r="660" spans="1:3" ht="13.2">
      <c r="A660" s="215"/>
      <c r="B660" s="215"/>
      <c r="C660" s="215"/>
    </row>
    <row r="661" spans="1:3" ht="13.2">
      <c r="A661" s="215"/>
      <c r="B661" s="215"/>
      <c r="C661" s="215"/>
    </row>
    <row r="662" spans="1:3" ht="13.2">
      <c r="A662" s="215"/>
      <c r="B662" s="215"/>
      <c r="C662" s="215"/>
    </row>
    <row r="663" spans="1:3" ht="13.2">
      <c r="A663" s="215"/>
      <c r="B663" s="215"/>
      <c r="C663" s="215"/>
    </row>
    <row r="664" spans="1:3" ht="13.2">
      <c r="A664" s="215"/>
      <c r="B664" s="215"/>
      <c r="C664" s="215"/>
    </row>
    <row r="665" spans="1:3" ht="13.2">
      <c r="A665" s="215"/>
      <c r="B665" s="215"/>
      <c r="C665" s="215"/>
    </row>
    <row r="666" spans="1:3" ht="13.2">
      <c r="A666" s="215"/>
      <c r="B666" s="215"/>
      <c r="C666" s="215"/>
    </row>
    <row r="667" spans="1:3" ht="13.2">
      <c r="A667" s="215"/>
      <c r="B667" s="215"/>
      <c r="C667" s="215"/>
    </row>
    <row r="668" spans="1:3" ht="13.2">
      <c r="A668" s="215"/>
      <c r="B668" s="215"/>
      <c r="C668" s="215"/>
    </row>
    <row r="669" spans="1:3" ht="13.2">
      <c r="A669" s="215"/>
      <c r="B669" s="215"/>
      <c r="C669" s="215"/>
    </row>
    <row r="670" spans="1:3" ht="13.2">
      <c r="A670" s="215"/>
      <c r="B670" s="215"/>
      <c r="C670" s="215"/>
    </row>
    <row r="671" spans="1:3" ht="13.2">
      <c r="A671" s="215"/>
      <c r="B671" s="215"/>
      <c r="C671" s="215"/>
    </row>
    <row r="672" spans="1:3" ht="13.2">
      <c r="A672" s="215"/>
      <c r="B672" s="215"/>
      <c r="C672" s="215"/>
    </row>
    <row r="673" spans="1:3" ht="13.2">
      <c r="A673" s="215"/>
      <c r="B673" s="215"/>
      <c r="C673" s="215"/>
    </row>
    <row r="674" spans="1:3" ht="13.2">
      <c r="A674" s="215"/>
      <c r="B674" s="215"/>
      <c r="C674" s="215"/>
    </row>
    <row r="675" spans="1:3" ht="13.2">
      <c r="A675" s="215"/>
      <c r="B675" s="215"/>
      <c r="C675" s="215"/>
    </row>
    <row r="676" spans="1:3" ht="13.2">
      <c r="A676" s="215"/>
      <c r="B676" s="215"/>
      <c r="C676" s="215"/>
    </row>
    <row r="677" spans="1:3" ht="13.2">
      <c r="A677" s="215"/>
      <c r="B677" s="215"/>
      <c r="C677" s="215"/>
    </row>
    <row r="678" spans="1:3" ht="13.2">
      <c r="A678" s="215"/>
      <c r="B678" s="215"/>
      <c r="C678" s="215"/>
    </row>
    <row r="679" spans="1:3" ht="13.2">
      <c r="A679" s="215"/>
      <c r="B679" s="215"/>
      <c r="C679" s="215"/>
    </row>
    <row r="680" spans="1:3" ht="13.2">
      <c r="A680" s="215"/>
      <c r="B680" s="215"/>
      <c r="C680" s="215"/>
    </row>
    <row r="681" spans="1:3" ht="13.2">
      <c r="A681" s="215"/>
      <c r="B681" s="215"/>
      <c r="C681" s="215"/>
    </row>
    <row r="682" spans="1:3" ht="13.2">
      <c r="A682" s="215"/>
      <c r="B682" s="215"/>
      <c r="C682" s="215"/>
    </row>
    <row r="683" spans="1:3" ht="13.2">
      <c r="A683" s="215"/>
      <c r="B683" s="215"/>
      <c r="C683" s="215"/>
    </row>
    <row r="684" spans="1:3" ht="13.2">
      <c r="A684" s="215"/>
      <c r="B684" s="215"/>
      <c r="C684" s="215"/>
    </row>
    <row r="685" spans="1:3" ht="13.2">
      <c r="A685" s="215"/>
      <c r="B685" s="215"/>
      <c r="C685" s="215"/>
    </row>
    <row r="686" spans="1:3" ht="13.2">
      <c r="A686" s="215"/>
      <c r="B686" s="215"/>
      <c r="C686" s="215"/>
    </row>
    <row r="687" spans="1:3" ht="13.2">
      <c r="A687" s="215"/>
      <c r="B687" s="215"/>
      <c r="C687" s="215"/>
    </row>
    <row r="688" spans="1:3" ht="13.2">
      <c r="A688" s="215"/>
      <c r="B688" s="215"/>
      <c r="C688" s="215"/>
    </row>
    <row r="689" spans="1:3" ht="13.2">
      <c r="A689" s="215"/>
      <c r="B689" s="215"/>
      <c r="C689" s="215"/>
    </row>
    <row r="690" spans="1:3" ht="13.2">
      <c r="A690" s="215"/>
      <c r="B690" s="215"/>
      <c r="C690" s="215"/>
    </row>
    <row r="691" spans="1:3" ht="13.2">
      <c r="A691" s="215"/>
      <c r="B691" s="215"/>
      <c r="C691" s="215"/>
    </row>
    <row r="692" spans="1:3" ht="13.2">
      <c r="A692" s="215"/>
      <c r="B692" s="215"/>
      <c r="C692" s="215"/>
    </row>
    <row r="693" spans="1:3" ht="13.2">
      <c r="A693" s="215"/>
      <c r="B693" s="215"/>
      <c r="C693" s="215"/>
    </row>
    <row r="694" spans="1:3" ht="13.2">
      <c r="A694" s="215"/>
      <c r="B694" s="215"/>
      <c r="C694" s="215"/>
    </row>
    <row r="695" spans="1:3" ht="13.2">
      <c r="A695" s="215"/>
      <c r="B695" s="215"/>
      <c r="C695" s="215"/>
    </row>
    <row r="696" spans="1:3" ht="13.2">
      <c r="A696" s="215"/>
      <c r="B696" s="215"/>
      <c r="C696" s="215"/>
    </row>
    <row r="697" spans="1:3" ht="13.2">
      <c r="A697" s="215"/>
      <c r="B697" s="215"/>
      <c r="C697" s="215"/>
    </row>
    <row r="698" spans="1:3" ht="13.2">
      <c r="A698" s="215"/>
      <c r="B698" s="215"/>
      <c r="C698" s="215"/>
    </row>
    <row r="699" spans="1:3" ht="13.2">
      <c r="A699" s="215"/>
      <c r="B699" s="215"/>
      <c r="C699" s="215"/>
    </row>
    <row r="700" spans="1:3" ht="13.2">
      <c r="A700" s="215"/>
      <c r="B700" s="215"/>
      <c r="C700" s="215"/>
    </row>
    <row r="701" spans="1:3" ht="13.2">
      <c r="A701" s="215"/>
      <c r="B701" s="215"/>
      <c r="C701" s="215"/>
    </row>
    <row r="702" spans="1:3" ht="13.2">
      <c r="A702" s="215"/>
      <c r="B702" s="215"/>
      <c r="C702" s="215"/>
    </row>
    <row r="703" spans="1:3" ht="13.2">
      <c r="A703" s="215"/>
      <c r="B703" s="215"/>
      <c r="C703" s="215"/>
    </row>
    <row r="704" spans="1:3" ht="13.2">
      <c r="A704" s="215"/>
      <c r="B704" s="215"/>
      <c r="C704" s="215"/>
    </row>
    <row r="705" spans="1:3" ht="13.2">
      <c r="A705" s="215"/>
      <c r="B705" s="215"/>
      <c r="C705" s="215"/>
    </row>
    <row r="706" spans="1:3" ht="13.2">
      <c r="A706" s="215"/>
      <c r="B706" s="215"/>
      <c r="C706" s="215"/>
    </row>
    <row r="707" spans="1:3" ht="13.2">
      <c r="A707" s="215"/>
      <c r="B707" s="215"/>
      <c r="C707" s="215"/>
    </row>
    <row r="708" spans="1:3" ht="13.2">
      <c r="A708" s="215"/>
      <c r="B708" s="215"/>
      <c r="C708" s="215"/>
    </row>
    <row r="709" spans="1:3" ht="13.2">
      <c r="A709" s="215"/>
      <c r="B709" s="215"/>
      <c r="C709" s="215"/>
    </row>
    <row r="710" spans="1:3" ht="13.2">
      <c r="A710" s="215"/>
      <c r="B710" s="215"/>
      <c r="C710" s="215"/>
    </row>
    <row r="711" spans="1:3" ht="13.2">
      <c r="A711" s="215"/>
      <c r="B711" s="215"/>
      <c r="C711" s="215"/>
    </row>
    <row r="712" spans="1:3" ht="13.2">
      <c r="A712" s="215"/>
      <c r="B712" s="215"/>
      <c r="C712" s="215"/>
    </row>
    <row r="713" spans="1:3" ht="13.2">
      <c r="A713" s="215"/>
      <c r="B713" s="215"/>
      <c r="C713" s="215"/>
    </row>
    <row r="714" spans="1:3" ht="13.2">
      <c r="A714" s="215"/>
      <c r="B714" s="215"/>
      <c r="C714" s="215"/>
    </row>
    <row r="715" spans="1:3" ht="13.2">
      <c r="A715" s="215"/>
      <c r="B715" s="215"/>
      <c r="C715" s="215"/>
    </row>
    <row r="716" spans="1:3" ht="13.2">
      <c r="A716" s="215"/>
      <c r="B716" s="215"/>
      <c r="C716" s="215"/>
    </row>
    <row r="717" spans="1:3" ht="13.2">
      <c r="A717" s="215"/>
      <c r="B717" s="215"/>
      <c r="C717" s="215"/>
    </row>
    <row r="718" spans="1:3" ht="13.2">
      <c r="A718" s="215"/>
      <c r="B718" s="215"/>
      <c r="C718" s="215"/>
    </row>
    <row r="719" spans="1:3" ht="13.2">
      <c r="A719" s="215"/>
      <c r="B719" s="215"/>
      <c r="C719" s="215"/>
    </row>
    <row r="720" spans="1:3" ht="13.2">
      <c r="A720" s="215"/>
      <c r="B720" s="215"/>
      <c r="C720" s="215"/>
    </row>
    <row r="721" spans="1:3" ht="13.2">
      <c r="A721" s="215"/>
      <c r="B721" s="215"/>
      <c r="C721" s="215"/>
    </row>
    <row r="722" spans="1:3" ht="13.2">
      <c r="A722" s="215"/>
      <c r="B722" s="215"/>
      <c r="C722" s="215"/>
    </row>
    <row r="723" spans="1:3" ht="13.2">
      <c r="A723" s="215"/>
      <c r="B723" s="215"/>
      <c r="C723" s="215"/>
    </row>
    <row r="724" spans="1:3" ht="13.2">
      <c r="A724" s="215"/>
      <c r="B724" s="215"/>
      <c r="C724" s="215"/>
    </row>
    <row r="725" spans="1:3" ht="13.2">
      <c r="A725" s="215"/>
      <c r="B725" s="215"/>
      <c r="C725" s="215"/>
    </row>
    <row r="726" spans="1:3" ht="13.2">
      <c r="A726" s="215"/>
      <c r="B726" s="215"/>
      <c r="C726" s="215"/>
    </row>
    <row r="727" spans="1:3" ht="13.2">
      <c r="A727" s="215"/>
      <c r="B727" s="215"/>
      <c r="C727" s="215"/>
    </row>
    <row r="728" spans="1:3" ht="13.2">
      <c r="A728" s="215"/>
      <c r="B728" s="215"/>
      <c r="C728" s="215"/>
    </row>
    <row r="729" spans="1:3" ht="13.2">
      <c r="A729" s="215"/>
      <c r="B729" s="215"/>
      <c r="C729" s="215"/>
    </row>
    <row r="730" spans="1:3" ht="13.2">
      <c r="A730" s="215"/>
      <c r="B730" s="215"/>
      <c r="C730" s="215"/>
    </row>
    <row r="731" spans="1:3" ht="13.2">
      <c r="A731" s="215"/>
      <c r="B731" s="215"/>
      <c r="C731" s="215"/>
    </row>
    <row r="732" spans="1:3" ht="13.2">
      <c r="A732" s="215"/>
      <c r="B732" s="215"/>
      <c r="C732" s="215"/>
    </row>
    <row r="733" spans="1:3" ht="13.2">
      <c r="A733" s="215"/>
      <c r="B733" s="215"/>
      <c r="C733" s="215"/>
    </row>
    <row r="734" spans="1:3" ht="13.2">
      <c r="A734" s="215"/>
      <c r="B734" s="215"/>
      <c r="C734" s="215"/>
    </row>
    <row r="735" spans="1:3" ht="13.2">
      <c r="A735" s="215"/>
      <c r="B735" s="215"/>
      <c r="C735" s="215"/>
    </row>
    <row r="736" spans="1:3" ht="13.2">
      <c r="A736" s="215"/>
      <c r="B736" s="215"/>
      <c r="C736" s="215"/>
    </row>
    <row r="737" spans="1:3" ht="13.2">
      <c r="A737" s="215"/>
      <c r="B737" s="215"/>
      <c r="C737" s="215"/>
    </row>
    <row r="738" spans="1:3" ht="13.2">
      <c r="A738" s="215"/>
      <c r="B738" s="215"/>
      <c r="C738" s="215"/>
    </row>
    <row r="739" spans="1:3" ht="13.2">
      <c r="A739" s="215"/>
      <c r="B739" s="215"/>
      <c r="C739" s="215"/>
    </row>
    <row r="740" spans="1:3" ht="13.2">
      <c r="A740" s="215"/>
      <c r="B740" s="215"/>
      <c r="C740" s="215"/>
    </row>
    <row r="741" spans="1:3" ht="13.2">
      <c r="A741" s="215"/>
      <c r="B741" s="215"/>
      <c r="C741" s="215"/>
    </row>
    <row r="742" spans="1:3" ht="13.2">
      <c r="A742" s="215"/>
      <c r="B742" s="215"/>
      <c r="C742" s="215"/>
    </row>
    <row r="743" spans="1:3" ht="13.2">
      <c r="A743" s="215"/>
      <c r="B743" s="215"/>
      <c r="C743" s="215"/>
    </row>
    <row r="744" spans="1:3" ht="13.2">
      <c r="A744" s="215"/>
      <c r="B744" s="215"/>
      <c r="C744" s="215"/>
    </row>
    <row r="745" spans="1:3" ht="13.2">
      <c r="A745" s="215"/>
      <c r="B745" s="215"/>
      <c r="C745" s="215"/>
    </row>
    <row r="746" spans="1:3" ht="13.2">
      <c r="A746" s="215"/>
      <c r="B746" s="215"/>
      <c r="C746" s="215"/>
    </row>
    <row r="747" spans="1:3" ht="13.2">
      <c r="A747" s="215"/>
      <c r="B747" s="215"/>
      <c r="C747" s="215"/>
    </row>
    <row r="748" spans="1:3" ht="13.2">
      <c r="A748" s="215"/>
      <c r="B748" s="215"/>
      <c r="C748" s="215"/>
    </row>
    <row r="749" spans="1:3" ht="13.2">
      <c r="A749" s="215"/>
      <c r="B749" s="215"/>
      <c r="C749" s="215"/>
    </row>
    <row r="750" spans="1:3" ht="13.2">
      <c r="A750" s="215"/>
      <c r="B750" s="215"/>
      <c r="C750" s="215"/>
    </row>
    <row r="751" spans="1:3" ht="13.2">
      <c r="A751" s="215"/>
      <c r="B751" s="215"/>
      <c r="C751" s="215"/>
    </row>
    <row r="752" spans="1:3" ht="13.2">
      <c r="A752" s="215"/>
      <c r="B752" s="215"/>
      <c r="C752" s="215"/>
    </row>
    <row r="753" spans="1:3" ht="13.2">
      <c r="A753" s="215"/>
      <c r="B753" s="215"/>
      <c r="C753" s="215"/>
    </row>
    <row r="754" spans="1:3" ht="13.2">
      <c r="A754" s="215"/>
      <c r="B754" s="215"/>
      <c r="C754" s="215"/>
    </row>
    <row r="755" spans="1:3" ht="13.2">
      <c r="A755" s="215"/>
      <c r="B755" s="215"/>
      <c r="C755" s="215"/>
    </row>
    <row r="756" spans="1:3" ht="13.2">
      <c r="A756" s="215"/>
      <c r="B756" s="215"/>
      <c r="C756" s="215"/>
    </row>
    <row r="757" spans="1:3" ht="13.2">
      <c r="A757" s="215"/>
      <c r="B757" s="215"/>
      <c r="C757" s="215"/>
    </row>
    <row r="758" spans="1:3" ht="13.2">
      <c r="A758" s="215"/>
      <c r="B758" s="215"/>
      <c r="C758" s="215"/>
    </row>
    <row r="759" spans="1:3" ht="13.2">
      <c r="A759" s="215"/>
      <c r="B759" s="215"/>
      <c r="C759" s="215"/>
    </row>
    <row r="760" spans="1:3" ht="13.2">
      <c r="A760" s="215"/>
      <c r="B760" s="215"/>
      <c r="C760" s="215"/>
    </row>
    <row r="761" spans="1:3" ht="13.2">
      <c r="A761" s="215"/>
      <c r="B761" s="215"/>
      <c r="C761" s="215"/>
    </row>
    <row r="762" spans="1:3" ht="13.2">
      <c r="A762" s="215"/>
      <c r="B762" s="215"/>
      <c r="C762" s="215"/>
    </row>
    <row r="763" spans="1:3" ht="13.2">
      <c r="A763" s="215"/>
      <c r="B763" s="215"/>
      <c r="C763" s="215"/>
    </row>
    <row r="764" spans="1:3" ht="13.2">
      <c r="A764" s="215"/>
      <c r="B764" s="215"/>
      <c r="C764" s="215"/>
    </row>
    <row r="765" spans="1:3" ht="13.2">
      <c r="A765" s="215"/>
      <c r="B765" s="215"/>
      <c r="C765" s="215"/>
    </row>
    <row r="766" spans="1:3" ht="13.2">
      <c r="A766" s="215"/>
      <c r="B766" s="215"/>
      <c r="C766" s="215"/>
    </row>
    <row r="767" spans="1:3" ht="13.2">
      <c r="A767" s="215"/>
      <c r="B767" s="215"/>
      <c r="C767" s="215"/>
    </row>
    <row r="768" spans="1:3" ht="13.2">
      <c r="A768" s="215"/>
      <c r="B768" s="215"/>
      <c r="C768" s="215"/>
    </row>
    <row r="769" spans="1:3" ht="13.2">
      <c r="A769" s="215"/>
      <c r="B769" s="215"/>
      <c r="C769" s="215"/>
    </row>
    <row r="770" spans="1:3" ht="13.2">
      <c r="A770" s="215"/>
      <c r="B770" s="215"/>
      <c r="C770" s="215"/>
    </row>
    <row r="771" spans="1:3" ht="13.2">
      <c r="A771" s="215"/>
      <c r="B771" s="215"/>
      <c r="C771" s="215"/>
    </row>
    <row r="772" spans="1:3" ht="13.2">
      <c r="A772" s="215"/>
      <c r="B772" s="215"/>
      <c r="C772" s="215"/>
    </row>
    <row r="773" spans="1:3" ht="13.2">
      <c r="A773" s="215"/>
      <c r="B773" s="215"/>
      <c r="C773" s="215"/>
    </row>
    <row r="774" spans="1:3" ht="13.2">
      <c r="A774" s="215"/>
      <c r="B774" s="215"/>
      <c r="C774" s="215"/>
    </row>
    <row r="775" spans="1:3" ht="13.2">
      <c r="A775" s="215"/>
      <c r="B775" s="215"/>
      <c r="C775" s="215"/>
    </row>
    <row r="776" spans="1:3" ht="13.2">
      <c r="A776" s="215"/>
      <c r="B776" s="215"/>
      <c r="C776" s="215"/>
    </row>
    <row r="777" spans="1:3" ht="13.2">
      <c r="A777" s="215"/>
      <c r="B777" s="215"/>
      <c r="C777" s="215"/>
    </row>
    <row r="778" spans="1:3" ht="13.2">
      <c r="A778" s="215"/>
      <c r="B778" s="215"/>
      <c r="C778" s="215"/>
    </row>
    <row r="779" spans="1:3" ht="13.2">
      <c r="A779" s="215"/>
      <c r="B779" s="215"/>
      <c r="C779" s="215"/>
    </row>
    <row r="780" spans="1:3" ht="13.2">
      <c r="A780" s="215"/>
      <c r="B780" s="215"/>
      <c r="C780" s="215"/>
    </row>
    <row r="781" spans="1:3" ht="13.2">
      <c r="A781" s="215"/>
      <c r="B781" s="215"/>
      <c r="C781" s="215"/>
    </row>
    <row r="782" spans="1:3" ht="13.2">
      <c r="A782" s="215"/>
      <c r="B782" s="215"/>
      <c r="C782" s="215"/>
    </row>
    <row r="783" spans="1:3" ht="13.2">
      <c r="A783" s="215"/>
      <c r="B783" s="215"/>
      <c r="C783" s="215"/>
    </row>
    <row r="784" spans="1:3" ht="13.2">
      <c r="A784" s="215"/>
      <c r="B784" s="215"/>
      <c r="C784" s="215"/>
    </row>
    <row r="785" spans="1:3" ht="13.2">
      <c r="A785" s="215"/>
      <c r="B785" s="215"/>
      <c r="C785" s="215"/>
    </row>
    <row r="786" spans="1:3" ht="13.2">
      <c r="A786" s="215"/>
      <c r="B786" s="215"/>
      <c r="C786" s="215"/>
    </row>
    <row r="787" spans="1:3" ht="13.2">
      <c r="A787" s="215"/>
      <c r="B787" s="215"/>
      <c r="C787" s="215"/>
    </row>
    <row r="788" spans="1:3" ht="13.2">
      <c r="A788" s="215"/>
      <c r="B788" s="215"/>
      <c r="C788" s="215"/>
    </row>
    <row r="789" spans="1:3" ht="13.2">
      <c r="A789" s="215"/>
      <c r="B789" s="215"/>
      <c r="C789" s="215"/>
    </row>
    <row r="790" spans="1:3" ht="13.2">
      <c r="A790" s="215"/>
      <c r="B790" s="215"/>
      <c r="C790" s="215"/>
    </row>
    <row r="791" spans="1:3" ht="13.2">
      <c r="A791" s="215"/>
      <c r="B791" s="215"/>
      <c r="C791" s="215"/>
    </row>
    <row r="792" spans="1:3" ht="13.2">
      <c r="A792" s="215"/>
      <c r="B792" s="215"/>
      <c r="C792" s="215"/>
    </row>
    <row r="793" spans="1:3" ht="13.2">
      <c r="A793" s="215"/>
      <c r="B793" s="215"/>
      <c r="C793" s="215"/>
    </row>
    <row r="794" spans="1:3" ht="13.2">
      <c r="A794" s="215"/>
      <c r="B794" s="215"/>
      <c r="C794" s="215"/>
    </row>
    <row r="795" spans="1:3" ht="13.2">
      <c r="A795" s="215"/>
      <c r="B795" s="215"/>
      <c r="C795" s="215"/>
    </row>
    <row r="796" spans="1:3" ht="13.2">
      <c r="A796" s="215"/>
      <c r="B796" s="215"/>
      <c r="C796" s="215"/>
    </row>
    <row r="797" spans="1:3" ht="13.2">
      <c r="A797" s="215"/>
      <c r="B797" s="215"/>
      <c r="C797" s="215"/>
    </row>
    <row r="798" spans="1:3" ht="13.2">
      <c r="A798" s="215"/>
      <c r="B798" s="215"/>
      <c r="C798" s="215"/>
    </row>
    <row r="799" spans="1:3" ht="13.2">
      <c r="A799" s="215"/>
      <c r="B799" s="215"/>
      <c r="C799" s="215"/>
    </row>
    <row r="800" spans="1:3" ht="13.2">
      <c r="A800" s="215"/>
      <c r="B800" s="215"/>
      <c r="C800" s="215"/>
    </row>
    <row r="801" spans="1:3" ht="13.2">
      <c r="A801" s="215"/>
      <c r="B801" s="215"/>
      <c r="C801" s="215"/>
    </row>
    <row r="802" spans="1:3" ht="13.2">
      <c r="A802" s="215"/>
      <c r="B802" s="215"/>
      <c r="C802" s="215"/>
    </row>
    <row r="803" spans="1:3" ht="13.2">
      <c r="A803" s="215"/>
      <c r="B803" s="215"/>
      <c r="C803" s="215"/>
    </row>
    <row r="804" spans="1:3" ht="13.2">
      <c r="A804" s="215"/>
      <c r="B804" s="215"/>
      <c r="C804" s="215"/>
    </row>
    <row r="805" spans="1:3" ht="13.2">
      <c r="A805" s="215"/>
      <c r="B805" s="215"/>
      <c r="C805" s="215"/>
    </row>
    <row r="806" spans="1:3" ht="13.2">
      <c r="A806" s="215"/>
      <c r="B806" s="215"/>
      <c r="C806" s="215"/>
    </row>
    <row r="807" spans="1:3" ht="13.2">
      <c r="A807" s="215"/>
      <c r="B807" s="215"/>
      <c r="C807" s="215"/>
    </row>
    <row r="808" spans="1:3" ht="13.2">
      <c r="A808" s="215"/>
      <c r="B808" s="215"/>
      <c r="C808" s="215"/>
    </row>
    <row r="809" spans="1:3" ht="13.2">
      <c r="A809" s="215"/>
      <c r="B809" s="215"/>
      <c r="C809" s="215"/>
    </row>
    <row r="810" spans="1:3" ht="13.2">
      <c r="A810" s="215"/>
      <c r="B810" s="215"/>
      <c r="C810" s="215"/>
    </row>
    <row r="811" spans="1:3" ht="13.2">
      <c r="A811" s="215"/>
      <c r="B811" s="215"/>
      <c r="C811" s="215"/>
    </row>
    <row r="812" spans="1:3" ht="13.2">
      <c r="A812" s="215"/>
      <c r="B812" s="215"/>
      <c r="C812" s="215"/>
    </row>
    <row r="813" spans="1:3" ht="13.2">
      <c r="A813" s="215"/>
      <c r="B813" s="215"/>
      <c r="C813" s="215"/>
    </row>
    <row r="814" spans="1:3" ht="13.2">
      <c r="A814" s="215"/>
      <c r="B814" s="215"/>
      <c r="C814" s="215"/>
    </row>
    <row r="815" spans="1:3" ht="13.2">
      <c r="A815" s="215"/>
      <c r="B815" s="215"/>
      <c r="C815" s="215"/>
    </row>
    <row r="816" spans="1:3" ht="13.2">
      <c r="A816" s="215"/>
      <c r="B816" s="215"/>
      <c r="C816" s="215"/>
    </row>
    <row r="817" spans="1:3" ht="13.2">
      <c r="A817" s="215"/>
      <c r="B817" s="215"/>
      <c r="C817" s="215"/>
    </row>
    <row r="818" spans="1:3" ht="13.2">
      <c r="A818" s="215"/>
      <c r="B818" s="215"/>
      <c r="C818" s="215"/>
    </row>
    <row r="819" spans="1:3" ht="13.2">
      <c r="A819" s="215"/>
      <c r="B819" s="215"/>
      <c r="C819" s="215"/>
    </row>
    <row r="820" spans="1:3" ht="13.2">
      <c r="A820" s="215"/>
      <c r="B820" s="215"/>
      <c r="C820" s="215"/>
    </row>
    <row r="821" spans="1:3" ht="13.2">
      <c r="A821" s="215"/>
      <c r="B821" s="215"/>
      <c r="C821" s="215"/>
    </row>
    <row r="822" spans="1:3" ht="13.2">
      <c r="A822" s="215"/>
      <c r="B822" s="215"/>
      <c r="C822" s="215"/>
    </row>
    <row r="823" spans="1:3" ht="13.2">
      <c r="A823" s="215"/>
      <c r="B823" s="215"/>
      <c r="C823" s="215"/>
    </row>
    <row r="824" spans="1:3" ht="13.2">
      <c r="A824" s="215"/>
      <c r="B824" s="215"/>
      <c r="C824" s="215"/>
    </row>
    <row r="825" spans="1:3" ht="13.2">
      <c r="A825" s="215"/>
      <c r="B825" s="215"/>
      <c r="C825" s="215"/>
    </row>
    <row r="826" spans="1:3" ht="13.2">
      <c r="A826" s="215"/>
      <c r="B826" s="215"/>
      <c r="C826" s="215"/>
    </row>
    <row r="827" spans="1:3" ht="13.2">
      <c r="A827" s="215"/>
      <c r="B827" s="215"/>
      <c r="C827" s="215"/>
    </row>
    <row r="828" spans="1:3" ht="13.2">
      <c r="A828" s="215"/>
      <c r="B828" s="215"/>
      <c r="C828" s="215"/>
    </row>
    <row r="829" spans="1:3" ht="13.2">
      <c r="A829" s="215"/>
      <c r="B829" s="215"/>
      <c r="C829" s="215"/>
    </row>
    <row r="830" spans="1:3" ht="13.2">
      <c r="A830" s="215"/>
      <c r="B830" s="215"/>
      <c r="C830" s="215"/>
    </row>
    <row r="831" spans="1:3" ht="13.2">
      <c r="A831" s="215"/>
      <c r="B831" s="215"/>
      <c r="C831" s="215"/>
    </row>
    <row r="832" spans="1:3" ht="13.2">
      <c r="A832" s="215"/>
      <c r="B832" s="215"/>
      <c r="C832" s="215"/>
    </row>
    <row r="833" spans="1:3" ht="13.2">
      <c r="A833" s="215"/>
      <c r="B833" s="215"/>
      <c r="C833" s="215"/>
    </row>
    <row r="834" spans="1:3" ht="13.2">
      <c r="A834" s="215"/>
      <c r="B834" s="215"/>
      <c r="C834" s="215"/>
    </row>
    <row r="835" spans="1:3" ht="13.2">
      <c r="A835" s="215"/>
      <c r="B835" s="215"/>
      <c r="C835" s="215"/>
    </row>
    <row r="836" spans="1:3" ht="13.2">
      <c r="A836" s="215"/>
      <c r="B836" s="215"/>
      <c r="C836" s="215"/>
    </row>
    <row r="837" spans="1:3" ht="13.2">
      <c r="A837" s="215"/>
      <c r="B837" s="215"/>
      <c r="C837" s="215"/>
    </row>
    <row r="838" spans="1:3" ht="13.2">
      <c r="A838" s="215"/>
      <c r="B838" s="215"/>
      <c r="C838" s="215"/>
    </row>
    <row r="839" spans="1:3" ht="13.2">
      <c r="A839" s="215"/>
      <c r="B839" s="215"/>
      <c r="C839" s="215"/>
    </row>
    <row r="840" spans="1:3" ht="13.2">
      <c r="A840" s="215"/>
      <c r="B840" s="215"/>
      <c r="C840" s="215"/>
    </row>
    <row r="841" spans="1:3" ht="13.2">
      <c r="A841" s="215"/>
      <c r="B841" s="215"/>
      <c r="C841" s="215"/>
    </row>
    <row r="842" spans="1:3" ht="13.2">
      <c r="A842" s="215"/>
      <c r="B842" s="215"/>
      <c r="C842" s="215"/>
    </row>
    <row r="843" spans="1:3" ht="13.2">
      <c r="A843" s="215"/>
      <c r="B843" s="215"/>
      <c r="C843" s="215"/>
    </row>
    <row r="844" spans="1:3" ht="13.2">
      <c r="A844" s="215"/>
      <c r="B844" s="215"/>
      <c r="C844" s="215"/>
    </row>
    <row r="845" spans="1:3" ht="13.2">
      <c r="A845" s="215"/>
      <c r="B845" s="215"/>
      <c r="C845" s="215"/>
    </row>
    <row r="846" spans="1:3" ht="13.2">
      <c r="A846" s="215"/>
      <c r="B846" s="215"/>
      <c r="C846" s="215"/>
    </row>
    <row r="847" spans="1:3" ht="13.2">
      <c r="A847" s="215"/>
      <c r="B847" s="215"/>
      <c r="C847" s="215"/>
    </row>
    <row r="848" spans="1:3" ht="13.2">
      <c r="A848" s="215"/>
      <c r="B848" s="215"/>
      <c r="C848" s="215"/>
    </row>
    <row r="849" spans="1:3" ht="13.2">
      <c r="A849" s="215"/>
      <c r="B849" s="215"/>
      <c r="C849" s="215"/>
    </row>
    <row r="850" spans="1:3" ht="13.2">
      <c r="A850" s="215"/>
      <c r="B850" s="215"/>
      <c r="C850" s="215"/>
    </row>
    <row r="851" spans="1:3" ht="13.2">
      <c r="A851" s="215"/>
      <c r="B851" s="215"/>
      <c r="C851" s="215"/>
    </row>
    <row r="852" spans="1:3" ht="13.2">
      <c r="A852" s="215"/>
      <c r="B852" s="215"/>
      <c r="C852" s="215"/>
    </row>
    <row r="853" spans="1:3" ht="13.2">
      <c r="A853" s="215"/>
      <c r="B853" s="215"/>
      <c r="C853" s="215"/>
    </row>
    <row r="854" spans="1:3" ht="13.2">
      <c r="A854" s="215"/>
      <c r="B854" s="215"/>
      <c r="C854" s="215"/>
    </row>
    <row r="855" spans="1:3" ht="13.2">
      <c r="A855" s="215"/>
      <c r="B855" s="215"/>
      <c r="C855" s="215"/>
    </row>
    <row r="856" spans="1:3" ht="13.2">
      <c r="A856" s="215"/>
      <c r="B856" s="215"/>
      <c r="C856" s="215"/>
    </row>
    <row r="857" spans="1:3" ht="13.2">
      <c r="A857" s="215"/>
      <c r="B857" s="215"/>
      <c r="C857" s="215"/>
    </row>
    <row r="858" spans="1:3" ht="13.2">
      <c r="A858" s="215"/>
      <c r="B858" s="215"/>
      <c r="C858" s="215"/>
    </row>
    <row r="859" spans="1:3" ht="13.2">
      <c r="A859" s="215"/>
      <c r="B859" s="215"/>
      <c r="C859" s="215"/>
    </row>
    <row r="860" spans="1:3" ht="13.2">
      <c r="A860" s="215"/>
      <c r="B860" s="215"/>
      <c r="C860" s="215"/>
    </row>
    <row r="861" spans="1:3" ht="13.2">
      <c r="A861" s="215"/>
      <c r="B861" s="215"/>
      <c r="C861" s="215"/>
    </row>
    <row r="862" spans="1:3" ht="13.2">
      <c r="A862" s="215"/>
      <c r="B862" s="215"/>
      <c r="C862" s="215"/>
    </row>
    <row r="863" spans="1:3" ht="13.2">
      <c r="A863" s="215"/>
      <c r="B863" s="215"/>
      <c r="C863" s="215"/>
    </row>
    <row r="864" spans="1:3" ht="13.2">
      <c r="A864" s="215"/>
      <c r="B864" s="215"/>
      <c r="C864" s="215"/>
    </row>
    <row r="865" spans="1:3" ht="13.2">
      <c r="A865" s="215"/>
      <c r="B865" s="215"/>
      <c r="C865" s="215"/>
    </row>
    <row r="866" spans="1:3" ht="13.2">
      <c r="A866" s="215"/>
      <c r="B866" s="215"/>
      <c r="C866" s="215"/>
    </row>
    <row r="867" spans="1:3" ht="13.2">
      <c r="A867" s="215"/>
      <c r="B867" s="215"/>
      <c r="C867" s="215"/>
    </row>
    <row r="868" spans="1:3" ht="13.2">
      <c r="A868" s="215"/>
      <c r="B868" s="215"/>
      <c r="C868" s="215"/>
    </row>
    <row r="869" spans="1:3" ht="13.2">
      <c r="A869" s="215"/>
      <c r="B869" s="215"/>
      <c r="C869" s="215"/>
    </row>
    <row r="870" spans="1:3" ht="13.2">
      <c r="A870" s="215"/>
      <c r="B870" s="215"/>
      <c r="C870" s="215"/>
    </row>
    <row r="871" spans="1:3" ht="13.2">
      <c r="A871" s="215"/>
      <c r="B871" s="215"/>
      <c r="C871" s="215"/>
    </row>
    <row r="872" spans="1:3" ht="13.2">
      <c r="A872" s="215"/>
      <c r="B872" s="215"/>
      <c r="C872" s="215"/>
    </row>
    <row r="873" spans="1:3" ht="13.2">
      <c r="A873" s="215"/>
      <c r="B873" s="215"/>
      <c r="C873" s="215"/>
    </row>
    <row r="874" spans="1:3" ht="13.2">
      <c r="A874" s="215"/>
      <c r="B874" s="215"/>
      <c r="C874" s="215"/>
    </row>
    <row r="875" spans="1:3" ht="13.2">
      <c r="A875" s="215"/>
      <c r="B875" s="215"/>
      <c r="C875" s="215"/>
    </row>
    <row r="876" spans="1:3" ht="13.2">
      <c r="A876" s="215"/>
      <c r="B876" s="215"/>
      <c r="C876" s="215"/>
    </row>
    <row r="877" spans="1:3" ht="13.2">
      <c r="A877" s="215"/>
      <c r="B877" s="215"/>
      <c r="C877" s="215"/>
    </row>
    <row r="878" spans="1:3" ht="13.2">
      <c r="A878" s="215"/>
      <c r="B878" s="215"/>
      <c r="C878" s="215"/>
    </row>
    <row r="879" spans="1:3" ht="13.2">
      <c r="A879" s="215"/>
      <c r="B879" s="215"/>
      <c r="C879" s="215"/>
    </row>
    <row r="880" spans="1:3" ht="13.2">
      <c r="A880" s="215"/>
      <c r="B880" s="215"/>
      <c r="C880" s="215"/>
    </row>
    <row r="881" spans="1:3" ht="13.2">
      <c r="A881" s="215"/>
      <c r="B881" s="215"/>
      <c r="C881" s="215"/>
    </row>
    <row r="882" spans="1:3" ht="13.2">
      <c r="A882" s="215"/>
      <c r="B882" s="215"/>
      <c r="C882" s="215"/>
    </row>
    <row r="883" spans="1:3" ht="13.2">
      <c r="A883" s="215"/>
      <c r="B883" s="215"/>
      <c r="C883" s="215"/>
    </row>
    <row r="884" spans="1:3" ht="13.2">
      <c r="A884" s="215"/>
      <c r="B884" s="215"/>
      <c r="C884" s="215"/>
    </row>
    <row r="885" spans="1:3" ht="13.2">
      <c r="A885" s="215"/>
      <c r="B885" s="215"/>
      <c r="C885" s="215"/>
    </row>
    <row r="886" spans="1:3" ht="13.2">
      <c r="A886" s="215"/>
      <c r="B886" s="215"/>
      <c r="C886" s="215"/>
    </row>
    <row r="887" spans="1:3" ht="13.2">
      <c r="A887" s="215"/>
      <c r="B887" s="215"/>
      <c r="C887" s="215"/>
    </row>
    <row r="888" spans="1:3" ht="13.2">
      <c r="A888" s="215"/>
      <c r="B888" s="215"/>
      <c r="C888" s="215"/>
    </row>
    <row r="889" spans="1:3" ht="13.2">
      <c r="A889" s="215"/>
      <c r="B889" s="215"/>
      <c r="C889" s="215"/>
    </row>
    <row r="890" spans="1:3" ht="13.2">
      <c r="A890" s="215"/>
      <c r="B890" s="215"/>
      <c r="C890" s="215"/>
    </row>
    <row r="891" spans="1:3" ht="13.2">
      <c r="A891" s="215"/>
      <c r="B891" s="215"/>
      <c r="C891" s="215"/>
    </row>
    <row r="892" spans="1:3" ht="13.2">
      <c r="A892" s="215"/>
      <c r="B892" s="215"/>
      <c r="C892" s="215"/>
    </row>
    <row r="893" spans="1:3" ht="13.2">
      <c r="A893" s="215"/>
      <c r="B893" s="215"/>
      <c r="C893" s="215"/>
    </row>
    <row r="894" spans="1:3" ht="13.2">
      <c r="A894" s="215"/>
      <c r="B894" s="215"/>
      <c r="C894" s="215"/>
    </row>
    <row r="895" spans="1:3" ht="13.2">
      <c r="A895" s="215"/>
      <c r="B895" s="215"/>
      <c r="C895" s="215"/>
    </row>
    <row r="896" spans="1:3" ht="13.2">
      <c r="A896" s="215"/>
      <c r="B896" s="215"/>
      <c r="C896" s="215"/>
    </row>
    <row r="897" spans="1:3" ht="13.2">
      <c r="A897" s="215"/>
      <c r="B897" s="215"/>
      <c r="C897" s="215"/>
    </row>
    <row r="898" spans="1:3" ht="13.2">
      <c r="A898" s="215"/>
      <c r="B898" s="215"/>
      <c r="C898" s="215"/>
    </row>
    <row r="899" spans="1:3" ht="13.2">
      <c r="A899" s="215"/>
      <c r="B899" s="215"/>
      <c r="C899" s="215"/>
    </row>
    <row r="900" spans="1:3" ht="13.2">
      <c r="A900" s="215"/>
      <c r="B900" s="215"/>
      <c r="C900" s="215"/>
    </row>
    <row r="901" spans="1:3" ht="13.2">
      <c r="A901" s="215"/>
      <c r="B901" s="215"/>
      <c r="C901" s="215"/>
    </row>
    <row r="902" spans="1:3" ht="13.2">
      <c r="A902" s="215"/>
      <c r="B902" s="215"/>
      <c r="C902" s="215"/>
    </row>
    <row r="903" spans="1:3" ht="13.2">
      <c r="A903" s="215"/>
      <c r="B903" s="215"/>
      <c r="C903" s="215"/>
    </row>
    <row r="904" spans="1:3" ht="13.2">
      <c r="A904" s="215"/>
      <c r="B904" s="215"/>
      <c r="C904" s="215"/>
    </row>
    <row r="905" spans="1:3" ht="13.2">
      <c r="A905" s="215"/>
      <c r="B905" s="215"/>
      <c r="C905" s="215"/>
    </row>
    <row r="906" spans="1:3" ht="13.2">
      <c r="A906" s="215"/>
      <c r="B906" s="215"/>
      <c r="C906" s="215"/>
    </row>
    <row r="907" spans="1:3" ht="13.2">
      <c r="A907" s="215"/>
      <c r="B907" s="215"/>
      <c r="C907" s="215"/>
    </row>
    <row r="908" spans="1:3" ht="13.2">
      <c r="A908" s="215"/>
      <c r="B908" s="215"/>
      <c r="C908" s="215"/>
    </row>
    <row r="909" spans="1:3" ht="13.2">
      <c r="A909" s="215"/>
      <c r="B909" s="215"/>
      <c r="C909" s="215"/>
    </row>
    <row r="910" spans="1:3" ht="13.2">
      <c r="A910" s="215"/>
      <c r="B910" s="215"/>
      <c r="C910" s="215"/>
    </row>
    <row r="911" spans="1:3" ht="13.2">
      <c r="A911" s="215"/>
      <c r="B911" s="215"/>
      <c r="C911" s="215"/>
    </row>
    <row r="912" spans="1:3" ht="13.2">
      <c r="A912" s="215"/>
      <c r="B912" s="215"/>
      <c r="C912" s="215"/>
    </row>
    <row r="913" spans="1:3" ht="13.2">
      <c r="A913" s="215"/>
      <c r="B913" s="215"/>
      <c r="C913" s="215"/>
    </row>
    <row r="914" spans="1:3" ht="13.2">
      <c r="A914" s="215"/>
      <c r="B914" s="215"/>
      <c r="C914" s="215"/>
    </row>
    <row r="915" spans="1:3" ht="13.2">
      <c r="A915" s="215"/>
      <c r="B915" s="215"/>
      <c r="C915" s="215"/>
    </row>
    <row r="916" spans="1:3" ht="13.2">
      <c r="A916" s="215"/>
      <c r="B916" s="215"/>
      <c r="C916" s="215"/>
    </row>
    <row r="917" spans="1:3" ht="13.2">
      <c r="A917" s="215"/>
      <c r="B917" s="215"/>
      <c r="C917" s="215"/>
    </row>
    <row r="918" spans="1:3" ht="13.2">
      <c r="A918" s="215"/>
      <c r="B918" s="215"/>
      <c r="C918" s="215"/>
    </row>
    <row r="919" spans="1:3" ht="13.2">
      <c r="A919" s="215"/>
      <c r="B919" s="215"/>
      <c r="C919" s="215"/>
    </row>
    <row r="920" spans="1:3" ht="13.2">
      <c r="A920" s="215"/>
      <c r="B920" s="215"/>
      <c r="C920" s="215"/>
    </row>
    <row r="921" spans="1:3" ht="13.2">
      <c r="A921" s="215"/>
      <c r="B921" s="215"/>
      <c r="C921" s="215"/>
    </row>
    <row r="922" spans="1:3" ht="13.2">
      <c r="A922" s="215"/>
      <c r="B922" s="215"/>
      <c r="C922" s="215"/>
    </row>
    <row r="923" spans="1:3" ht="13.2">
      <c r="A923" s="215"/>
      <c r="B923" s="215"/>
      <c r="C923" s="215"/>
    </row>
    <row r="924" spans="1:3" ht="13.2">
      <c r="A924" s="215"/>
      <c r="B924" s="215"/>
      <c r="C924" s="215"/>
    </row>
    <row r="925" spans="1:3" ht="13.2">
      <c r="A925" s="215"/>
      <c r="B925" s="215"/>
      <c r="C925" s="215"/>
    </row>
    <row r="926" spans="1:3" ht="13.2">
      <c r="A926" s="215"/>
      <c r="B926" s="215"/>
      <c r="C926" s="215"/>
    </row>
    <row r="927" spans="1:3" ht="13.2">
      <c r="A927" s="215"/>
      <c r="B927" s="215"/>
      <c r="C927" s="215"/>
    </row>
    <row r="928" spans="1:3" ht="13.2">
      <c r="A928" s="215"/>
      <c r="B928" s="215"/>
      <c r="C928" s="215"/>
    </row>
    <row r="929" spans="1:3" ht="13.2">
      <c r="A929" s="215"/>
      <c r="B929" s="215"/>
      <c r="C929" s="215"/>
    </row>
    <row r="930" spans="1:3" ht="13.2">
      <c r="A930" s="215"/>
      <c r="B930" s="215"/>
      <c r="C930" s="215"/>
    </row>
    <row r="931" spans="1:3" ht="13.2">
      <c r="A931" s="215"/>
      <c r="B931" s="215"/>
      <c r="C931" s="215"/>
    </row>
    <row r="932" spans="1:3" ht="13.2">
      <c r="A932" s="215"/>
      <c r="B932" s="215"/>
      <c r="C932" s="215"/>
    </row>
    <row r="933" spans="1:3" ht="13.2">
      <c r="A933" s="215"/>
      <c r="B933" s="215"/>
      <c r="C933" s="215"/>
    </row>
    <row r="934" spans="1:3" ht="13.2">
      <c r="A934" s="215"/>
      <c r="B934" s="215"/>
      <c r="C934" s="215"/>
    </row>
    <row r="935" spans="1:3" ht="13.2">
      <c r="A935" s="215"/>
      <c r="B935" s="215"/>
      <c r="C935" s="215"/>
    </row>
    <row r="936" spans="1:3" ht="13.2">
      <c r="A936" s="215"/>
      <c r="B936" s="215"/>
      <c r="C936" s="215"/>
    </row>
    <row r="937" spans="1:3" ht="13.2">
      <c r="A937" s="215"/>
      <c r="B937" s="215"/>
      <c r="C937" s="215"/>
    </row>
    <row r="938" spans="1:3" ht="13.2">
      <c r="A938" s="215"/>
      <c r="B938" s="215"/>
      <c r="C938" s="215"/>
    </row>
    <row r="939" spans="1:3" ht="13.2">
      <c r="A939" s="215"/>
      <c r="B939" s="215"/>
      <c r="C939" s="215"/>
    </row>
    <row r="940" spans="1:3" ht="13.2">
      <c r="A940" s="215"/>
      <c r="B940" s="215"/>
      <c r="C940" s="215"/>
    </row>
    <row r="941" spans="1:3" ht="13.2">
      <c r="A941" s="215"/>
      <c r="B941" s="215"/>
      <c r="C941" s="215"/>
    </row>
    <row r="942" spans="1:3" ht="13.2">
      <c r="A942" s="215"/>
      <c r="B942" s="215"/>
      <c r="C942" s="215"/>
    </row>
    <row r="943" spans="1:3" ht="13.2">
      <c r="A943" s="215"/>
      <c r="B943" s="215"/>
      <c r="C943" s="215"/>
    </row>
    <row r="944" spans="1:3" ht="13.2">
      <c r="A944" s="215"/>
      <c r="B944" s="215"/>
      <c r="C944" s="215"/>
    </row>
    <row r="945" spans="1:3" ht="13.2">
      <c r="A945" s="215"/>
      <c r="B945" s="215"/>
      <c r="C945" s="215"/>
    </row>
    <row r="946" spans="1:3" ht="13.2">
      <c r="A946" s="215"/>
      <c r="B946" s="215"/>
      <c r="C946" s="215"/>
    </row>
    <row r="947" spans="1:3" ht="13.2">
      <c r="A947" s="215"/>
      <c r="B947" s="215"/>
      <c r="C947" s="215"/>
    </row>
    <row r="948" spans="1:3" ht="13.2">
      <c r="A948" s="215"/>
      <c r="B948" s="215"/>
      <c r="C948" s="215"/>
    </row>
    <row r="949" spans="1:3" ht="13.2">
      <c r="A949" s="215"/>
      <c r="B949" s="215"/>
      <c r="C949" s="215"/>
    </row>
    <row r="950" spans="1:3" ht="13.2">
      <c r="A950" s="215"/>
      <c r="B950" s="215"/>
      <c r="C950" s="215"/>
    </row>
    <row r="951" spans="1:3" ht="13.2">
      <c r="A951" s="215"/>
      <c r="B951" s="215"/>
      <c r="C951" s="215"/>
    </row>
    <row r="952" spans="1:3" ht="13.2">
      <c r="A952" s="215"/>
      <c r="B952" s="215"/>
      <c r="C952" s="215"/>
    </row>
    <row r="953" spans="1:3" ht="13.2">
      <c r="A953" s="215"/>
      <c r="B953" s="215"/>
      <c r="C953" s="215"/>
    </row>
    <row r="954" spans="1:3" ht="13.2">
      <c r="A954" s="215"/>
      <c r="B954" s="215"/>
      <c r="C954" s="215"/>
    </row>
    <row r="955" spans="1:3" ht="13.2">
      <c r="A955" s="215"/>
      <c r="B955" s="215"/>
      <c r="C955" s="215"/>
    </row>
    <row r="956" spans="1:3" ht="13.2">
      <c r="A956" s="215"/>
      <c r="B956" s="215"/>
      <c r="C956" s="215"/>
    </row>
    <row r="957" spans="1:3" ht="13.2">
      <c r="A957" s="215"/>
      <c r="B957" s="215"/>
      <c r="C957" s="215"/>
    </row>
    <row r="958" spans="1:3" ht="13.2">
      <c r="A958" s="215"/>
      <c r="B958" s="215"/>
      <c r="C958" s="215"/>
    </row>
    <row r="959" spans="1:3" ht="13.2">
      <c r="A959" s="215"/>
      <c r="B959" s="215"/>
      <c r="C959" s="215"/>
    </row>
    <row r="960" spans="1:3" ht="13.2">
      <c r="A960" s="215"/>
      <c r="B960" s="215"/>
      <c r="C960" s="215"/>
    </row>
  </sheetData>
  <mergeCells count="2">
    <mergeCell ref="A10:B10"/>
    <mergeCell ref="A19:C1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W985"/>
  <sheetViews>
    <sheetView workbookViewId="0"/>
  </sheetViews>
  <sheetFormatPr defaultColWidth="12.6640625" defaultRowHeight="15.75" customHeight="1"/>
  <cols>
    <col min="1" max="1" width="3.6640625" customWidth="1"/>
    <col min="2" max="2" width="13.6640625" customWidth="1"/>
  </cols>
  <sheetData>
    <row r="1" spans="1:23" ht="13.2"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</row>
    <row r="2" spans="1:23" ht="26.4">
      <c r="B2" s="258" t="s">
        <v>416</v>
      </c>
      <c r="C2" s="134"/>
      <c r="D2" s="134"/>
      <c r="E2" s="134"/>
      <c r="F2" s="134"/>
      <c r="G2" s="134"/>
      <c r="O2" s="100"/>
      <c r="P2" s="100"/>
      <c r="Q2" s="100"/>
      <c r="R2" s="100"/>
      <c r="S2" s="100"/>
      <c r="T2" s="100"/>
      <c r="U2" s="100"/>
      <c r="V2" s="100"/>
      <c r="W2" s="100"/>
    </row>
    <row r="3" spans="1:23" ht="13.2">
      <c r="B3" s="134" t="s">
        <v>417</v>
      </c>
      <c r="C3" s="134"/>
      <c r="D3" s="134"/>
      <c r="E3" s="134"/>
      <c r="F3" s="134"/>
      <c r="G3" s="134"/>
      <c r="O3" s="100"/>
      <c r="P3" s="100"/>
      <c r="Q3" s="100"/>
      <c r="R3" s="100"/>
      <c r="S3" s="100"/>
      <c r="T3" s="100"/>
      <c r="U3" s="100"/>
      <c r="V3" s="100"/>
      <c r="W3" s="100"/>
    </row>
    <row r="4" spans="1:23" ht="13.2" hidden="1">
      <c r="B4" s="87">
        <v>4000</v>
      </c>
      <c r="C4" s="100"/>
      <c r="D4" s="100"/>
      <c r="E4" s="100"/>
      <c r="F4" s="100"/>
      <c r="O4" s="100"/>
      <c r="P4" s="100"/>
      <c r="Q4" s="100"/>
      <c r="R4" s="100"/>
      <c r="S4" s="100"/>
      <c r="T4" s="100"/>
      <c r="U4" s="100"/>
      <c r="V4" s="100"/>
      <c r="W4" s="100"/>
    </row>
    <row r="5" spans="1:23" ht="13.2">
      <c r="C5" s="100"/>
      <c r="D5" s="100"/>
      <c r="E5" s="100"/>
      <c r="F5" s="100"/>
      <c r="O5" s="100"/>
      <c r="P5" s="100"/>
      <c r="Q5" s="100"/>
      <c r="R5" s="100"/>
      <c r="S5" s="100"/>
      <c r="T5" s="100"/>
      <c r="U5" s="100"/>
      <c r="V5" s="100"/>
      <c r="W5" s="100"/>
    </row>
    <row r="6" spans="1:23" ht="15.6">
      <c r="A6" s="193"/>
      <c r="B6" s="259" t="s">
        <v>418</v>
      </c>
      <c r="C6" s="100"/>
      <c r="D6" s="100"/>
      <c r="E6" s="100"/>
      <c r="F6" s="100"/>
      <c r="G6" s="260"/>
      <c r="H6" s="260"/>
      <c r="I6" s="261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</row>
    <row r="7" spans="1:23" ht="14.4">
      <c r="A7" s="102" t="s">
        <v>212</v>
      </c>
      <c r="B7" s="102" t="s">
        <v>232</v>
      </c>
      <c r="C7" s="262">
        <v>45905</v>
      </c>
      <c r="D7" s="262">
        <v>45912</v>
      </c>
      <c r="E7" s="262">
        <v>45919</v>
      </c>
      <c r="F7" s="262">
        <v>45926</v>
      </c>
      <c r="G7" s="104">
        <v>45933</v>
      </c>
      <c r="H7" s="104">
        <v>45940</v>
      </c>
      <c r="I7" s="104">
        <v>45947</v>
      </c>
      <c r="J7" s="104">
        <v>45954</v>
      </c>
      <c r="K7" s="104">
        <v>45968</v>
      </c>
      <c r="L7" s="104">
        <v>45975</v>
      </c>
      <c r="M7" s="104">
        <v>45982</v>
      </c>
      <c r="N7" s="104">
        <v>45989</v>
      </c>
      <c r="O7" s="104">
        <v>45996</v>
      </c>
      <c r="P7" s="263">
        <v>46003</v>
      </c>
      <c r="Q7" s="263">
        <v>46010</v>
      </c>
      <c r="R7" s="263">
        <v>46017</v>
      </c>
      <c r="S7" s="262">
        <v>46031</v>
      </c>
      <c r="T7" s="262">
        <v>46038</v>
      </c>
      <c r="U7" s="262">
        <v>46045</v>
      </c>
      <c r="V7" s="262">
        <v>46052</v>
      </c>
      <c r="W7" s="264">
        <v>46059</v>
      </c>
    </row>
    <row r="8" spans="1:23" ht="14.4">
      <c r="A8" s="108">
        <v>1</v>
      </c>
      <c r="B8" s="109" t="s">
        <v>419</v>
      </c>
      <c r="C8" s="138">
        <v>1</v>
      </c>
      <c r="D8" s="138">
        <v>1</v>
      </c>
      <c r="E8" s="138">
        <v>1</v>
      </c>
      <c r="F8" s="138">
        <v>1</v>
      </c>
      <c r="G8" s="138">
        <v>1</v>
      </c>
      <c r="H8" s="138">
        <v>1</v>
      </c>
      <c r="I8" s="138">
        <v>1</v>
      </c>
      <c r="J8" s="138">
        <v>1</v>
      </c>
      <c r="K8" s="138"/>
      <c r="L8" s="138"/>
      <c r="M8" s="138">
        <v>1</v>
      </c>
      <c r="N8" s="138">
        <v>1</v>
      </c>
      <c r="O8" s="138">
        <v>1</v>
      </c>
      <c r="P8" s="138">
        <v>1</v>
      </c>
      <c r="Q8" s="138">
        <v>1</v>
      </c>
      <c r="R8" s="138">
        <v>1</v>
      </c>
      <c r="S8" s="138">
        <v>1</v>
      </c>
      <c r="T8" s="138">
        <v>1</v>
      </c>
      <c r="U8" s="138"/>
      <c r="V8" s="138">
        <v>1</v>
      </c>
      <c r="W8" s="138">
        <v>1</v>
      </c>
    </row>
    <row r="9" spans="1:23" ht="14.4">
      <c r="A9" s="108">
        <v>2</v>
      </c>
      <c r="B9" s="112" t="s">
        <v>420</v>
      </c>
      <c r="C9" s="138"/>
      <c r="D9" s="138">
        <v>1</v>
      </c>
      <c r="E9" s="138"/>
      <c r="F9" s="138"/>
      <c r="G9" s="138"/>
      <c r="H9" s="138">
        <v>1</v>
      </c>
      <c r="I9" s="138">
        <v>1</v>
      </c>
      <c r="J9" s="138">
        <v>1</v>
      </c>
      <c r="K9" s="138"/>
      <c r="L9" s="138"/>
      <c r="M9" s="138">
        <v>1</v>
      </c>
      <c r="N9" s="138">
        <v>1</v>
      </c>
      <c r="O9" s="138">
        <v>1</v>
      </c>
      <c r="P9" s="138">
        <v>1</v>
      </c>
      <c r="Q9" s="138">
        <v>1</v>
      </c>
      <c r="R9" s="138"/>
      <c r="S9" s="138">
        <v>1</v>
      </c>
      <c r="T9" s="138"/>
      <c r="U9" s="138">
        <v>1</v>
      </c>
      <c r="V9" s="138">
        <v>1</v>
      </c>
      <c r="W9" s="138">
        <v>1</v>
      </c>
    </row>
    <row r="10" spans="1:23" ht="14.4">
      <c r="A10" s="108">
        <v>3</v>
      </c>
      <c r="B10" s="112" t="s">
        <v>421</v>
      </c>
      <c r="C10" s="138">
        <v>1</v>
      </c>
      <c r="D10" s="138">
        <v>1</v>
      </c>
      <c r="E10" s="138">
        <v>1</v>
      </c>
      <c r="F10" s="138">
        <v>1</v>
      </c>
      <c r="G10" s="138">
        <v>1</v>
      </c>
      <c r="H10" s="138">
        <v>1</v>
      </c>
      <c r="I10" s="138">
        <v>1</v>
      </c>
      <c r="J10" s="138">
        <v>1</v>
      </c>
      <c r="K10" s="138" t="s">
        <v>422</v>
      </c>
      <c r="L10" s="138" t="s">
        <v>422</v>
      </c>
      <c r="M10" s="138">
        <v>1</v>
      </c>
      <c r="N10" s="138">
        <v>1</v>
      </c>
      <c r="O10" s="138">
        <v>1</v>
      </c>
      <c r="P10" s="138">
        <v>1</v>
      </c>
      <c r="Q10" s="138">
        <v>1</v>
      </c>
      <c r="R10" s="138">
        <v>1</v>
      </c>
      <c r="S10" s="138"/>
      <c r="T10" s="138"/>
      <c r="U10" s="138"/>
      <c r="V10" s="138"/>
      <c r="W10" s="138">
        <v>1</v>
      </c>
    </row>
    <row r="11" spans="1:23" ht="14.4">
      <c r="A11" s="108">
        <v>4</v>
      </c>
      <c r="B11" s="112" t="s">
        <v>423</v>
      </c>
      <c r="C11" s="138">
        <v>1</v>
      </c>
      <c r="D11" s="138">
        <v>1</v>
      </c>
      <c r="E11" s="138">
        <v>1</v>
      </c>
      <c r="F11" s="138"/>
      <c r="G11" s="138">
        <v>1</v>
      </c>
      <c r="H11" s="138">
        <v>1</v>
      </c>
      <c r="I11" s="138">
        <v>1</v>
      </c>
      <c r="J11" s="138">
        <v>1</v>
      </c>
      <c r="K11" s="138"/>
      <c r="L11" s="138"/>
      <c r="M11" s="138"/>
      <c r="N11" s="138">
        <v>1</v>
      </c>
      <c r="O11" s="138">
        <v>1</v>
      </c>
      <c r="P11" s="138">
        <v>1</v>
      </c>
      <c r="Q11" s="138">
        <v>1</v>
      </c>
      <c r="R11" s="138"/>
      <c r="S11" s="138">
        <v>1</v>
      </c>
      <c r="T11" s="138"/>
      <c r="U11" s="138">
        <v>1</v>
      </c>
      <c r="V11" s="138">
        <v>1</v>
      </c>
      <c r="W11" s="138"/>
    </row>
    <row r="12" spans="1:23" ht="14.4">
      <c r="A12" s="108">
        <v>5</v>
      </c>
      <c r="B12" s="112" t="s">
        <v>424</v>
      </c>
      <c r="C12" s="138">
        <v>1</v>
      </c>
      <c r="D12" s="138">
        <v>1</v>
      </c>
      <c r="E12" s="138">
        <v>1</v>
      </c>
      <c r="F12" s="138">
        <v>1</v>
      </c>
      <c r="G12" s="138"/>
      <c r="H12" s="138">
        <v>1</v>
      </c>
      <c r="I12" s="138">
        <v>1</v>
      </c>
      <c r="J12" s="138">
        <v>1</v>
      </c>
      <c r="K12" s="138"/>
      <c r="L12" s="138"/>
      <c r="M12" s="138">
        <v>1</v>
      </c>
      <c r="N12" s="138">
        <v>1</v>
      </c>
      <c r="O12" s="138">
        <v>1</v>
      </c>
      <c r="P12" s="138">
        <v>1</v>
      </c>
      <c r="Q12" s="138">
        <v>1</v>
      </c>
      <c r="R12" s="138">
        <v>1</v>
      </c>
      <c r="S12" s="138">
        <v>1</v>
      </c>
      <c r="T12" s="138">
        <v>1</v>
      </c>
      <c r="U12" s="138">
        <v>1</v>
      </c>
      <c r="V12" s="138"/>
      <c r="W12" s="138"/>
    </row>
    <row r="13" spans="1:23" ht="14.4">
      <c r="A13" s="108">
        <v>6</v>
      </c>
      <c r="B13" s="112" t="s">
        <v>425</v>
      </c>
      <c r="C13" s="138"/>
      <c r="D13" s="138"/>
      <c r="E13" s="138"/>
      <c r="F13" s="138"/>
      <c r="G13" s="138"/>
      <c r="H13" s="138">
        <v>1</v>
      </c>
      <c r="I13" s="138">
        <v>1</v>
      </c>
      <c r="J13" s="138"/>
      <c r="K13" s="138"/>
      <c r="L13" s="138"/>
      <c r="M13" s="138">
        <v>1</v>
      </c>
      <c r="N13" s="138"/>
      <c r="O13" s="138"/>
      <c r="P13" s="138"/>
      <c r="Q13" s="138">
        <v>1</v>
      </c>
      <c r="R13" s="138">
        <v>1</v>
      </c>
      <c r="S13" s="138"/>
      <c r="T13" s="138">
        <v>1</v>
      </c>
      <c r="U13" s="138">
        <v>1</v>
      </c>
      <c r="V13" s="138">
        <v>1</v>
      </c>
      <c r="W13" s="138">
        <v>1</v>
      </c>
    </row>
    <row r="14" spans="1:23" ht="14.4" hidden="1">
      <c r="A14" s="108"/>
      <c r="B14" s="112" t="s">
        <v>426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>
        <v>1</v>
      </c>
      <c r="S14" s="138"/>
      <c r="T14" s="138"/>
      <c r="U14" s="138"/>
      <c r="V14" s="138"/>
      <c r="W14" s="138"/>
    </row>
    <row r="15" spans="1:23" ht="14.4" hidden="1">
      <c r="A15" s="108"/>
      <c r="B15" s="112" t="s">
        <v>427</v>
      </c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>
        <v>1</v>
      </c>
      <c r="S15" s="138"/>
      <c r="T15" s="138"/>
      <c r="U15" s="138"/>
      <c r="V15" s="138"/>
      <c r="W15" s="138"/>
    </row>
    <row r="16" spans="1:23" ht="14.4">
      <c r="A16" s="108"/>
      <c r="B16" s="265" t="s">
        <v>147</v>
      </c>
      <c r="C16" s="266">
        <v>4</v>
      </c>
      <c r="D16" s="266">
        <v>5</v>
      </c>
      <c r="E16" s="266">
        <v>4</v>
      </c>
      <c r="F16" s="266">
        <v>3</v>
      </c>
      <c r="G16" s="266">
        <v>3</v>
      </c>
      <c r="H16" s="266">
        <v>6</v>
      </c>
      <c r="I16" s="266">
        <v>6</v>
      </c>
      <c r="J16" s="266">
        <v>5</v>
      </c>
      <c r="K16" s="266"/>
      <c r="L16" s="266"/>
      <c r="M16" s="266">
        <v>5</v>
      </c>
      <c r="N16" s="266">
        <v>5</v>
      </c>
      <c r="O16" s="266">
        <v>5</v>
      </c>
      <c r="P16" s="266">
        <v>5</v>
      </c>
      <c r="Q16" s="266">
        <v>6</v>
      </c>
      <c r="R16" s="266">
        <v>6</v>
      </c>
      <c r="S16" s="266">
        <v>4</v>
      </c>
      <c r="T16" s="266">
        <v>3</v>
      </c>
      <c r="U16" s="266">
        <v>4</v>
      </c>
      <c r="V16" s="266">
        <v>4</v>
      </c>
      <c r="W16" s="267">
        <v>4</v>
      </c>
    </row>
    <row r="17" spans="3:23" ht="13.2">
      <c r="C17" s="100"/>
      <c r="D17" s="100"/>
      <c r="E17" s="100"/>
      <c r="F17" s="100"/>
      <c r="G17" s="100"/>
      <c r="H17" s="100"/>
      <c r="I17" s="100"/>
      <c r="J17" s="100">
        <v>20</v>
      </c>
      <c r="K17" s="100"/>
      <c r="L17" s="100"/>
      <c r="M17" s="100"/>
      <c r="N17" s="100">
        <v>10</v>
      </c>
      <c r="O17" s="100"/>
      <c r="P17" s="100"/>
      <c r="Q17" s="100"/>
      <c r="R17" s="100">
        <v>22</v>
      </c>
      <c r="S17" s="100"/>
      <c r="T17" s="100"/>
      <c r="U17" s="100"/>
      <c r="V17" s="100">
        <v>15</v>
      </c>
      <c r="W17" s="115">
        <v>16000</v>
      </c>
    </row>
    <row r="18" spans="3:23" ht="13.2">
      <c r="C18" s="100"/>
      <c r="D18" s="100"/>
      <c r="E18" s="100"/>
      <c r="F18" s="100"/>
      <c r="G18" s="100"/>
      <c r="H18" s="100"/>
      <c r="I18" s="114" t="s">
        <v>128</v>
      </c>
      <c r="J18" s="114" t="s">
        <v>428</v>
      </c>
      <c r="K18" s="213"/>
      <c r="L18" s="213"/>
      <c r="M18" s="114" t="s">
        <v>128</v>
      </c>
      <c r="N18" s="114" t="s">
        <v>429</v>
      </c>
      <c r="O18" s="100"/>
      <c r="P18" s="100"/>
      <c r="Q18" s="95" t="s">
        <v>183</v>
      </c>
      <c r="R18" s="114" t="s">
        <v>430</v>
      </c>
      <c r="S18" s="100"/>
      <c r="T18" s="100"/>
      <c r="U18" s="95" t="s">
        <v>128</v>
      </c>
      <c r="V18" s="114" t="s">
        <v>151</v>
      </c>
      <c r="W18" s="100"/>
    </row>
    <row r="19" spans="3:23" ht="13.2"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</row>
    <row r="20" spans="3:23" ht="13.2"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</row>
    <row r="21" spans="3:23" ht="13.2"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</row>
    <row r="22" spans="3:23" ht="13.2"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</row>
    <row r="23" spans="3:23" ht="13.2"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</row>
    <row r="24" spans="3:23" ht="13.2"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</row>
    <row r="25" spans="3:23" ht="13.2"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</row>
    <row r="26" spans="3:23" ht="13.2"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</row>
    <row r="27" spans="3:23" ht="13.2"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</row>
    <row r="28" spans="3:23" ht="13.2"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</row>
    <row r="29" spans="3:23" ht="13.2"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</row>
    <row r="30" spans="3:23" ht="13.2"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</row>
    <row r="31" spans="3:23" ht="13.2"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</row>
    <row r="32" spans="3:23" ht="13.2"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</row>
    <row r="33" spans="3:23" ht="13.2"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</row>
    <row r="34" spans="3:23" ht="13.2"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</row>
    <row r="35" spans="3:23" ht="13.2"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</row>
    <row r="36" spans="3:23" ht="13.2"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</row>
    <row r="37" spans="3:23" ht="13.2"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</row>
    <row r="38" spans="3:23" ht="13.2"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</row>
    <row r="39" spans="3:23" ht="13.2"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</row>
    <row r="40" spans="3:23" ht="13.2"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</row>
    <row r="41" spans="3:23" ht="13.2"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</row>
    <row r="42" spans="3:23" ht="13.2"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</row>
    <row r="43" spans="3:23" ht="13.2"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</row>
    <row r="44" spans="3:23" ht="13.2"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</row>
    <row r="45" spans="3:23" ht="13.2"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</row>
    <row r="46" spans="3:23" ht="13.2"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</row>
    <row r="47" spans="3:23" ht="13.2"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</row>
    <row r="48" spans="3:23" ht="13.2"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</row>
    <row r="49" spans="3:23" ht="13.2"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</row>
    <row r="50" spans="3:23" ht="13.2"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</row>
    <row r="51" spans="3:23" ht="13.2"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</row>
    <row r="52" spans="3:23" ht="13.2"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</row>
    <row r="53" spans="3:23" ht="13.2"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</row>
    <row r="54" spans="3:23" ht="13.2"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</row>
    <row r="55" spans="3:23" ht="13.2"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</row>
    <row r="56" spans="3:23" ht="13.2"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</row>
    <row r="57" spans="3:23" ht="13.2"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</row>
    <row r="58" spans="3:23" ht="13.2"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</row>
    <row r="59" spans="3:23" ht="13.2"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</row>
    <row r="60" spans="3:23" ht="13.2"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</row>
    <row r="61" spans="3:23" ht="13.2"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</row>
    <row r="62" spans="3:23" ht="13.2"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</row>
    <row r="63" spans="3:23" ht="13.2"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</row>
    <row r="64" spans="3:23" ht="13.2"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</row>
    <row r="65" spans="3:23" ht="13.2"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</row>
    <row r="66" spans="3:23" ht="13.2"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</row>
    <row r="67" spans="3:23" ht="13.2"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</row>
    <row r="68" spans="3:23" ht="13.2"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</row>
    <row r="69" spans="3:23" ht="13.2"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</row>
    <row r="70" spans="3:23" ht="13.2"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</row>
    <row r="71" spans="3:23" ht="13.2"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</row>
    <row r="72" spans="3:23" ht="13.2"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</row>
    <row r="73" spans="3:23" ht="13.2"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</row>
    <row r="74" spans="3:23" ht="13.2"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</row>
    <row r="75" spans="3:23" ht="13.2"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</row>
    <row r="76" spans="3:23" ht="13.2"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</row>
    <row r="77" spans="3:23" ht="13.2"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</row>
    <row r="78" spans="3:23" ht="13.2"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</row>
    <row r="79" spans="3:23" ht="13.2"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</row>
    <row r="80" spans="3:23" ht="13.2"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</row>
    <row r="81" spans="3:23" ht="13.2"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</row>
    <row r="82" spans="3:23" ht="13.2"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</row>
    <row r="83" spans="3:23" ht="13.2"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</row>
    <row r="84" spans="3:23" ht="13.2"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</row>
    <row r="85" spans="3:23" ht="13.2"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</row>
    <row r="86" spans="3:23" ht="13.2"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</row>
    <row r="87" spans="3:23" ht="13.2"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</row>
    <row r="88" spans="3:23" ht="13.2"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</row>
    <row r="89" spans="3:23" ht="13.2"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</row>
    <row r="90" spans="3:23" ht="13.2"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</row>
    <row r="91" spans="3:23" ht="13.2"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</row>
    <row r="92" spans="3:23" ht="13.2"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</row>
    <row r="93" spans="3:23" ht="13.2"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</row>
    <row r="94" spans="3:23" ht="13.2"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</row>
    <row r="95" spans="3:23" ht="13.2"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</row>
    <row r="96" spans="3:23" ht="13.2"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</row>
    <row r="97" spans="3:23" ht="13.2"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</row>
    <row r="98" spans="3:23" ht="13.2"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</row>
    <row r="99" spans="3:23" ht="13.2"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</row>
    <row r="100" spans="3:23" ht="13.2"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</row>
    <row r="101" spans="3:23" ht="13.2"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</row>
    <row r="102" spans="3:23" ht="13.2"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</row>
    <row r="103" spans="3:23" ht="13.2"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</row>
    <row r="104" spans="3:23" ht="13.2"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</row>
    <row r="105" spans="3:23" ht="13.2"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</row>
    <row r="106" spans="3:23" ht="13.2"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</row>
    <row r="107" spans="3:23" ht="13.2"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</row>
    <row r="108" spans="3:23" ht="13.2"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</row>
    <row r="109" spans="3:23" ht="13.2"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</row>
    <row r="110" spans="3:23" ht="13.2"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</row>
    <row r="111" spans="3:23" ht="13.2"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</row>
    <row r="112" spans="3:23" ht="13.2"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</row>
    <row r="113" spans="3:23" ht="13.2"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</row>
    <row r="114" spans="3:23" ht="13.2"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</row>
    <row r="115" spans="3:23" ht="13.2"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</row>
    <row r="116" spans="3:23" ht="13.2"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</row>
    <row r="117" spans="3:23" ht="13.2"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</row>
    <row r="118" spans="3:23" ht="13.2"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</row>
    <row r="119" spans="3:23" ht="13.2"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</row>
    <row r="120" spans="3:23" ht="13.2"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</row>
    <row r="121" spans="3:23" ht="13.2"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</row>
    <row r="122" spans="3:23" ht="13.2"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</row>
    <row r="123" spans="3:23" ht="13.2"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</row>
    <row r="124" spans="3:23" ht="13.2"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</row>
    <row r="125" spans="3:23" ht="13.2"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</row>
    <row r="126" spans="3:23" ht="13.2"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</row>
    <row r="127" spans="3:23" ht="13.2"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</row>
    <row r="128" spans="3:23" ht="13.2"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</row>
    <row r="129" spans="3:23" ht="13.2"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</row>
    <row r="130" spans="3:23" ht="13.2"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</row>
    <row r="131" spans="3:23" ht="13.2"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</row>
    <row r="132" spans="3:23" ht="13.2"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</row>
    <row r="133" spans="3:23" ht="13.2"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</row>
    <row r="134" spans="3:23" ht="13.2"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</row>
    <row r="135" spans="3:23" ht="13.2"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</row>
    <row r="136" spans="3:23" ht="13.2"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</row>
    <row r="137" spans="3:23" ht="13.2"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</row>
    <row r="138" spans="3:23" ht="13.2"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</row>
    <row r="139" spans="3:23" ht="13.2"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</row>
    <row r="140" spans="3:23" ht="13.2"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</row>
    <row r="141" spans="3:23" ht="13.2"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</row>
    <row r="142" spans="3:23" ht="13.2"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</row>
    <row r="143" spans="3:23" ht="13.2"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</row>
    <row r="144" spans="3:23" ht="13.2"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</row>
    <row r="145" spans="3:23" ht="13.2"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</row>
    <row r="146" spans="3:23" ht="13.2"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</row>
    <row r="147" spans="3:23" ht="13.2"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</row>
    <row r="148" spans="3:23" ht="13.2"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</row>
    <row r="149" spans="3:23" ht="13.2"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</row>
    <row r="150" spans="3:23" ht="13.2"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</row>
    <row r="151" spans="3:23" ht="13.2"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</row>
    <row r="152" spans="3:23" ht="13.2"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</row>
    <row r="153" spans="3:23" ht="13.2"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</row>
    <row r="154" spans="3:23" ht="13.2"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</row>
    <row r="155" spans="3:23" ht="13.2"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</row>
    <row r="156" spans="3:23" ht="13.2"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</row>
    <row r="157" spans="3:23" ht="13.2"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</row>
    <row r="158" spans="3:23" ht="13.2"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</row>
    <row r="159" spans="3:23" ht="13.2"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</row>
    <row r="160" spans="3:23" ht="13.2"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</row>
    <row r="161" spans="3:23" ht="13.2"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</row>
    <row r="162" spans="3:23" ht="13.2"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</row>
    <row r="163" spans="3:23" ht="13.2"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</row>
    <row r="164" spans="3:23" ht="13.2"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</row>
    <row r="165" spans="3:23" ht="13.2"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</row>
    <row r="166" spans="3:23" ht="13.2"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</row>
    <row r="167" spans="3:23" ht="13.2"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</row>
    <row r="168" spans="3:23" ht="13.2"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</row>
    <row r="169" spans="3:23" ht="13.2"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</row>
    <row r="170" spans="3:23" ht="13.2"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</row>
    <row r="171" spans="3:23" ht="13.2"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</row>
    <row r="172" spans="3:23" ht="13.2"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</row>
    <row r="173" spans="3:23" ht="13.2"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</row>
    <row r="174" spans="3:23" ht="13.2"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</row>
    <row r="175" spans="3:23" ht="13.2"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</row>
    <row r="176" spans="3:23" ht="13.2"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</row>
    <row r="177" spans="3:23" ht="13.2"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</row>
    <row r="178" spans="3:23" ht="13.2"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</row>
    <row r="179" spans="3:23" ht="13.2"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</row>
    <row r="180" spans="3:23" ht="13.2"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</row>
    <row r="181" spans="3:23" ht="13.2"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</row>
    <row r="182" spans="3:23" ht="13.2"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</row>
    <row r="183" spans="3:23" ht="13.2"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</row>
    <row r="184" spans="3:23" ht="13.2"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</row>
    <row r="185" spans="3:23" ht="13.2"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</row>
    <row r="186" spans="3:23" ht="13.2"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</row>
    <row r="187" spans="3:23" ht="13.2"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</row>
    <row r="188" spans="3:23" ht="13.2"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</row>
    <row r="189" spans="3:23" ht="13.2"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</row>
    <row r="190" spans="3:23" ht="13.2"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</row>
    <row r="191" spans="3:23" ht="13.2"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</row>
    <row r="192" spans="3:23" ht="13.2"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</row>
    <row r="193" spans="3:23" ht="13.2"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</row>
    <row r="194" spans="3:23" ht="13.2"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</row>
    <row r="195" spans="3:23" ht="13.2"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</row>
    <row r="196" spans="3:23" ht="13.2"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</row>
    <row r="197" spans="3:23" ht="13.2"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</row>
    <row r="198" spans="3:23" ht="13.2"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</row>
    <row r="199" spans="3:23" ht="13.2"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</row>
    <row r="200" spans="3:23" ht="13.2"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</row>
    <row r="201" spans="3:23" ht="13.2"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</row>
    <row r="202" spans="3:23" ht="13.2"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</row>
    <row r="203" spans="3:23" ht="13.2"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</row>
    <row r="204" spans="3:23" ht="13.2"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</row>
    <row r="205" spans="3:23" ht="13.2"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</row>
    <row r="206" spans="3:23" ht="13.2"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</row>
    <row r="207" spans="3:23" ht="13.2"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</row>
    <row r="208" spans="3:23" ht="13.2"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</row>
    <row r="209" spans="3:23" ht="13.2"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</row>
    <row r="210" spans="3:23" ht="13.2"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</row>
    <row r="211" spans="3:23" ht="13.2"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</row>
    <row r="212" spans="3:23" ht="13.2"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</row>
    <row r="213" spans="3:23" ht="13.2"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</row>
    <row r="214" spans="3:23" ht="13.2"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</row>
    <row r="215" spans="3:23" ht="13.2"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</row>
    <row r="216" spans="3:23" ht="13.2"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</row>
    <row r="217" spans="3:23" ht="13.2"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</row>
    <row r="218" spans="3:23" ht="13.2"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</row>
    <row r="219" spans="3:23" ht="13.2"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</row>
    <row r="220" spans="3:23" ht="13.2"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</row>
    <row r="221" spans="3:23" ht="13.2"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</row>
    <row r="222" spans="3:23" ht="13.2"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</row>
    <row r="223" spans="3:23" ht="13.2"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</row>
    <row r="224" spans="3:23" ht="13.2"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</row>
    <row r="225" spans="3:23" ht="13.2"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</row>
    <row r="226" spans="3:23" ht="13.2"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</row>
    <row r="227" spans="3:23" ht="13.2"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</row>
    <row r="228" spans="3:23" ht="13.2"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</row>
    <row r="229" spans="3:23" ht="13.2"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</row>
    <row r="230" spans="3:23" ht="13.2"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</row>
    <row r="231" spans="3:23" ht="13.2"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</row>
    <row r="232" spans="3:23" ht="13.2"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</row>
    <row r="233" spans="3:23" ht="13.2"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</row>
    <row r="234" spans="3:23" ht="13.2"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</row>
    <row r="235" spans="3:23" ht="13.2"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</row>
    <row r="236" spans="3:23" ht="13.2"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</row>
    <row r="237" spans="3:23" ht="13.2"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</row>
    <row r="238" spans="3:23" ht="13.2"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</row>
    <row r="239" spans="3:23" ht="13.2"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</row>
    <row r="240" spans="3:23" ht="13.2"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</row>
    <row r="241" spans="3:23" ht="13.2"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</row>
    <row r="242" spans="3:23" ht="13.2"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</row>
    <row r="243" spans="3:23" ht="13.2"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</row>
    <row r="244" spans="3:23" ht="13.2"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</row>
    <row r="245" spans="3:23" ht="13.2"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</row>
    <row r="246" spans="3:23" ht="13.2"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</row>
    <row r="247" spans="3:23" ht="13.2"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</row>
    <row r="248" spans="3:23" ht="13.2"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</row>
    <row r="249" spans="3:23" ht="13.2"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</row>
    <row r="250" spans="3:23" ht="13.2"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</row>
    <row r="251" spans="3:23" ht="13.2"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</row>
    <row r="252" spans="3:23" ht="13.2"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</row>
    <row r="253" spans="3:23" ht="13.2"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</row>
    <row r="254" spans="3:23" ht="13.2"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</row>
    <row r="255" spans="3:23" ht="13.2"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</row>
    <row r="256" spans="3:23" ht="13.2"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</row>
    <row r="257" spans="3:23" ht="13.2"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</row>
    <row r="258" spans="3:23" ht="13.2"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</row>
    <row r="259" spans="3:23" ht="13.2"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</row>
    <row r="260" spans="3:23" ht="13.2"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</row>
    <row r="261" spans="3:23" ht="13.2"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</row>
    <row r="262" spans="3:23" ht="13.2"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</row>
    <row r="263" spans="3:23" ht="13.2"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</row>
    <row r="264" spans="3:23" ht="13.2"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</row>
    <row r="265" spans="3:23" ht="13.2"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</row>
    <row r="266" spans="3:23" ht="13.2"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</row>
    <row r="267" spans="3:23" ht="13.2"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</row>
    <row r="268" spans="3:23" ht="13.2"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</row>
    <row r="269" spans="3:23" ht="13.2"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</row>
    <row r="270" spans="3:23" ht="13.2"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</row>
    <row r="271" spans="3:23" ht="13.2"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</row>
    <row r="272" spans="3:23" ht="13.2"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</row>
    <row r="273" spans="3:23" ht="13.2"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</row>
    <row r="274" spans="3:23" ht="13.2"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</row>
    <row r="275" spans="3:23" ht="13.2"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</row>
    <row r="276" spans="3:23" ht="13.2"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</row>
    <row r="277" spans="3:23" ht="13.2"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</row>
    <row r="278" spans="3:23" ht="13.2"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</row>
    <row r="279" spans="3:23" ht="13.2"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</row>
    <row r="280" spans="3:23" ht="13.2"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</row>
    <row r="281" spans="3:23" ht="13.2"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</row>
    <row r="282" spans="3:23" ht="13.2"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</row>
    <row r="283" spans="3:23" ht="13.2"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</row>
    <row r="284" spans="3:23" ht="13.2"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</row>
    <row r="285" spans="3:23" ht="13.2"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</row>
    <row r="286" spans="3:23" ht="13.2"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</row>
    <row r="287" spans="3:23" ht="13.2"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</row>
    <row r="288" spans="3:23" ht="13.2"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</row>
    <row r="289" spans="3:23" ht="13.2"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</row>
    <row r="290" spans="3:23" ht="13.2"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</row>
    <row r="291" spans="3:23" ht="13.2"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</row>
    <row r="292" spans="3:23" ht="13.2"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</row>
    <row r="293" spans="3:23" ht="13.2"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</row>
    <row r="294" spans="3:23" ht="13.2"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</row>
    <row r="295" spans="3:23" ht="13.2"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</row>
    <row r="296" spans="3:23" ht="13.2"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</row>
    <row r="297" spans="3:23" ht="13.2"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</row>
    <row r="298" spans="3:23" ht="13.2"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</row>
    <row r="299" spans="3:23" ht="13.2"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</row>
    <row r="300" spans="3:23" ht="13.2"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</row>
    <row r="301" spans="3:23" ht="13.2"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</row>
    <row r="302" spans="3:23" ht="13.2"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</row>
    <row r="303" spans="3:23" ht="13.2"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</row>
    <row r="304" spans="3:23" ht="13.2"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</row>
    <row r="305" spans="3:23" ht="13.2"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</row>
    <row r="306" spans="3:23" ht="13.2"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</row>
    <row r="307" spans="3:23" ht="13.2"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</row>
    <row r="308" spans="3:23" ht="13.2"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</row>
    <row r="309" spans="3:23" ht="13.2"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</row>
    <row r="310" spans="3:23" ht="13.2"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</row>
    <row r="311" spans="3:23" ht="13.2"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</row>
    <row r="312" spans="3:23" ht="13.2"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</row>
    <row r="313" spans="3:23" ht="13.2"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</row>
    <row r="314" spans="3:23" ht="13.2"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</row>
    <row r="315" spans="3:23" ht="13.2"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</row>
    <row r="316" spans="3:23" ht="13.2"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</row>
    <row r="317" spans="3:23" ht="13.2"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</row>
    <row r="318" spans="3:23" ht="13.2"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</row>
    <row r="319" spans="3:23" ht="13.2"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</row>
    <row r="320" spans="3:23" ht="13.2"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</row>
    <row r="321" spans="3:23" ht="13.2"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</row>
    <row r="322" spans="3:23" ht="13.2"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</row>
    <row r="323" spans="3:23" ht="13.2"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</row>
    <row r="324" spans="3:23" ht="13.2"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</row>
    <row r="325" spans="3:23" ht="13.2"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</row>
    <row r="326" spans="3:23" ht="13.2"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</row>
    <row r="327" spans="3:23" ht="13.2"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</row>
    <row r="328" spans="3:23" ht="13.2"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</row>
    <row r="329" spans="3:23" ht="13.2"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</row>
    <row r="330" spans="3:23" ht="13.2"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</row>
    <row r="331" spans="3:23" ht="13.2"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</row>
    <row r="332" spans="3:23" ht="13.2"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</row>
    <row r="333" spans="3:23" ht="13.2"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</row>
    <row r="334" spans="3:23" ht="13.2"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</row>
    <row r="335" spans="3:23" ht="13.2"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</row>
    <row r="336" spans="3:23" ht="13.2"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</row>
    <row r="337" spans="3:23" ht="13.2"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</row>
    <row r="338" spans="3:23" ht="13.2"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</row>
    <row r="339" spans="3:23" ht="13.2"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</row>
    <row r="340" spans="3:23" ht="13.2"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</row>
    <row r="341" spans="3:23" ht="13.2"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</row>
    <row r="342" spans="3:23" ht="13.2"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</row>
    <row r="343" spans="3:23" ht="13.2"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</row>
    <row r="344" spans="3:23" ht="13.2"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</row>
    <row r="345" spans="3:23" ht="13.2"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</row>
    <row r="346" spans="3:23" ht="13.2"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</row>
    <row r="347" spans="3:23" ht="13.2"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</row>
    <row r="348" spans="3:23" ht="13.2"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</row>
    <row r="349" spans="3:23" ht="13.2"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</row>
    <row r="350" spans="3:23" ht="13.2"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</row>
    <row r="351" spans="3:23" ht="13.2"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</row>
    <row r="352" spans="3:23" ht="13.2"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</row>
    <row r="353" spans="3:23" ht="13.2"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</row>
    <row r="354" spans="3:23" ht="13.2"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</row>
    <row r="355" spans="3:23" ht="13.2"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</row>
    <row r="356" spans="3:23" ht="13.2"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</row>
    <row r="357" spans="3:23" ht="13.2"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</row>
    <row r="358" spans="3:23" ht="13.2"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</row>
    <row r="359" spans="3:23" ht="13.2"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</row>
    <row r="360" spans="3:23" ht="13.2"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</row>
    <row r="361" spans="3:23" ht="13.2"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</row>
    <row r="362" spans="3:23" ht="13.2"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</row>
    <row r="363" spans="3:23" ht="13.2"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</row>
    <row r="364" spans="3:23" ht="13.2"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</row>
    <row r="365" spans="3:23" ht="13.2"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</row>
    <row r="366" spans="3:23" ht="13.2"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</row>
    <row r="367" spans="3:23" ht="13.2"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</row>
    <row r="368" spans="3:23" ht="13.2"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</row>
    <row r="369" spans="3:23" ht="13.2"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</row>
    <row r="370" spans="3:23" ht="13.2"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</row>
    <row r="371" spans="3:23" ht="13.2"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</row>
    <row r="372" spans="3:23" ht="13.2"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</row>
    <row r="373" spans="3:23" ht="13.2"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</row>
    <row r="374" spans="3:23" ht="13.2"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</row>
    <row r="375" spans="3:23" ht="13.2"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</row>
    <row r="376" spans="3:23" ht="13.2"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</row>
    <row r="377" spans="3:23" ht="13.2"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</row>
    <row r="378" spans="3:23" ht="13.2"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</row>
    <row r="379" spans="3:23" ht="13.2"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</row>
    <row r="380" spans="3:23" ht="13.2"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</row>
    <row r="381" spans="3:23" ht="13.2"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</row>
    <row r="382" spans="3:23" ht="13.2"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</row>
    <row r="383" spans="3:23" ht="13.2"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</row>
    <row r="384" spans="3:23" ht="13.2"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</row>
    <row r="385" spans="3:23" ht="13.2"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</row>
    <row r="386" spans="3:23" ht="13.2"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</row>
    <row r="387" spans="3:23" ht="13.2"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</row>
    <row r="388" spans="3:23" ht="13.2"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</row>
    <row r="389" spans="3:23" ht="13.2"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</row>
    <row r="390" spans="3:23" ht="13.2"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</row>
    <row r="391" spans="3:23" ht="13.2"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</row>
    <row r="392" spans="3:23" ht="13.2"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</row>
    <row r="393" spans="3:23" ht="13.2"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</row>
    <row r="394" spans="3:23" ht="13.2"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</row>
    <row r="395" spans="3:23" ht="13.2"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</row>
    <row r="396" spans="3:23" ht="13.2"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</row>
    <row r="397" spans="3:23" ht="13.2"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</row>
    <row r="398" spans="3:23" ht="13.2"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</row>
    <row r="399" spans="3:23" ht="13.2"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</row>
    <row r="400" spans="3:23" ht="13.2"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</row>
    <row r="401" spans="3:23" ht="13.2"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</row>
    <row r="402" spans="3:23" ht="13.2"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</row>
    <row r="403" spans="3:23" ht="13.2"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</row>
    <row r="404" spans="3:23" ht="13.2"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</row>
    <row r="405" spans="3:23" ht="13.2"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</row>
    <row r="406" spans="3:23" ht="13.2"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</row>
    <row r="407" spans="3:23" ht="13.2"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</row>
    <row r="408" spans="3:23" ht="13.2"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</row>
    <row r="409" spans="3:23" ht="13.2"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</row>
    <row r="410" spans="3:23" ht="13.2"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</row>
    <row r="411" spans="3:23" ht="13.2"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</row>
    <row r="412" spans="3:23" ht="13.2"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</row>
    <row r="413" spans="3:23" ht="13.2"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</row>
    <row r="414" spans="3:23" ht="13.2"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</row>
    <row r="415" spans="3:23" ht="13.2"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</row>
    <row r="416" spans="3:23" ht="13.2"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</row>
    <row r="417" spans="3:23" ht="13.2"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</row>
    <row r="418" spans="3:23" ht="13.2"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</row>
    <row r="419" spans="3:23" ht="13.2"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</row>
    <row r="420" spans="3:23" ht="13.2"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</row>
    <row r="421" spans="3:23" ht="13.2"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</row>
    <row r="422" spans="3:23" ht="13.2"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</row>
    <row r="423" spans="3:23" ht="13.2"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</row>
    <row r="424" spans="3:23" ht="13.2"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</row>
    <row r="425" spans="3:23" ht="13.2"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</row>
    <row r="426" spans="3:23" ht="13.2"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</row>
    <row r="427" spans="3:23" ht="13.2"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</row>
    <row r="428" spans="3:23" ht="13.2"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</row>
    <row r="429" spans="3:23" ht="13.2"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</row>
    <row r="430" spans="3:23" ht="13.2"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</row>
    <row r="431" spans="3:23" ht="13.2"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</row>
    <row r="432" spans="3:23" ht="13.2"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</row>
    <row r="433" spans="3:23" ht="13.2"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</row>
    <row r="434" spans="3:23" ht="13.2"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</row>
    <row r="435" spans="3:23" ht="13.2"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</row>
    <row r="436" spans="3:23" ht="13.2"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</row>
    <row r="437" spans="3:23" ht="13.2"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</row>
    <row r="438" spans="3:23" ht="13.2"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</row>
    <row r="439" spans="3:23" ht="13.2"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</row>
    <row r="440" spans="3:23" ht="13.2"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</row>
    <row r="441" spans="3:23" ht="13.2"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</row>
    <row r="442" spans="3:23" ht="13.2"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</row>
    <row r="443" spans="3:23" ht="13.2"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</row>
    <row r="444" spans="3:23" ht="13.2"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</row>
    <row r="445" spans="3:23" ht="13.2"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</row>
    <row r="446" spans="3:23" ht="13.2"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</row>
    <row r="447" spans="3:23" ht="13.2"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</row>
    <row r="448" spans="3:23" ht="13.2"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</row>
    <row r="449" spans="3:23" ht="13.2"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</row>
    <row r="450" spans="3:23" ht="13.2"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</row>
    <row r="451" spans="3:23" ht="13.2"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</row>
    <row r="452" spans="3:23" ht="13.2"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</row>
    <row r="453" spans="3:23" ht="13.2"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</row>
    <row r="454" spans="3:23" ht="13.2"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</row>
    <row r="455" spans="3:23" ht="13.2"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</row>
    <row r="456" spans="3:23" ht="13.2"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</row>
    <row r="457" spans="3:23" ht="13.2"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</row>
    <row r="458" spans="3:23" ht="13.2"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</row>
    <row r="459" spans="3:23" ht="13.2"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</row>
    <row r="460" spans="3:23" ht="13.2"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</row>
    <row r="461" spans="3:23" ht="13.2"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</row>
    <row r="462" spans="3:23" ht="13.2"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</row>
    <row r="463" spans="3:23" ht="13.2"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</row>
    <row r="464" spans="3:23" ht="13.2"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</row>
    <row r="465" spans="3:23" ht="13.2"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</row>
    <row r="466" spans="3:23" ht="13.2"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</row>
    <row r="467" spans="3:23" ht="13.2"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</row>
    <row r="468" spans="3:23" ht="13.2"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</row>
    <row r="469" spans="3:23" ht="13.2"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</row>
    <row r="470" spans="3:23" ht="13.2"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</row>
    <row r="471" spans="3:23" ht="13.2"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</row>
    <row r="472" spans="3:23" ht="13.2"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</row>
    <row r="473" spans="3:23" ht="13.2"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</row>
    <row r="474" spans="3:23" ht="13.2"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</row>
    <row r="475" spans="3:23" ht="13.2"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</row>
    <row r="476" spans="3:23" ht="13.2"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</row>
    <row r="477" spans="3:23" ht="13.2"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</row>
    <row r="478" spans="3:23" ht="13.2"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</row>
    <row r="479" spans="3:23" ht="13.2"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</row>
    <row r="480" spans="3:23" ht="13.2"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</row>
    <row r="481" spans="3:23" ht="13.2"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</row>
    <row r="482" spans="3:23" ht="13.2"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</row>
    <row r="483" spans="3:23" ht="13.2"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</row>
    <row r="484" spans="3:23" ht="13.2"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</row>
    <row r="485" spans="3:23" ht="13.2"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</row>
    <row r="486" spans="3:23" ht="13.2"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</row>
    <row r="487" spans="3:23" ht="13.2"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</row>
    <row r="488" spans="3:23" ht="13.2"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</row>
    <row r="489" spans="3:23" ht="13.2"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</row>
    <row r="490" spans="3:23" ht="13.2"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</row>
    <row r="491" spans="3:23" ht="13.2"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</row>
    <row r="492" spans="3:23" ht="13.2"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</row>
    <row r="493" spans="3:23" ht="13.2"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</row>
    <row r="494" spans="3:23" ht="13.2"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</row>
    <row r="495" spans="3:23" ht="13.2"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</row>
    <row r="496" spans="3:23" ht="13.2"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</row>
    <row r="497" spans="3:23" ht="13.2"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</row>
    <row r="498" spans="3:23" ht="13.2"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</row>
    <row r="499" spans="3:23" ht="13.2"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</row>
    <row r="500" spans="3:23" ht="13.2"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</row>
    <row r="501" spans="3:23" ht="13.2"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</row>
    <row r="502" spans="3:23" ht="13.2"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</row>
    <row r="503" spans="3:23" ht="13.2"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</row>
    <row r="504" spans="3:23" ht="13.2"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</row>
    <row r="505" spans="3:23" ht="13.2"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</row>
    <row r="506" spans="3:23" ht="13.2"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</row>
    <row r="507" spans="3:23" ht="13.2"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</row>
    <row r="508" spans="3:23" ht="13.2"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</row>
    <row r="509" spans="3:23" ht="13.2"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</row>
    <row r="510" spans="3:23" ht="13.2"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</row>
    <row r="511" spans="3:23" ht="13.2"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</row>
    <row r="512" spans="3:23" ht="13.2"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</row>
    <row r="513" spans="3:23" ht="13.2"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</row>
    <row r="514" spans="3:23" ht="13.2"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</row>
    <row r="515" spans="3:23" ht="13.2"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</row>
    <row r="516" spans="3:23" ht="13.2"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</row>
    <row r="517" spans="3:23" ht="13.2"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</row>
    <row r="518" spans="3:23" ht="13.2"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</row>
    <row r="519" spans="3:23" ht="13.2"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</row>
    <row r="520" spans="3:23" ht="13.2"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</row>
    <row r="521" spans="3:23" ht="13.2"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</row>
    <row r="522" spans="3:23" ht="13.2"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</row>
    <row r="523" spans="3:23" ht="13.2"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</row>
    <row r="524" spans="3:23" ht="13.2"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</row>
    <row r="525" spans="3:23" ht="13.2"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</row>
    <row r="526" spans="3:23" ht="13.2"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</row>
    <row r="527" spans="3:23" ht="13.2"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</row>
    <row r="528" spans="3:23" ht="13.2"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</row>
    <row r="529" spans="3:23" ht="13.2"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</row>
    <row r="530" spans="3:23" ht="13.2"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</row>
    <row r="531" spans="3:23" ht="13.2"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</row>
    <row r="532" spans="3:23" ht="13.2"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</row>
    <row r="533" spans="3:23" ht="13.2"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</row>
    <row r="534" spans="3:23" ht="13.2"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</row>
    <row r="535" spans="3:23" ht="13.2"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</row>
    <row r="536" spans="3:23" ht="13.2"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</row>
    <row r="537" spans="3:23" ht="13.2"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</row>
    <row r="538" spans="3:23" ht="13.2"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</row>
    <row r="539" spans="3:23" ht="13.2"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</row>
    <row r="540" spans="3:23" ht="13.2"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</row>
    <row r="541" spans="3:23" ht="13.2"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</row>
    <row r="542" spans="3:23" ht="13.2"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</row>
    <row r="543" spans="3:23" ht="13.2"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</row>
    <row r="544" spans="3:23" ht="13.2"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</row>
    <row r="545" spans="3:23" ht="13.2"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</row>
    <row r="546" spans="3:23" ht="13.2"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</row>
    <row r="547" spans="3:23" ht="13.2"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</row>
    <row r="548" spans="3:23" ht="13.2"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</row>
    <row r="549" spans="3:23" ht="13.2"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</row>
    <row r="550" spans="3:23" ht="13.2"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</row>
    <row r="551" spans="3:23" ht="13.2"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</row>
    <row r="552" spans="3:23" ht="13.2"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</row>
    <row r="553" spans="3:23" ht="13.2"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</row>
    <row r="554" spans="3:23" ht="13.2"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</row>
    <row r="555" spans="3:23" ht="13.2"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</row>
    <row r="556" spans="3:23" ht="13.2"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</row>
    <row r="557" spans="3:23" ht="13.2"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</row>
    <row r="558" spans="3:23" ht="13.2"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</row>
    <row r="559" spans="3:23" ht="13.2"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</row>
    <row r="560" spans="3:23" ht="13.2"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</row>
    <row r="561" spans="3:23" ht="13.2"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</row>
    <row r="562" spans="3:23" ht="13.2"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</row>
    <row r="563" spans="3:23" ht="13.2"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</row>
    <row r="564" spans="3:23" ht="13.2"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</row>
    <row r="565" spans="3:23" ht="13.2"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</row>
    <row r="566" spans="3:23" ht="13.2"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</row>
    <row r="567" spans="3:23" ht="13.2"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</row>
    <row r="568" spans="3:23" ht="13.2"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</row>
    <row r="569" spans="3:23" ht="13.2"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</row>
    <row r="570" spans="3:23" ht="13.2"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</row>
    <row r="571" spans="3:23" ht="13.2"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</row>
    <row r="572" spans="3:23" ht="13.2"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</row>
    <row r="573" spans="3:23" ht="13.2"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</row>
    <row r="574" spans="3:23" ht="13.2"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</row>
    <row r="575" spans="3:23" ht="13.2"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</row>
    <row r="576" spans="3:23" ht="13.2"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</row>
    <row r="577" spans="3:23" ht="13.2"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</row>
    <row r="578" spans="3:23" ht="13.2"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</row>
    <row r="579" spans="3:23" ht="13.2"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</row>
    <row r="580" spans="3:23" ht="13.2"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</row>
    <row r="581" spans="3:23" ht="13.2"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</row>
    <row r="582" spans="3:23" ht="13.2"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</row>
    <row r="583" spans="3:23" ht="13.2"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</row>
    <row r="584" spans="3:23" ht="13.2"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</row>
    <row r="585" spans="3:23" ht="13.2"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</row>
    <row r="586" spans="3:23" ht="13.2"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</row>
    <row r="587" spans="3:23" ht="13.2"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</row>
    <row r="588" spans="3:23" ht="13.2"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</row>
    <row r="589" spans="3:23" ht="13.2"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</row>
    <row r="590" spans="3:23" ht="13.2"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</row>
    <row r="591" spans="3:23" ht="13.2"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</row>
    <row r="592" spans="3:23" ht="13.2"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</row>
    <row r="593" spans="3:23" ht="13.2"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</row>
    <row r="594" spans="3:23" ht="13.2"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</row>
    <row r="595" spans="3:23" ht="13.2"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</row>
    <row r="596" spans="3:23" ht="13.2"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</row>
    <row r="597" spans="3:23" ht="13.2"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</row>
    <row r="598" spans="3:23" ht="13.2"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</row>
    <row r="599" spans="3:23" ht="13.2"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</row>
    <row r="600" spans="3:23" ht="13.2"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</row>
    <row r="601" spans="3:23" ht="13.2"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</row>
    <row r="602" spans="3:23" ht="13.2"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</row>
    <row r="603" spans="3:23" ht="13.2"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</row>
    <row r="604" spans="3:23" ht="13.2"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</row>
    <row r="605" spans="3:23" ht="13.2"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</row>
    <row r="606" spans="3:23" ht="13.2"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</row>
    <row r="607" spans="3:23" ht="13.2"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</row>
    <row r="608" spans="3:23" ht="13.2"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</row>
    <row r="609" spans="3:23" ht="13.2"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</row>
    <row r="610" spans="3:23" ht="13.2"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</row>
    <row r="611" spans="3:23" ht="13.2"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</row>
    <row r="612" spans="3:23" ht="13.2"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</row>
    <row r="613" spans="3:23" ht="13.2"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</row>
    <row r="614" spans="3:23" ht="13.2"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</row>
    <row r="615" spans="3:23" ht="13.2"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</row>
    <row r="616" spans="3:23" ht="13.2"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</row>
    <row r="617" spans="3:23" ht="13.2"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</row>
    <row r="618" spans="3:23" ht="13.2"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</row>
    <row r="619" spans="3:23" ht="13.2"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</row>
    <row r="620" spans="3:23" ht="13.2"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</row>
    <row r="621" spans="3:23" ht="13.2"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</row>
    <row r="622" spans="3:23" ht="13.2"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</row>
    <row r="623" spans="3:23" ht="13.2"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</row>
    <row r="624" spans="3:23" ht="13.2"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</row>
    <row r="625" spans="3:23" ht="13.2"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</row>
    <row r="626" spans="3:23" ht="13.2"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</row>
    <row r="627" spans="3:23" ht="13.2"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</row>
    <row r="628" spans="3:23" ht="13.2"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</row>
    <row r="629" spans="3:23" ht="13.2"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</row>
    <row r="630" spans="3:23" ht="13.2"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</row>
    <row r="631" spans="3:23" ht="13.2"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</row>
    <row r="632" spans="3:23" ht="13.2"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</row>
    <row r="633" spans="3:23" ht="13.2"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</row>
    <row r="634" spans="3:23" ht="13.2"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</row>
    <row r="635" spans="3:23" ht="13.2"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</row>
    <row r="636" spans="3:23" ht="13.2"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</row>
    <row r="637" spans="3:23" ht="13.2"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</row>
    <row r="638" spans="3:23" ht="13.2"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</row>
    <row r="639" spans="3:23" ht="13.2"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</row>
    <row r="640" spans="3:23" ht="13.2"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</row>
    <row r="641" spans="3:23" ht="13.2"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</row>
    <row r="642" spans="3:23" ht="13.2"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</row>
    <row r="643" spans="3:23" ht="13.2"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</row>
    <row r="644" spans="3:23" ht="13.2"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</row>
    <row r="645" spans="3:23" ht="13.2"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</row>
    <row r="646" spans="3:23" ht="13.2"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</row>
    <row r="647" spans="3:23" ht="13.2"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</row>
    <row r="648" spans="3:23" ht="13.2"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</row>
    <row r="649" spans="3:23" ht="13.2"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</row>
    <row r="650" spans="3:23" ht="13.2"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</row>
    <row r="651" spans="3:23" ht="13.2"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</row>
    <row r="652" spans="3:23" ht="13.2"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</row>
    <row r="653" spans="3:23" ht="13.2"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</row>
    <row r="654" spans="3:23" ht="13.2"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</row>
    <row r="655" spans="3:23" ht="13.2"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</row>
    <row r="656" spans="3:23" ht="13.2"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</row>
    <row r="657" spans="3:23" ht="13.2"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</row>
    <row r="658" spans="3:23" ht="13.2"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</row>
    <row r="659" spans="3:23" ht="13.2"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</row>
    <row r="660" spans="3:23" ht="13.2"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</row>
    <row r="661" spans="3:23" ht="13.2"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</row>
    <row r="662" spans="3:23" ht="13.2"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</row>
    <row r="663" spans="3:23" ht="13.2"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</row>
    <row r="664" spans="3:23" ht="13.2"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</row>
    <row r="665" spans="3:23" ht="13.2"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</row>
    <row r="666" spans="3:23" ht="13.2"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</row>
    <row r="667" spans="3:23" ht="13.2"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</row>
    <row r="668" spans="3:23" ht="13.2"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</row>
    <row r="669" spans="3:23" ht="13.2"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</row>
    <row r="670" spans="3:23" ht="13.2"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</row>
    <row r="671" spans="3:23" ht="13.2"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</row>
    <row r="672" spans="3:23" ht="13.2"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</row>
    <row r="673" spans="3:23" ht="13.2"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</row>
    <row r="674" spans="3:23" ht="13.2"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</row>
    <row r="675" spans="3:23" ht="13.2"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</row>
    <row r="676" spans="3:23" ht="13.2"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</row>
    <row r="677" spans="3:23" ht="13.2"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</row>
    <row r="678" spans="3:23" ht="13.2"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</row>
    <row r="679" spans="3:23" ht="13.2"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</row>
    <row r="680" spans="3:23" ht="13.2"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</row>
    <row r="681" spans="3:23" ht="13.2"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</row>
    <row r="682" spans="3:23" ht="13.2"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</row>
    <row r="683" spans="3:23" ht="13.2"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</row>
    <row r="684" spans="3:23" ht="13.2"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</row>
    <row r="685" spans="3:23" ht="13.2"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</row>
    <row r="686" spans="3:23" ht="13.2"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</row>
    <row r="687" spans="3:23" ht="13.2"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</row>
    <row r="688" spans="3:23" ht="13.2"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</row>
    <row r="689" spans="3:23" ht="13.2"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</row>
    <row r="690" spans="3:23" ht="13.2"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</row>
    <row r="691" spans="3:23" ht="13.2"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</row>
    <row r="692" spans="3:23" ht="13.2"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</row>
    <row r="693" spans="3:23" ht="13.2"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</row>
    <row r="694" spans="3:23" ht="13.2"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</row>
    <row r="695" spans="3:23" ht="13.2"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</row>
    <row r="696" spans="3:23" ht="13.2"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</row>
    <row r="697" spans="3:23" ht="13.2"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</row>
    <row r="698" spans="3:23" ht="13.2"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</row>
    <row r="699" spans="3:23" ht="13.2"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</row>
    <row r="700" spans="3:23" ht="13.2"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</row>
    <row r="701" spans="3:23" ht="13.2"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</row>
    <row r="702" spans="3:23" ht="13.2"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</row>
    <row r="703" spans="3:23" ht="13.2"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</row>
    <row r="704" spans="3:23" ht="13.2"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</row>
    <row r="705" spans="3:23" ht="13.2"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</row>
    <row r="706" spans="3:23" ht="13.2"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</row>
    <row r="707" spans="3:23" ht="13.2"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</row>
    <row r="708" spans="3:23" ht="13.2"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</row>
    <row r="709" spans="3:23" ht="13.2"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</row>
    <row r="710" spans="3:23" ht="13.2"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</row>
    <row r="711" spans="3:23" ht="13.2"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</row>
    <row r="712" spans="3:23" ht="13.2"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</row>
    <row r="713" spans="3:23" ht="13.2"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</row>
    <row r="714" spans="3:23" ht="13.2"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</row>
    <row r="715" spans="3:23" ht="13.2"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</row>
    <row r="716" spans="3:23" ht="13.2"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</row>
    <row r="717" spans="3:23" ht="13.2"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</row>
    <row r="718" spans="3:23" ht="13.2"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</row>
    <row r="719" spans="3:23" ht="13.2"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</row>
    <row r="720" spans="3:23" ht="13.2"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</row>
    <row r="721" spans="3:23" ht="13.2"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</row>
    <row r="722" spans="3:23" ht="13.2"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</row>
    <row r="723" spans="3:23" ht="13.2"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</row>
    <row r="724" spans="3:23" ht="13.2"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</row>
    <row r="725" spans="3:23" ht="13.2"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</row>
    <row r="726" spans="3:23" ht="13.2"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</row>
    <row r="727" spans="3:23" ht="13.2"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</row>
    <row r="728" spans="3:23" ht="13.2"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</row>
    <row r="729" spans="3:23" ht="13.2"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</row>
    <row r="730" spans="3:23" ht="13.2"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</row>
    <row r="731" spans="3:23" ht="13.2"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</row>
    <row r="732" spans="3:23" ht="13.2"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</row>
    <row r="733" spans="3:23" ht="13.2"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</row>
    <row r="734" spans="3:23" ht="13.2"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</row>
    <row r="735" spans="3:23" ht="13.2"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</row>
    <row r="736" spans="3:23" ht="13.2"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</row>
    <row r="737" spans="3:23" ht="13.2"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</row>
    <row r="738" spans="3:23" ht="13.2"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</row>
    <row r="739" spans="3:23" ht="13.2"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</row>
    <row r="740" spans="3:23" ht="13.2"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</row>
    <row r="741" spans="3:23" ht="13.2"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</row>
    <row r="742" spans="3:23" ht="13.2"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</row>
    <row r="743" spans="3:23" ht="13.2"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</row>
    <row r="744" spans="3:23" ht="13.2"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</row>
    <row r="745" spans="3:23" ht="13.2"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</row>
    <row r="746" spans="3:23" ht="13.2"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</row>
    <row r="747" spans="3:23" ht="13.2"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</row>
    <row r="748" spans="3:23" ht="13.2"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</row>
    <row r="749" spans="3:23" ht="13.2"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</row>
    <row r="750" spans="3:23" ht="13.2"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</row>
    <row r="751" spans="3:23" ht="13.2"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</row>
    <row r="752" spans="3:23" ht="13.2"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</row>
    <row r="753" spans="3:23" ht="13.2"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</row>
    <row r="754" spans="3:23" ht="13.2"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</row>
    <row r="755" spans="3:23" ht="13.2"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</row>
    <row r="756" spans="3:23" ht="13.2"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</row>
    <row r="757" spans="3:23" ht="13.2"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</row>
    <row r="758" spans="3:23" ht="13.2"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</row>
    <row r="759" spans="3:23" ht="13.2"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</row>
    <row r="760" spans="3:23" ht="13.2"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</row>
    <row r="761" spans="3:23" ht="13.2"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</row>
    <row r="762" spans="3:23" ht="13.2"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</row>
    <row r="763" spans="3:23" ht="13.2"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</row>
    <row r="764" spans="3:23" ht="13.2"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</row>
    <row r="765" spans="3:23" ht="13.2"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</row>
    <row r="766" spans="3:23" ht="13.2"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</row>
    <row r="767" spans="3:23" ht="13.2"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</row>
    <row r="768" spans="3:23" ht="13.2"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</row>
    <row r="769" spans="3:23" ht="13.2"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</row>
    <row r="770" spans="3:23" ht="13.2"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</row>
    <row r="771" spans="3:23" ht="13.2"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</row>
    <row r="772" spans="3:23" ht="13.2"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</row>
    <row r="773" spans="3:23" ht="13.2"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</row>
    <row r="774" spans="3:23" ht="13.2"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</row>
    <row r="775" spans="3:23" ht="13.2"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</row>
    <row r="776" spans="3:23" ht="13.2"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</row>
    <row r="777" spans="3:23" ht="13.2"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</row>
    <row r="778" spans="3:23" ht="13.2"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</row>
    <row r="779" spans="3:23" ht="13.2"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</row>
    <row r="780" spans="3:23" ht="13.2"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</row>
    <row r="781" spans="3:23" ht="13.2"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</row>
    <row r="782" spans="3:23" ht="13.2"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</row>
    <row r="783" spans="3:23" ht="13.2"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</row>
    <row r="784" spans="3:23" ht="13.2"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</row>
    <row r="785" spans="3:23" ht="13.2"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</row>
    <row r="786" spans="3:23" ht="13.2"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</row>
    <row r="787" spans="3:23" ht="13.2"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</row>
    <row r="788" spans="3:23" ht="13.2"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</row>
    <row r="789" spans="3:23" ht="13.2"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</row>
    <row r="790" spans="3:23" ht="13.2"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</row>
    <row r="791" spans="3:23" ht="13.2"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</row>
    <row r="792" spans="3:23" ht="13.2"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</row>
    <row r="793" spans="3:23" ht="13.2"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</row>
    <row r="794" spans="3:23" ht="13.2"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</row>
    <row r="795" spans="3:23" ht="13.2"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</row>
    <row r="796" spans="3:23" ht="13.2"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</row>
    <row r="797" spans="3:23" ht="13.2"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</row>
    <row r="798" spans="3:23" ht="13.2"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</row>
    <row r="799" spans="3:23" ht="13.2"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</row>
    <row r="800" spans="3:23" ht="13.2"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</row>
    <row r="801" spans="3:23" ht="13.2"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</row>
    <row r="802" spans="3:23" ht="13.2"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</row>
    <row r="803" spans="3:23" ht="13.2"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</row>
    <row r="804" spans="3:23" ht="13.2"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</row>
    <row r="805" spans="3:23" ht="13.2"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</row>
    <row r="806" spans="3:23" ht="13.2"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</row>
    <row r="807" spans="3:23" ht="13.2"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</row>
    <row r="808" spans="3:23" ht="13.2"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</row>
    <row r="809" spans="3:23" ht="13.2"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</row>
    <row r="810" spans="3:23" ht="13.2"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</row>
    <row r="811" spans="3:23" ht="13.2"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</row>
    <row r="812" spans="3:23" ht="13.2"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</row>
    <row r="813" spans="3:23" ht="13.2"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</row>
    <row r="814" spans="3:23" ht="13.2"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</row>
    <row r="815" spans="3:23" ht="13.2"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</row>
    <row r="816" spans="3:23" ht="13.2"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</row>
    <row r="817" spans="3:23" ht="13.2"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</row>
    <row r="818" spans="3:23" ht="13.2"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</row>
    <row r="819" spans="3:23" ht="13.2"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</row>
    <row r="820" spans="3:23" ht="13.2"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</row>
    <row r="821" spans="3:23" ht="13.2"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</row>
    <row r="822" spans="3:23" ht="13.2"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</row>
    <row r="823" spans="3:23" ht="13.2"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</row>
    <row r="824" spans="3:23" ht="13.2"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</row>
    <row r="825" spans="3:23" ht="13.2"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</row>
    <row r="826" spans="3:23" ht="13.2"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</row>
    <row r="827" spans="3:23" ht="13.2"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</row>
    <row r="828" spans="3:23" ht="13.2"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</row>
    <row r="829" spans="3:23" ht="13.2"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</row>
    <row r="830" spans="3:23" ht="13.2"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</row>
    <row r="831" spans="3:23" ht="13.2"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</row>
    <row r="832" spans="3:23" ht="13.2"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</row>
    <row r="833" spans="3:23" ht="13.2"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</row>
    <row r="834" spans="3:23" ht="13.2"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</row>
    <row r="835" spans="3:23" ht="13.2"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</row>
    <row r="836" spans="3:23" ht="13.2"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</row>
    <row r="837" spans="3:23" ht="13.2"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</row>
    <row r="838" spans="3:23" ht="13.2"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</row>
    <row r="839" spans="3:23" ht="13.2"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</row>
    <row r="840" spans="3:23" ht="13.2"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</row>
    <row r="841" spans="3:23" ht="13.2"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</row>
    <row r="842" spans="3:23" ht="13.2"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</row>
    <row r="843" spans="3:23" ht="13.2"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</row>
    <row r="844" spans="3:23" ht="13.2"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</row>
    <row r="845" spans="3:23" ht="13.2"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</row>
    <row r="846" spans="3:23" ht="13.2"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</row>
    <row r="847" spans="3:23" ht="13.2"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</row>
    <row r="848" spans="3:23" ht="13.2"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</row>
    <row r="849" spans="3:23" ht="13.2"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</row>
    <row r="850" spans="3:23" ht="13.2"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</row>
    <row r="851" spans="3:23" ht="13.2"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</row>
    <row r="852" spans="3:23" ht="13.2"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</row>
    <row r="853" spans="3:23" ht="13.2"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</row>
    <row r="854" spans="3:23" ht="13.2"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</row>
    <row r="855" spans="3:23" ht="13.2"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</row>
    <row r="856" spans="3:23" ht="13.2"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</row>
    <row r="857" spans="3:23" ht="13.2"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</row>
    <row r="858" spans="3:23" ht="13.2"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</row>
    <row r="859" spans="3:23" ht="13.2"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</row>
    <row r="860" spans="3:23" ht="13.2"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</row>
    <row r="861" spans="3:23" ht="13.2"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</row>
    <row r="862" spans="3:23" ht="13.2"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</row>
    <row r="863" spans="3:23" ht="13.2"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</row>
    <row r="864" spans="3:23" ht="13.2"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</row>
    <row r="865" spans="3:23" ht="13.2"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</row>
    <row r="866" spans="3:23" ht="13.2"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</row>
    <row r="867" spans="3:23" ht="13.2"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</row>
    <row r="868" spans="3:23" ht="13.2"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</row>
    <row r="869" spans="3:23" ht="13.2"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</row>
    <row r="870" spans="3:23" ht="13.2"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</row>
    <row r="871" spans="3:23" ht="13.2"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</row>
    <row r="872" spans="3:23" ht="13.2"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</row>
    <row r="873" spans="3:23" ht="13.2"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</row>
    <row r="874" spans="3:23" ht="13.2"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</row>
    <row r="875" spans="3:23" ht="13.2"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</row>
    <row r="876" spans="3:23" ht="13.2"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</row>
    <row r="877" spans="3:23" ht="13.2"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</row>
    <row r="878" spans="3:23" ht="13.2"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</row>
    <row r="879" spans="3:23" ht="13.2"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</row>
    <row r="880" spans="3:23" ht="13.2"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</row>
    <row r="881" spans="3:23" ht="13.2"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</row>
    <row r="882" spans="3:23" ht="13.2"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</row>
    <row r="883" spans="3:23" ht="13.2"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</row>
    <row r="884" spans="3:23" ht="13.2"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</row>
    <row r="885" spans="3:23" ht="13.2"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</row>
    <row r="886" spans="3:23" ht="13.2"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</row>
    <row r="887" spans="3:23" ht="13.2"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</row>
    <row r="888" spans="3:23" ht="13.2"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</row>
    <row r="889" spans="3:23" ht="13.2"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</row>
    <row r="890" spans="3:23" ht="13.2"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</row>
    <row r="891" spans="3:23" ht="13.2"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</row>
    <row r="892" spans="3:23" ht="13.2"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</row>
    <row r="893" spans="3:23" ht="13.2"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</row>
    <row r="894" spans="3:23" ht="13.2"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</row>
    <row r="895" spans="3:23" ht="13.2"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</row>
    <row r="896" spans="3:23" ht="13.2"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</row>
    <row r="897" spans="3:23" ht="13.2"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</row>
    <row r="898" spans="3:23" ht="13.2"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</row>
    <row r="899" spans="3:23" ht="13.2"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</row>
    <row r="900" spans="3:23" ht="13.2"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</row>
    <row r="901" spans="3:23" ht="13.2"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</row>
    <row r="902" spans="3:23" ht="13.2"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</row>
    <row r="903" spans="3:23" ht="13.2"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</row>
    <row r="904" spans="3:23" ht="13.2"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</row>
    <row r="905" spans="3:23" ht="13.2"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</row>
    <row r="906" spans="3:23" ht="13.2"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</row>
    <row r="907" spans="3:23" ht="13.2"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</row>
    <row r="908" spans="3:23" ht="13.2"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</row>
    <row r="909" spans="3:23" ht="13.2"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</row>
    <row r="910" spans="3:23" ht="13.2"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</row>
    <row r="911" spans="3:23" ht="13.2"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</row>
    <row r="912" spans="3:23" ht="13.2"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</row>
    <row r="913" spans="3:23" ht="13.2"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</row>
    <row r="914" spans="3:23" ht="13.2"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</row>
    <row r="915" spans="3:23" ht="13.2"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</row>
    <row r="916" spans="3:23" ht="13.2"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</row>
    <row r="917" spans="3:23" ht="13.2"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</row>
    <row r="918" spans="3:23" ht="13.2"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</row>
    <row r="919" spans="3:23" ht="13.2"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</row>
    <row r="920" spans="3:23" ht="13.2"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</row>
    <row r="921" spans="3:23" ht="13.2"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</row>
    <row r="922" spans="3:23" ht="13.2"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</row>
    <row r="923" spans="3:23" ht="13.2"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</row>
    <row r="924" spans="3:23" ht="13.2"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</row>
    <row r="925" spans="3:23" ht="13.2"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</row>
    <row r="926" spans="3:23" ht="13.2"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</row>
    <row r="927" spans="3:23" ht="13.2"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</row>
    <row r="928" spans="3:23" ht="13.2"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</row>
    <row r="929" spans="3:23" ht="13.2"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</row>
    <row r="930" spans="3:23" ht="13.2"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</row>
    <row r="931" spans="3:23" ht="13.2"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</row>
    <row r="932" spans="3:23" ht="13.2"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</row>
    <row r="933" spans="3:23" ht="13.2"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</row>
    <row r="934" spans="3:23" ht="13.2"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</row>
    <row r="935" spans="3:23" ht="13.2"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</row>
    <row r="936" spans="3:23" ht="13.2"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</row>
    <row r="937" spans="3:23" ht="13.2"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</row>
    <row r="938" spans="3:23" ht="13.2"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</row>
    <row r="939" spans="3:23" ht="13.2"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</row>
    <row r="940" spans="3:23" ht="13.2"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</row>
    <row r="941" spans="3:23" ht="13.2"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</row>
    <row r="942" spans="3:23" ht="13.2"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</row>
    <row r="943" spans="3:23" ht="13.2"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</row>
    <row r="944" spans="3:23" ht="13.2"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</row>
    <row r="945" spans="3:23" ht="13.2"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</row>
    <row r="946" spans="3:23" ht="13.2"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</row>
    <row r="947" spans="3:23" ht="13.2"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</row>
    <row r="948" spans="3:23" ht="13.2"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</row>
    <row r="949" spans="3:23" ht="13.2"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</row>
    <row r="950" spans="3:23" ht="13.2"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</row>
    <row r="951" spans="3:23" ht="13.2"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</row>
    <row r="952" spans="3:23" ht="13.2"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</row>
    <row r="953" spans="3:23" ht="13.2"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</row>
    <row r="954" spans="3:23" ht="13.2"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</row>
    <row r="955" spans="3:23" ht="13.2"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</row>
    <row r="956" spans="3:23" ht="13.2"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</row>
    <row r="957" spans="3:23" ht="13.2"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</row>
    <row r="958" spans="3:23" ht="13.2"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</row>
    <row r="959" spans="3:23" ht="13.2"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</row>
    <row r="960" spans="3:23" ht="13.2"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</row>
    <row r="961" spans="3:23" ht="13.2"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</row>
    <row r="962" spans="3:23" ht="13.2"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</row>
    <row r="963" spans="3:23" ht="13.2"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</row>
    <row r="964" spans="3:23" ht="13.2"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</row>
    <row r="965" spans="3:23" ht="13.2"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</row>
    <row r="966" spans="3:23" ht="13.2"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</row>
    <row r="967" spans="3:23" ht="13.2"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</row>
    <row r="968" spans="3:23" ht="13.2"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</row>
    <row r="969" spans="3:23" ht="13.2"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</row>
    <row r="970" spans="3:23" ht="13.2"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</row>
    <row r="971" spans="3:23" ht="13.2"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</row>
    <row r="972" spans="3:23" ht="13.2"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</row>
    <row r="973" spans="3:23" ht="13.2"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</row>
    <row r="974" spans="3:23" ht="13.2"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</row>
    <row r="975" spans="3:23" ht="13.2"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</row>
    <row r="976" spans="3:23" ht="13.2"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</row>
    <row r="977" spans="3:23" ht="13.2"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</row>
    <row r="978" spans="3:23" ht="13.2"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</row>
    <row r="979" spans="3:23" ht="13.2"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</row>
    <row r="980" spans="3:23" ht="13.2"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</row>
    <row r="981" spans="3:23" ht="13.2"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</row>
    <row r="982" spans="3:23" ht="13.2"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</row>
    <row r="983" spans="3:23" ht="13.2"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</row>
    <row r="984" spans="3:23" ht="13.2"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</row>
    <row r="985" spans="3:23" ht="13.2"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2:N30"/>
  <sheetViews>
    <sheetView workbookViewId="0"/>
  </sheetViews>
  <sheetFormatPr defaultColWidth="12.6640625" defaultRowHeight="15.75" customHeight="1"/>
  <cols>
    <col min="1" max="1" width="3.6640625" customWidth="1"/>
    <col min="2" max="2" width="17.6640625" customWidth="1"/>
    <col min="3" max="6" width="12.6640625" hidden="1"/>
    <col min="9" max="9" width="12.33203125" customWidth="1"/>
  </cols>
  <sheetData>
    <row r="2" spans="1:14" ht="15.75" customHeight="1">
      <c r="B2" s="268" t="s">
        <v>431</v>
      </c>
    </row>
    <row r="3" spans="1:14" ht="15.75" customHeight="1">
      <c r="B3" s="269" t="s">
        <v>432</v>
      </c>
    </row>
    <row r="4" spans="1:14" ht="15.75" customHeight="1">
      <c r="B4" s="269" t="s">
        <v>433</v>
      </c>
    </row>
    <row r="5" spans="1:14">
      <c r="B5" s="87">
        <v>3500</v>
      </c>
    </row>
    <row r="7" spans="1:14" ht="15.75" customHeight="1">
      <c r="A7" s="193"/>
      <c r="B7" s="270" t="s">
        <v>434</v>
      </c>
    </row>
    <row r="8" spans="1:14" ht="15.75" customHeight="1">
      <c r="A8" s="102" t="s">
        <v>212</v>
      </c>
      <c r="B8" s="271" t="s">
        <v>232</v>
      </c>
      <c r="C8" s="272">
        <v>45993</v>
      </c>
      <c r="D8" s="272">
        <v>46000</v>
      </c>
      <c r="E8" s="272">
        <v>46014</v>
      </c>
      <c r="F8" s="272">
        <v>46020</v>
      </c>
      <c r="G8" s="272">
        <v>46028</v>
      </c>
      <c r="H8" s="273">
        <v>46035</v>
      </c>
      <c r="I8" s="272">
        <v>46042</v>
      </c>
      <c r="J8" s="142" t="s">
        <v>435</v>
      </c>
      <c r="K8" s="273">
        <v>46057</v>
      </c>
      <c r="L8" s="142"/>
      <c r="M8" s="142"/>
      <c r="N8" s="142"/>
    </row>
    <row r="9" spans="1:14" ht="15.75" customHeight="1">
      <c r="A9" s="108">
        <v>1</v>
      </c>
      <c r="B9" s="109" t="s">
        <v>436</v>
      </c>
      <c r="C9" s="91"/>
      <c r="D9" s="91">
        <v>1</v>
      </c>
      <c r="E9" s="91">
        <v>1</v>
      </c>
      <c r="F9" s="91"/>
      <c r="G9" s="91"/>
      <c r="H9" s="91">
        <v>1</v>
      </c>
      <c r="I9" s="91">
        <v>1</v>
      </c>
      <c r="J9" s="91">
        <v>1</v>
      </c>
      <c r="K9" s="91">
        <v>1</v>
      </c>
      <c r="L9" s="91"/>
      <c r="M9" s="91"/>
      <c r="N9" s="91"/>
    </row>
    <row r="10" spans="1:14" ht="15.75" customHeight="1">
      <c r="A10" s="108">
        <v>2</v>
      </c>
      <c r="B10" s="193" t="s">
        <v>437</v>
      </c>
      <c r="C10" s="91">
        <v>1</v>
      </c>
      <c r="D10" s="91">
        <v>1</v>
      </c>
      <c r="E10" s="91">
        <v>1</v>
      </c>
      <c r="F10" s="91">
        <v>1</v>
      </c>
      <c r="G10" s="91"/>
      <c r="H10" s="91">
        <v>1</v>
      </c>
      <c r="I10" s="91">
        <v>1</v>
      </c>
      <c r="J10" s="91">
        <v>1</v>
      </c>
      <c r="K10" s="91">
        <v>1</v>
      </c>
      <c r="L10" s="91"/>
      <c r="M10" s="91"/>
      <c r="N10" s="91"/>
    </row>
    <row r="11" spans="1:14" ht="15.75" customHeight="1">
      <c r="A11" s="108">
        <v>3</v>
      </c>
      <c r="B11" s="112" t="s">
        <v>438</v>
      </c>
      <c r="C11" s="91"/>
      <c r="D11" s="91">
        <v>1</v>
      </c>
      <c r="E11" s="91">
        <v>1</v>
      </c>
      <c r="F11" s="91"/>
      <c r="G11" s="91"/>
      <c r="H11" s="91"/>
      <c r="I11" s="91"/>
      <c r="J11" s="91"/>
      <c r="K11" s="91">
        <v>1</v>
      </c>
      <c r="L11" s="91"/>
      <c r="M11" s="91"/>
      <c r="N11" s="91"/>
    </row>
    <row r="12" spans="1:14" ht="15.75" customHeight="1">
      <c r="A12" s="108">
        <v>4</v>
      </c>
      <c r="B12" s="112" t="s">
        <v>439</v>
      </c>
      <c r="C12" s="91"/>
      <c r="D12" s="91">
        <v>1</v>
      </c>
      <c r="E12" s="91">
        <v>1</v>
      </c>
      <c r="F12" s="91"/>
      <c r="G12" s="91"/>
      <c r="H12" s="91"/>
      <c r="I12" s="91"/>
      <c r="J12" s="91"/>
      <c r="K12" s="91">
        <v>1</v>
      </c>
      <c r="L12" s="91"/>
      <c r="M12" s="91"/>
      <c r="N12" s="91"/>
    </row>
    <row r="13" spans="1:14" ht="15.75" customHeight="1">
      <c r="A13" s="108">
        <v>5</v>
      </c>
      <c r="B13" s="112" t="s">
        <v>440</v>
      </c>
      <c r="C13" s="91">
        <v>1</v>
      </c>
      <c r="D13" s="91"/>
      <c r="E13" s="91">
        <v>1</v>
      </c>
      <c r="F13" s="91">
        <v>1</v>
      </c>
      <c r="G13" s="91">
        <v>1</v>
      </c>
      <c r="H13" s="91"/>
      <c r="I13" s="91"/>
      <c r="J13" s="91">
        <v>1</v>
      </c>
      <c r="K13" s="91">
        <v>1</v>
      </c>
      <c r="L13" s="91"/>
      <c r="M13" s="91"/>
      <c r="N13" s="91"/>
    </row>
    <row r="14" spans="1:14" ht="15.75" customHeight="1">
      <c r="A14" s="108">
        <v>6</v>
      </c>
      <c r="B14" s="112" t="s">
        <v>441</v>
      </c>
      <c r="C14" s="91">
        <v>1</v>
      </c>
      <c r="D14" s="91">
        <v>1</v>
      </c>
      <c r="E14" s="91">
        <v>1</v>
      </c>
      <c r="F14" s="91"/>
      <c r="G14" s="91"/>
      <c r="H14" s="91">
        <v>1</v>
      </c>
      <c r="I14" s="91">
        <v>1</v>
      </c>
      <c r="J14" s="91">
        <v>1</v>
      </c>
      <c r="K14" s="91"/>
      <c r="L14" s="91"/>
      <c r="M14" s="91"/>
      <c r="N14" s="91"/>
    </row>
    <row r="15" spans="1:14" ht="15.75" customHeight="1">
      <c r="A15" s="108">
        <v>7</v>
      </c>
      <c r="B15" s="112" t="s">
        <v>442</v>
      </c>
      <c r="C15" s="91">
        <v>1</v>
      </c>
      <c r="D15" s="91">
        <v>1</v>
      </c>
      <c r="E15" s="91">
        <v>1</v>
      </c>
      <c r="F15" s="91"/>
      <c r="G15" s="91">
        <v>1</v>
      </c>
      <c r="H15" s="91">
        <v>1</v>
      </c>
      <c r="I15" s="91">
        <v>1</v>
      </c>
      <c r="J15" s="91">
        <v>1</v>
      </c>
      <c r="K15" s="91">
        <v>1</v>
      </c>
      <c r="L15" s="91"/>
      <c r="M15" s="91"/>
      <c r="N15" s="91"/>
    </row>
    <row r="16" spans="1:14" ht="14.4">
      <c r="A16" s="108">
        <v>8</v>
      </c>
      <c r="B16" s="112" t="s">
        <v>443</v>
      </c>
      <c r="C16" s="91">
        <v>1</v>
      </c>
      <c r="D16" s="91"/>
      <c r="E16" s="91">
        <v>1</v>
      </c>
      <c r="F16" s="91">
        <v>1</v>
      </c>
      <c r="G16" s="91"/>
      <c r="H16" s="91"/>
      <c r="I16" s="91"/>
      <c r="J16" s="91"/>
      <c r="K16" s="91"/>
      <c r="L16" s="91"/>
      <c r="M16" s="91"/>
      <c r="N16" s="91"/>
    </row>
    <row r="17" spans="1:14" ht="14.4">
      <c r="A17" s="108">
        <v>9</v>
      </c>
      <c r="B17" s="112" t="s">
        <v>290</v>
      </c>
      <c r="C17" s="91">
        <v>1</v>
      </c>
      <c r="D17" s="91">
        <v>1</v>
      </c>
      <c r="E17" s="91">
        <v>1</v>
      </c>
      <c r="F17" s="91"/>
      <c r="G17" s="91">
        <v>1</v>
      </c>
      <c r="H17" s="91">
        <v>1</v>
      </c>
      <c r="I17" s="91">
        <v>1</v>
      </c>
      <c r="J17" s="91">
        <v>1</v>
      </c>
      <c r="K17" s="91">
        <v>1</v>
      </c>
      <c r="L17" s="91"/>
      <c r="M17" s="91"/>
      <c r="N17" s="91"/>
    </row>
    <row r="18" spans="1:14" ht="14.4">
      <c r="A18" s="108">
        <v>10</v>
      </c>
      <c r="B18" s="112" t="s">
        <v>54</v>
      </c>
      <c r="C18" s="91">
        <v>1</v>
      </c>
      <c r="D18" s="91">
        <v>1</v>
      </c>
      <c r="E18" s="91">
        <v>1</v>
      </c>
      <c r="F18" s="91"/>
      <c r="G18" s="91"/>
      <c r="H18" s="91"/>
      <c r="I18" s="91"/>
      <c r="J18" s="91"/>
      <c r="K18" s="91"/>
      <c r="L18" s="91"/>
      <c r="M18" s="91"/>
      <c r="N18" s="91"/>
    </row>
    <row r="19" spans="1:14" ht="14.4">
      <c r="A19" s="108">
        <v>11</v>
      </c>
      <c r="B19" s="112" t="s">
        <v>444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</row>
    <row r="20" spans="1:14" ht="14.4">
      <c r="A20" s="108">
        <v>12</v>
      </c>
      <c r="B20" s="112" t="s">
        <v>420</v>
      </c>
      <c r="C20" s="91">
        <v>1</v>
      </c>
      <c r="D20" s="91">
        <v>1</v>
      </c>
      <c r="E20" s="91">
        <v>1</v>
      </c>
      <c r="F20" s="91"/>
      <c r="G20" s="91">
        <v>1</v>
      </c>
      <c r="H20" s="91">
        <v>1</v>
      </c>
      <c r="I20" s="91">
        <v>1</v>
      </c>
      <c r="J20" s="91"/>
      <c r="K20" s="91"/>
      <c r="L20" s="91"/>
      <c r="M20" s="91"/>
      <c r="N20" s="91"/>
    </row>
    <row r="21" spans="1:14" ht="14.4">
      <c r="A21" s="108">
        <v>13</v>
      </c>
      <c r="B21" s="112" t="s">
        <v>445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</row>
    <row r="22" spans="1:14" ht="14.4">
      <c r="A22" s="108"/>
      <c r="B22" s="112" t="s">
        <v>446</v>
      </c>
      <c r="C22" s="91">
        <v>1</v>
      </c>
      <c r="D22" s="91"/>
      <c r="E22" s="91">
        <v>1</v>
      </c>
      <c r="F22" s="91">
        <v>1</v>
      </c>
      <c r="G22" s="91"/>
      <c r="H22" s="91"/>
      <c r="I22" s="91"/>
      <c r="J22" s="91">
        <v>1</v>
      </c>
      <c r="K22" s="91">
        <v>1</v>
      </c>
      <c r="L22" s="91"/>
      <c r="M22" s="91"/>
      <c r="N22" s="91"/>
    </row>
    <row r="23" spans="1:14" ht="14.4">
      <c r="A23" s="108"/>
      <c r="B23" s="112" t="s">
        <v>123</v>
      </c>
      <c r="C23" s="85"/>
      <c r="D23" s="85"/>
      <c r="E23" s="85"/>
      <c r="F23" s="85"/>
      <c r="G23" s="91"/>
      <c r="H23" s="91"/>
      <c r="I23" s="91"/>
      <c r="J23" s="91">
        <v>1</v>
      </c>
      <c r="K23" s="91">
        <v>1</v>
      </c>
      <c r="L23" s="91"/>
      <c r="M23" s="91"/>
      <c r="N23" s="91"/>
    </row>
    <row r="24" spans="1:14" ht="14.4">
      <c r="A24" s="108"/>
      <c r="B24" s="112" t="s">
        <v>447</v>
      </c>
      <c r="C24" s="85"/>
      <c r="D24" s="85"/>
      <c r="E24" s="85"/>
      <c r="F24" s="85"/>
      <c r="G24" s="91"/>
      <c r="H24" s="91"/>
      <c r="I24" s="91"/>
      <c r="J24" s="91"/>
      <c r="K24" s="91" t="s">
        <v>195</v>
      </c>
      <c r="L24" s="91"/>
      <c r="M24" s="91"/>
      <c r="N24" s="91"/>
    </row>
    <row r="25" spans="1:14" ht="14.4">
      <c r="A25" s="101"/>
      <c r="B25" s="274" t="s">
        <v>448</v>
      </c>
      <c r="C25" s="92">
        <v>9</v>
      </c>
      <c r="D25" s="92">
        <v>9</v>
      </c>
      <c r="E25" s="92">
        <v>12</v>
      </c>
      <c r="F25" s="92">
        <v>4</v>
      </c>
      <c r="G25" s="88">
        <v>4</v>
      </c>
      <c r="H25" s="88">
        <v>6</v>
      </c>
      <c r="I25" s="88">
        <v>6</v>
      </c>
      <c r="J25" s="88">
        <v>8</v>
      </c>
      <c r="K25" s="88">
        <v>10</v>
      </c>
      <c r="L25" s="88"/>
      <c r="M25" s="88"/>
      <c r="N25" s="88"/>
    </row>
    <row r="26" spans="1:14" ht="14.4">
      <c r="A26" s="204"/>
      <c r="B26" s="205"/>
      <c r="C26" s="100"/>
      <c r="D26" s="100"/>
      <c r="E26" s="100"/>
      <c r="F26" s="100">
        <v>34</v>
      </c>
      <c r="G26" s="100"/>
      <c r="H26" s="100"/>
      <c r="I26" s="100"/>
      <c r="J26" s="100">
        <v>34</v>
      </c>
      <c r="K26" s="117">
        <v>9</v>
      </c>
      <c r="L26" s="100"/>
      <c r="M26" s="100"/>
      <c r="N26" s="100"/>
    </row>
    <row r="27" spans="1:14" ht="14.4">
      <c r="A27" s="193"/>
      <c r="B27" s="193"/>
      <c r="C27" s="213"/>
      <c r="D27" s="213"/>
      <c r="E27" s="275" t="s">
        <v>128</v>
      </c>
      <c r="F27" s="114" t="s">
        <v>449</v>
      </c>
      <c r="G27" s="213"/>
      <c r="H27" s="213"/>
      <c r="I27" s="275" t="s">
        <v>128</v>
      </c>
      <c r="J27" s="114" t="s">
        <v>450</v>
      </c>
      <c r="K27" s="95">
        <v>31500</v>
      </c>
      <c r="L27" s="114"/>
      <c r="M27" s="114"/>
      <c r="N27" s="114"/>
    </row>
    <row r="30" spans="1:14" ht="13.2">
      <c r="I30" s="8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H44"/>
  <sheetViews>
    <sheetView workbookViewId="0"/>
  </sheetViews>
  <sheetFormatPr defaultColWidth="12.6640625" defaultRowHeight="15.75" customHeight="1"/>
  <cols>
    <col min="1" max="1" width="3.109375" customWidth="1"/>
    <col min="2" max="2" width="15.77734375" customWidth="1"/>
    <col min="3" max="5" width="12.6640625" hidden="1"/>
    <col min="6" max="6" width="12" hidden="1" customWidth="1"/>
    <col min="7" max="21" width="12.33203125" hidden="1" customWidth="1"/>
    <col min="22" max="22" width="19.21875" hidden="1" customWidth="1"/>
    <col min="23" max="29" width="12.33203125" hidden="1" customWidth="1"/>
    <col min="30" max="34" width="12.33203125" customWidth="1"/>
  </cols>
  <sheetData>
    <row r="1" spans="1:34" ht="13.2">
      <c r="A1" s="85" t="s">
        <v>67</v>
      </c>
    </row>
    <row r="2" spans="1:34" ht="25.8">
      <c r="B2" s="276" t="s">
        <v>451</v>
      </c>
    </row>
    <row r="3" spans="1:34" ht="17.399999999999999">
      <c r="B3" s="277" t="s">
        <v>452</v>
      </c>
    </row>
    <row r="5" spans="1:34" ht="13.2" hidden="1">
      <c r="B5" s="87">
        <v>4000</v>
      </c>
    </row>
    <row r="7" spans="1:34" ht="14.4">
      <c r="A7" s="193"/>
      <c r="B7" s="193" t="s">
        <v>453</v>
      </c>
      <c r="K7" s="85" t="s">
        <v>454</v>
      </c>
      <c r="V7" s="85" t="s">
        <v>455</v>
      </c>
      <c r="W7" s="85" t="s">
        <v>455</v>
      </c>
      <c r="Y7" s="85" t="s">
        <v>456</v>
      </c>
      <c r="Z7" s="85" t="s">
        <v>457</v>
      </c>
      <c r="AB7" s="85" t="s">
        <v>457</v>
      </c>
      <c r="AC7" s="85" t="s">
        <v>457</v>
      </c>
      <c r="AD7" s="85" t="s">
        <v>1</v>
      </c>
      <c r="AE7" s="85"/>
      <c r="AF7" s="85"/>
      <c r="AG7" s="85"/>
      <c r="AH7" s="85"/>
    </row>
    <row r="8" spans="1:34" ht="14.4">
      <c r="A8" s="278" t="s">
        <v>212</v>
      </c>
      <c r="B8" s="102" t="s">
        <v>232</v>
      </c>
      <c r="C8" s="107">
        <v>45908</v>
      </c>
      <c r="D8" s="107">
        <v>45915</v>
      </c>
      <c r="E8" s="264">
        <v>45929</v>
      </c>
      <c r="F8" s="262">
        <v>45922</v>
      </c>
      <c r="G8" s="262">
        <v>45936</v>
      </c>
      <c r="H8" s="262">
        <v>45943</v>
      </c>
      <c r="I8" s="262">
        <v>45950</v>
      </c>
      <c r="J8" s="262">
        <v>45957</v>
      </c>
      <c r="K8" s="262">
        <v>45964</v>
      </c>
      <c r="L8" s="262">
        <v>45971</v>
      </c>
      <c r="M8" s="262">
        <v>45978</v>
      </c>
      <c r="N8" s="262">
        <v>45992</v>
      </c>
      <c r="O8" s="262">
        <v>45999</v>
      </c>
      <c r="P8" s="262">
        <v>46006</v>
      </c>
      <c r="Q8" s="262">
        <v>46013</v>
      </c>
      <c r="R8" s="262">
        <v>46027</v>
      </c>
      <c r="S8" s="262">
        <v>46034</v>
      </c>
      <c r="T8" s="262">
        <v>46041</v>
      </c>
      <c r="U8" s="262">
        <v>46048</v>
      </c>
      <c r="V8" s="279" t="s">
        <v>458</v>
      </c>
      <c r="W8" s="262">
        <v>46062</v>
      </c>
      <c r="X8" s="262">
        <v>46069</v>
      </c>
      <c r="Y8" s="262">
        <v>46076</v>
      </c>
      <c r="Z8" s="262">
        <v>46083</v>
      </c>
      <c r="AA8" s="262">
        <v>46090</v>
      </c>
      <c r="AB8" s="262">
        <v>46097</v>
      </c>
      <c r="AC8" s="262">
        <v>46111</v>
      </c>
      <c r="AD8" s="262">
        <v>46114</v>
      </c>
      <c r="AE8" s="262"/>
      <c r="AF8" s="262"/>
      <c r="AG8" s="262"/>
      <c r="AH8" s="262"/>
    </row>
    <row r="9" spans="1:34" ht="15" hidden="1" customHeight="1">
      <c r="A9" s="280">
        <v>1</v>
      </c>
      <c r="B9" s="109" t="s">
        <v>108</v>
      </c>
      <c r="C9" s="91">
        <v>1</v>
      </c>
      <c r="D9" s="91">
        <v>1</v>
      </c>
      <c r="E9" s="91">
        <v>1</v>
      </c>
      <c r="F9" s="91">
        <v>1</v>
      </c>
      <c r="G9" s="91"/>
      <c r="H9" s="91">
        <v>1</v>
      </c>
      <c r="I9" s="91">
        <v>1</v>
      </c>
      <c r="J9" s="91">
        <v>1</v>
      </c>
      <c r="K9" s="91">
        <v>1</v>
      </c>
      <c r="L9" s="91">
        <v>1</v>
      </c>
      <c r="M9" s="91">
        <v>1</v>
      </c>
      <c r="N9" s="91"/>
      <c r="O9" s="91">
        <v>1</v>
      </c>
      <c r="P9" s="91">
        <v>1</v>
      </c>
      <c r="Q9" s="91">
        <v>1</v>
      </c>
      <c r="R9" s="91"/>
      <c r="S9" s="91"/>
      <c r="T9" s="91"/>
      <c r="U9" s="91"/>
      <c r="V9" s="91"/>
      <c r="W9" s="91"/>
      <c r="X9" s="91"/>
      <c r="Y9" s="91"/>
      <c r="Z9" s="138"/>
      <c r="AA9" s="138"/>
      <c r="AB9" s="138"/>
      <c r="AC9" s="138"/>
      <c r="AD9" s="100"/>
      <c r="AE9" s="138"/>
      <c r="AF9" s="138"/>
      <c r="AG9" s="138"/>
      <c r="AH9" s="138"/>
    </row>
    <row r="10" spans="1:34" ht="15" hidden="1" customHeight="1">
      <c r="A10" s="280">
        <v>2</v>
      </c>
      <c r="B10" s="109" t="s">
        <v>459</v>
      </c>
      <c r="C10" s="91">
        <v>1</v>
      </c>
      <c r="D10" s="91">
        <v>1</v>
      </c>
      <c r="E10" s="91">
        <v>1</v>
      </c>
      <c r="F10" s="91">
        <v>1</v>
      </c>
      <c r="G10" s="91">
        <v>1</v>
      </c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138"/>
      <c r="AA10" s="138"/>
      <c r="AB10" s="138"/>
      <c r="AC10" s="138"/>
      <c r="AD10" s="100"/>
      <c r="AE10" s="138"/>
      <c r="AF10" s="138"/>
      <c r="AG10" s="138"/>
      <c r="AH10" s="138"/>
    </row>
    <row r="11" spans="1:34" ht="14.25" customHeight="1">
      <c r="A11" s="280">
        <v>1</v>
      </c>
      <c r="B11" s="109" t="s">
        <v>460</v>
      </c>
      <c r="C11" s="91">
        <v>1</v>
      </c>
      <c r="D11" s="91">
        <v>1</v>
      </c>
      <c r="E11" s="91">
        <v>1</v>
      </c>
      <c r="F11" s="91">
        <v>1</v>
      </c>
      <c r="G11" s="91">
        <v>1</v>
      </c>
      <c r="H11" s="91">
        <v>1</v>
      </c>
      <c r="I11" s="91">
        <v>1</v>
      </c>
      <c r="J11" s="91">
        <v>1</v>
      </c>
      <c r="K11" s="91">
        <v>1</v>
      </c>
      <c r="L11" s="91">
        <v>1</v>
      </c>
      <c r="M11" s="91"/>
      <c r="N11" s="91">
        <v>1</v>
      </c>
      <c r="O11" s="91"/>
      <c r="P11" s="91">
        <v>1</v>
      </c>
      <c r="Q11" s="91">
        <v>1</v>
      </c>
      <c r="R11" s="91"/>
      <c r="S11" s="91">
        <v>1</v>
      </c>
      <c r="T11" s="91">
        <v>1</v>
      </c>
      <c r="U11" s="91">
        <v>1</v>
      </c>
      <c r="V11" s="91">
        <v>1</v>
      </c>
      <c r="W11" s="91"/>
      <c r="X11" s="91"/>
      <c r="Y11" s="91">
        <v>1</v>
      </c>
      <c r="Z11" s="138">
        <v>1</v>
      </c>
      <c r="AA11" s="138"/>
      <c r="AB11" s="138">
        <v>1</v>
      </c>
      <c r="AC11" s="138">
        <v>1</v>
      </c>
      <c r="AD11" s="138">
        <v>1</v>
      </c>
      <c r="AE11" s="138"/>
      <c r="AF11" s="138"/>
      <c r="AG11" s="138"/>
      <c r="AH11" s="138"/>
    </row>
    <row r="12" spans="1:34" ht="14.25" customHeight="1">
      <c r="A12" s="280">
        <v>2</v>
      </c>
      <c r="B12" s="112" t="s">
        <v>461</v>
      </c>
      <c r="C12" s="91">
        <v>1</v>
      </c>
      <c r="D12" s="91">
        <v>1</v>
      </c>
      <c r="E12" s="91"/>
      <c r="F12" s="91">
        <v>1</v>
      </c>
      <c r="G12" s="91">
        <v>1</v>
      </c>
      <c r="H12" s="91">
        <v>1</v>
      </c>
      <c r="I12" s="91"/>
      <c r="J12" s="91">
        <v>1</v>
      </c>
      <c r="K12" s="91">
        <v>1</v>
      </c>
      <c r="L12" s="91">
        <v>1</v>
      </c>
      <c r="M12" s="91"/>
      <c r="N12" s="91">
        <v>1</v>
      </c>
      <c r="O12" s="91">
        <v>1</v>
      </c>
      <c r="P12" s="91">
        <v>1</v>
      </c>
      <c r="Q12" s="91"/>
      <c r="R12" s="91">
        <v>1</v>
      </c>
      <c r="S12" s="91">
        <v>1</v>
      </c>
      <c r="T12" s="91">
        <v>1</v>
      </c>
      <c r="U12" s="91">
        <v>1</v>
      </c>
      <c r="V12" s="91"/>
      <c r="W12" s="91"/>
      <c r="X12" s="91"/>
      <c r="Y12" s="91">
        <v>1</v>
      </c>
      <c r="Z12" s="138">
        <v>1</v>
      </c>
      <c r="AA12" s="138"/>
      <c r="AB12" s="138">
        <v>1</v>
      </c>
      <c r="AC12" s="138">
        <v>1</v>
      </c>
      <c r="AD12" s="138">
        <v>1</v>
      </c>
      <c r="AE12" s="138"/>
      <c r="AF12" s="138"/>
      <c r="AG12" s="138"/>
      <c r="AH12" s="138"/>
    </row>
    <row r="13" spans="1:34" ht="14.25" customHeight="1">
      <c r="A13" s="281">
        <v>3</v>
      </c>
      <c r="B13" s="112" t="s">
        <v>462</v>
      </c>
      <c r="C13" s="138"/>
      <c r="D13" s="138">
        <v>1</v>
      </c>
      <c r="E13" s="138"/>
      <c r="F13" s="138">
        <v>1</v>
      </c>
      <c r="G13" s="138">
        <v>1</v>
      </c>
      <c r="H13" s="138">
        <v>1</v>
      </c>
      <c r="I13" s="138"/>
      <c r="J13" s="138">
        <v>1</v>
      </c>
      <c r="K13" s="138">
        <v>1</v>
      </c>
      <c r="L13" s="138">
        <v>1</v>
      </c>
      <c r="M13" s="138">
        <v>1</v>
      </c>
      <c r="N13" s="138">
        <v>1</v>
      </c>
      <c r="O13" s="138"/>
      <c r="P13" s="138"/>
      <c r="Q13" s="138">
        <v>1</v>
      </c>
      <c r="R13" s="138"/>
      <c r="S13" s="138">
        <v>1</v>
      </c>
      <c r="T13" s="138">
        <v>1</v>
      </c>
      <c r="U13" s="138">
        <v>1</v>
      </c>
      <c r="V13" s="138">
        <v>1</v>
      </c>
      <c r="W13" s="138">
        <v>1</v>
      </c>
      <c r="X13" s="138"/>
      <c r="Y13" s="138">
        <v>1</v>
      </c>
      <c r="Z13" s="138">
        <v>1</v>
      </c>
      <c r="AA13" s="138"/>
      <c r="AB13" s="138">
        <v>1</v>
      </c>
      <c r="AC13" s="138">
        <v>1</v>
      </c>
      <c r="AD13" s="138">
        <v>1</v>
      </c>
      <c r="AE13" s="138"/>
      <c r="AF13" s="138"/>
      <c r="AG13" s="138"/>
      <c r="AH13" s="138"/>
    </row>
    <row r="14" spans="1:34" ht="15" customHeight="1">
      <c r="A14" s="281">
        <v>4</v>
      </c>
      <c r="B14" s="112" t="s">
        <v>463</v>
      </c>
      <c r="C14" s="91"/>
      <c r="D14" s="91">
        <v>1</v>
      </c>
      <c r="E14" s="91">
        <v>1</v>
      </c>
      <c r="F14" s="91">
        <v>1</v>
      </c>
      <c r="G14" s="91">
        <v>1</v>
      </c>
      <c r="H14" s="91">
        <v>1</v>
      </c>
      <c r="I14" s="91"/>
      <c r="J14" s="91">
        <v>1</v>
      </c>
      <c r="K14" s="91">
        <v>1</v>
      </c>
      <c r="L14" s="91"/>
      <c r="M14" s="91"/>
      <c r="N14" s="91"/>
      <c r="O14" s="91">
        <v>1</v>
      </c>
      <c r="P14" s="91">
        <v>1</v>
      </c>
      <c r="Q14" s="91">
        <v>1</v>
      </c>
      <c r="R14" s="91"/>
      <c r="S14" s="91">
        <v>1</v>
      </c>
      <c r="T14" s="91">
        <v>1</v>
      </c>
      <c r="U14" s="91">
        <v>1</v>
      </c>
      <c r="V14" s="91">
        <v>1</v>
      </c>
      <c r="W14" s="91"/>
      <c r="X14" s="91"/>
      <c r="Y14" s="91">
        <v>1</v>
      </c>
      <c r="Z14" s="138">
        <v>1</v>
      </c>
      <c r="AA14" s="138"/>
      <c r="AB14" s="138">
        <v>1</v>
      </c>
      <c r="AC14" s="138">
        <v>1</v>
      </c>
      <c r="AD14" s="138">
        <v>1</v>
      </c>
      <c r="AE14" s="138"/>
      <c r="AF14" s="138"/>
      <c r="AG14" s="138"/>
      <c r="AH14" s="138"/>
    </row>
    <row r="15" spans="1:34" ht="13.2">
      <c r="A15" s="106">
        <v>5</v>
      </c>
      <c r="B15" s="282" t="s">
        <v>464</v>
      </c>
      <c r="C15" s="91">
        <v>1</v>
      </c>
      <c r="D15" s="91">
        <v>1</v>
      </c>
      <c r="E15" s="91"/>
      <c r="F15" s="91"/>
      <c r="G15" s="91"/>
      <c r="H15" s="91">
        <v>1</v>
      </c>
      <c r="I15" s="91">
        <v>1</v>
      </c>
      <c r="J15" s="91"/>
      <c r="K15" s="91"/>
      <c r="L15" s="91"/>
      <c r="M15" s="91">
        <v>1</v>
      </c>
      <c r="N15" s="91">
        <v>1</v>
      </c>
      <c r="O15" s="91"/>
      <c r="P15" s="91"/>
      <c r="Q15" s="91"/>
      <c r="R15" s="91"/>
      <c r="S15" s="91"/>
      <c r="T15" s="91"/>
      <c r="U15" s="91">
        <v>1</v>
      </c>
      <c r="V15" s="91">
        <v>1</v>
      </c>
      <c r="W15" s="91"/>
      <c r="X15" s="91"/>
      <c r="Y15" s="91"/>
      <c r="Z15" s="138">
        <v>1</v>
      </c>
      <c r="AA15" s="138"/>
      <c r="AB15" s="138">
        <v>1</v>
      </c>
      <c r="AC15" s="138">
        <v>1</v>
      </c>
      <c r="AD15" s="138"/>
      <c r="AE15" s="138"/>
      <c r="AF15" s="138"/>
      <c r="AG15" s="138"/>
      <c r="AH15" s="138"/>
    </row>
    <row r="16" spans="1:34" ht="13.2">
      <c r="A16" s="106">
        <v>6</v>
      </c>
      <c r="B16" s="282" t="s">
        <v>465</v>
      </c>
      <c r="C16" s="91"/>
      <c r="D16" s="91">
        <v>1</v>
      </c>
      <c r="E16" s="91">
        <v>1</v>
      </c>
      <c r="F16" s="91">
        <v>1</v>
      </c>
      <c r="G16" s="91"/>
      <c r="H16" s="91">
        <v>1</v>
      </c>
      <c r="I16" s="91">
        <v>1</v>
      </c>
      <c r="J16" s="91">
        <v>1</v>
      </c>
      <c r="K16" s="91">
        <v>1</v>
      </c>
      <c r="L16" s="91">
        <v>1</v>
      </c>
      <c r="M16" s="91"/>
      <c r="N16" s="91">
        <v>1</v>
      </c>
      <c r="O16" s="91"/>
      <c r="P16" s="91">
        <v>1</v>
      </c>
      <c r="Q16" s="91">
        <v>1</v>
      </c>
      <c r="R16" s="91">
        <v>1</v>
      </c>
      <c r="S16" s="91">
        <v>1</v>
      </c>
      <c r="T16" s="91">
        <v>1</v>
      </c>
      <c r="U16" s="91">
        <v>1</v>
      </c>
      <c r="V16" s="91">
        <v>1</v>
      </c>
      <c r="W16" s="91"/>
      <c r="X16" s="91"/>
      <c r="Y16" s="91"/>
      <c r="Z16" s="138"/>
      <c r="AA16" s="138"/>
      <c r="AB16" s="138">
        <v>1</v>
      </c>
      <c r="AC16" s="138">
        <v>1</v>
      </c>
      <c r="AD16" s="138">
        <v>1</v>
      </c>
      <c r="AE16" s="138"/>
      <c r="AF16" s="138"/>
      <c r="AG16" s="138"/>
      <c r="AH16" s="138"/>
    </row>
    <row r="17" spans="1:34" ht="13.2">
      <c r="A17" s="106">
        <v>7</v>
      </c>
      <c r="B17" s="282" t="s">
        <v>466</v>
      </c>
      <c r="C17" s="91">
        <v>1</v>
      </c>
      <c r="D17" s="91">
        <v>1</v>
      </c>
      <c r="E17" s="91">
        <v>1</v>
      </c>
      <c r="F17" s="91">
        <v>1</v>
      </c>
      <c r="G17" s="91"/>
      <c r="H17" s="91">
        <v>1</v>
      </c>
      <c r="I17" s="91"/>
      <c r="J17" s="91"/>
      <c r="K17" s="91">
        <v>1</v>
      </c>
      <c r="L17" s="91"/>
      <c r="M17" s="91"/>
      <c r="N17" s="91"/>
      <c r="O17" s="91">
        <v>1</v>
      </c>
      <c r="P17" s="91">
        <v>1</v>
      </c>
      <c r="Q17" s="91">
        <v>1</v>
      </c>
      <c r="R17" s="91"/>
      <c r="S17" s="91">
        <v>1</v>
      </c>
      <c r="T17" s="91"/>
      <c r="U17" s="91"/>
      <c r="V17" s="91">
        <v>1</v>
      </c>
      <c r="W17" s="91">
        <v>1</v>
      </c>
      <c r="X17" s="91"/>
      <c r="Y17" s="91"/>
      <c r="Z17" s="138">
        <v>1</v>
      </c>
      <c r="AA17" s="138"/>
      <c r="AB17" s="138">
        <v>1</v>
      </c>
      <c r="AC17" s="138">
        <v>1</v>
      </c>
      <c r="AD17" s="138">
        <v>1</v>
      </c>
      <c r="AE17" s="138"/>
      <c r="AF17" s="138"/>
      <c r="AG17" s="138"/>
      <c r="AH17" s="138"/>
    </row>
    <row r="18" spans="1:34" ht="13.2">
      <c r="A18" s="106">
        <v>8</v>
      </c>
      <c r="B18" s="282" t="s">
        <v>467</v>
      </c>
      <c r="C18" s="91"/>
      <c r="D18" s="91"/>
      <c r="E18" s="91"/>
      <c r="F18" s="91"/>
      <c r="G18" s="91"/>
      <c r="H18" s="91"/>
      <c r="I18" s="91"/>
      <c r="J18" s="91">
        <v>1</v>
      </c>
      <c r="K18" s="91"/>
      <c r="L18" s="91"/>
      <c r="M18" s="91"/>
      <c r="N18" s="91"/>
      <c r="O18" s="91"/>
      <c r="P18" s="91"/>
      <c r="Q18" s="91"/>
      <c r="R18" s="91"/>
      <c r="S18" s="91"/>
      <c r="T18" s="91">
        <v>1</v>
      </c>
      <c r="U18" s="91">
        <v>1</v>
      </c>
      <c r="V18" s="91"/>
      <c r="W18" s="91"/>
      <c r="X18" s="91"/>
      <c r="Y18" s="91"/>
      <c r="Z18" s="138">
        <v>1</v>
      </c>
      <c r="AA18" s="138"/>
      <c r="AB18" s="138"/>
      <c r="AC18" s="138"/>
      <c r="AD18" s="138"/>
      <c r="AE18" s="138"/>
      <c r="AF18" s="138"/>
      <c r="AG18" s="138"/>
      <c r="AH18" s="138"/>
    </row>
    <row r="19" spans="1:34" ht="14.4">
      <c r="A19" s="281">
        <v>8</v>
      </c>
      <c r="B19" s="112" t="s">
        <v>468</v>
      </c>
      <c r="C19" s="138"/>
      <c r="D19" s="138"/>
      <c r="E19" s="138">
        <v>29</v>
      </c>
      <c r="F19" s="138"/>
      <c r="G19" s="138"/>
      <c r="H19" s="138">
        <v>1</v>
      </c>
      <c r="I19" s="138"/>
      <c r="J19" s="138"/>
      <c r="K19" s="138">
        <v>1</v>
      </c>
      <c r="L19" s="138">
        <v>1</v>
      </c>
      <c r="M19" s="138"/>
      <c r="N19" s="138"/>
      <c r="O19" s="138"/>
      <c r="P19" s="138"/>
      <c r="Q19" s="138"/>
      <c r="R19" s="138"/>
      <c r="S19" s="138">
        <v>1</v>
      </c>
      <c r="T19" s="138"/>
      <c r="U19" s="138"/>
      <c r="V19" s="138"/>
      <c r="W19" s="138"/>
      <c r="X19" s="138"/>
      <c r="Y19" s="138"/>
      <c r="Z19" s="138">
        <v>1</v>
      </c>
      <c r="AA19" s="138"/>
      <c r="AB19" s="138">
        <v>1</v>
      </c>
      <c r="AC19" s="138"/>
      <c r="AD19" s="138">
        <v>1</v>
      </c>
      <c r="AE19" s="138"/>
      <c r="AF19" s="138"/>
      <c r="AG19" s="138"/>
      <c r="AH19" s="138"/>
    </row>
    <row r="20" spans="1:34" ht="14.4">
      <c r="A20" s="281">
        <v>9</v>
      </c>
      <c r="B20" s="112" t="s">
        <v>469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>
        <v>1</v>
      </c>
      <c r="T20" s="138"/>
      <c r="U20" s="138"/>
      <c r="V20" s="138">
        <v>1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</row>
    <row r="21" spans="1:34" ht="14.4">
      <c r="A21" s="281">
        <v>10</v>
      </c>
      <c r="B21" s="112" t="s">
        <v>470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>
        <v>1</v>
      </c>
      <c r="T21" s="138"/>
      <c r="U21" s="138"/>
      <c r="V21" s="138"/>
      <c r="W21" s="138"/>
      <c r="X21" s="138"/>
      <c r="Y21" s="138"/>
      <c r="Z21" s="138"/>
      <c r="AA21" s="138"/>
      <c r="AB21" s="138">
        <v>1</v>
      </c>
      <c r="AC21" s="138"/>
      <c r="AD21" s="138"/>
      <c r="AE21" s="138"/>
      <c r="AF21" s="138"/>
      <c r="AG21" s="138"/>
      <c r="AH21" s="138"/>
    </row>
    <row r="22" spans="1:34" ht="14.4">
      <c r="A22" s="281">
        <v>11</v>
      </c>
      <c r="B22" s="112" t="s">
        <v>169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>
        <v>1</v>
      </c>
      <c r="AE22" s="138"/>
      <c r="AF22" s="138"/>
      <c r="AG22" s="138"/>
      <c r="AH22" s="138"/>
    </row>
    <row r="23" spans="1:34" ht="15.6">
      <c r="A23" s="281"/>
      <c r="B23" s="283" t="s">
        <v>448</v>
      </c>
      <c r="C23" s="113">
        <v>6</v>
      </c>
      <c r="D23" s="113">
        <v>9</v>
      </c>
      <c r="E23" s="113">
        <v>6</v>
      </c>
      <c r="F23" s="113">
        <v>8</v>
      </c>
      <c r="G23" s="113">
        <v>5</v>
      </c>
      <c r="H23" s="113">
        <v>9</v>
      </c>
      <c r="I23" s="113">
        <v>4</v>
      </c>
      <c r="J23" s="113">
        <v>7</v>
      </c>
      <c r="K23" s="113">
        <v>8</v>
      </c>
      <c r="L23" s="113">
        <v>6</v>
      </c>
      <c r="M23" s="113">
        <v>3</v>
      </c>
      <c r="N23" s="113">
        <v>5</v>
      </c>
      <c r="O23" s="113">
        <v>4</v>
      </c>
      <c r="P23" s="113">
        <v>6</v>
      </c>
      <c r="Q23" s="113">
        <v>6</v>
      </c>
      <c r="R23" s="113">
        <v>2</v>
      </c>
      <c r="S23" s="113">
        <v>8</v>
      </c>
      <c r="T23" s="113">
        <v>6</v>
      </c>
      <c r="U23" s="113">
        <v>7</v>
      </c>
      <c r="V23" s="284">
        <v>7</v>
      </c>
      <c r="W23" s="113">
        <v>2</v>
      </c>
      <c r="X23" s="113"/>
      <c r="Y23" s="113">
        <v>4</v>
      </c>
      <c r="Z23" s="113">
        <f t="shared" ref="Z23:AD23" si="0">SUM(Z11:Z22)</f>
        <v>8</v>
      </c>
      <c r="AA23" s="113">
        <f t="shared" si="0"/>
        <v>0</v>
      </c>
      <c r="AB23" s="113">
        <f t="shared" si="0"/>
        <v>9</v>
      </c>
      <c r="AC23" s="113">
        <f t="shared" si="0"/>
        <v>7</v>
      </c>
      <c r="AD23" s="113">
        <f t="shared" si="0"/>
        <v>8</v>
      </c>
      <c r="AE23" s="113"/>
      <c r="AF23" s="113"/>
      <c r="AG23" s="113"/>
      <c r="AH23" s="113"/>
    </row>
    <row r="24" spans="1:34" ht="13.2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117"/>
      <c r="X24" s="117"/>
      <c r="Y24" s="117">
        <v>13</v>
      </c>
      <c r="Z24" s="117"/>
      <c r="AB24" s="117"/>
      <c r="AC24" s="117">
        <f>SUM(Z23:AC23)</f>
        <v>24</v>
      </c>
      <c r="AD24" s="117"/>
      <c r="AE24" s="117"/>
      <c r="AF24" s="117"/>
      <c r="AG24" s="117"/>
      <c r="AH24" s="117"/>
    </row>
    <row r="25" spans="1:34" ht="13.2">
      <c r="A25" s="100"/>
      <c r="B25" s="100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86"/>
      <c r="Q25" s="213"/>
      <c r="R25" s="213"/>
      <c r="S25" s="213"/>
      <c r="T25" s="213"/>
      <c r="U25" s="213"/>
      <c r="V25" s="212"/>
      <c r="W25" s="213"/>
      <c r="X25" s="114" t="s">
        <v>128</v>
      </c>
      <c r="Y25" s="114">
        <f>4000*Y24</f>
        <v>52000</v>
      </c>
      <c r="Z25" s="213"/>
      <c r="AB25" s="114" t="s">
        <v>128</v>
      </c>
      <c r="AC25" s="114">
        <f>4000*AC24</f>
        <v>96000</v>
      </c>
      <c r="AD25" s="213"/>
      <c r="AE25" s="213"/>
      <c r="AF25" s="213"/>
      <c r="AG25" s="213"/>
      <c r="AH25" s="213"/>
    </row>
    <row r="26" spans="1:34" ht="13.2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</row>
    <row r="27" spans="1:34" ht="13.2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</row>
    <row r="28" spans="1:34" ht="13.2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</row>
    <row r="29" spans="1:34" ht="13.2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</row>
    <row r="30" spans="1:34" ht="13.2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</row>
    <row r="31" spans="1:34" ht="13.2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</row>
    <row r="32" spans="1:34" ht="13.2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</row>
    <row r="33" spans="1:22" ht="13.2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</row>
    <row r="34" spans="1:22" ht="13.2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</row>
    <row r="35" spans="1:22" ht="13.2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</row>
    <row r="36" spans="1:22" ht="13.2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</row>
    <row r="37" spans="1:22" ht="13.2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</row>
    <row r="38" spans="1:22" ht="13.2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</row>
    <row r="39" spans="1:22" ht="13.2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</row>
    <row r="40" spans="1:22" ht="13.2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</row>
    <row r="41" spans="1:22" ht="13.2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</row>
    <row r="42" spans="1:22" ht="13.2">
      <c r="A42" s="100"/>
      <c r="B42" s="213"/>
      <c r="C42" s="213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213"/>
    </row>
    <row r="43" spans="1:22" ht="13.2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</row>
    <row r="44" spans="1:22" ht="13.2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2:AI37"/>
  <sheetViews>
    <sheetView workbookViewId="0"/>
  </sheetViews>
  <sheetFormatPr defaultColWidth="12.6640625" defaultRowHeight="15.75" customHeight="1"/>
  <cols>
    <col min="1" max="1" width="3.21875" customWidth="1"/>
    <col min="2" max="2" width="27.6640625" customWidth="1"/>
    <col min="3" max="31" width="12.6640625" hidden="1"/>
  </cols>
  <sheetData>
    <row r="2" spans="1:35" ht="25.2">
      <c r="B2" s="287" t="s">
        <v>41</v>
      </c>
    </row>
    <row r="3" spans="1:35" ht="14.4">
      <c r="B3" s="288" t="s">
        <v>471</v>
      </c>
    </row>
    <row r="4" spans="1:35" ht="15.6">
      <c r="A4" s="204"/>
      <c r="B4" s="289" t="s">
        <v>472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 t="s">
        <v>473</v>
      </c>
      <c r="AC4" s="100"/>
      <c r="AD4" s="100"/>
      <c r="AE4" s="100"/>
      <c r="AF4" s="100"/>
      <c r="AG4" s="100"/>
      <c r="AH4" s="100"/>
      <c r="AI4" s="100"/>
    </row>
    <row r="5" spans="1:35" ht="12.75" hidden="1" customHeight="1">
      <c r="B5" s="87">
        <v>3000</v>
      </c>
    </row>
    <row r="7" spans="1:35" ht="14.4">
      <c r="A7" s="193"/>
      <c r="B7" s="193" t="s">
        <v>453</v>
      </c>
      <c r="L7" s="85" t="s">
        <v>454</v>
      </c>
    </row>
    <row r="8" spans="1:35" ht="14.4">
      <c r="A8" s="278" t="s">
        <v>212</v>
      </c>
      <c r="B8" s="278" t="s">
        <v>232</v>
      </c>
      <c r="C8" s="105">
        <v>45903</v>
      </c>
      <c r="D8" s="105">
        <v>45910</v>
      </c>
      <c r="E8" s="105">
        <v>45917</v>
      </c>
      <c r="F8" s="105">
        <v>45924</v>
      </c>
      <c r="G8" s="105">
        <v>45931</v>
      </c>
      <c r="H8" s="105">
        <v>45938</v>
      </c>
      <c r="I8" s="105">
        <v>45945</v>
      </c>
      <c r="J8" s="105">
        <v>45952</v>
      </c>
      <c r="K8" s="105">
        <v>45959</v>
      </c>
      <c r="L8" s="105">
        <v>45966</v>
      </c>
      <c r="M8" s="105">
        <v>45973</v>
      </c>
      <c r="N8" s="105">
        <v>45980</v>
      </c>
      <c r="O8" s="105">
        <v>45987</v>
      </c>
      <c r="P8" s="105">
        <v>45994</v>
      </c>
      <c r="Q8" s="105">
        <v>46001</v>
      </c>
      <c r="R8" s="105">
        <v>46008</v>
      </c>
      <c r="S8" s="105">
        <v>46015</v>
      </c>
      <c r="T8" s="105">
        <v>46029</v>
      </c>
      <c r="U8" s="105">
        <v>46036</v>
      </c>
      <c r="V8" s="105">
        <v>46043</v>
      </c>
      <c r="W8" s="105">
        <v>46050</v>
      </c>
      <c r="X8" s="105">
        <v>46057</v>
      </c>
      <c r="Y8" s="105">
        <v>46064</v>
      </c>
      <c r="Z8" s="105">
        <v>46071</v>
      </c>
      <c r="AA8" s="105">
        <v>46078</v>
      </c>
      <c r="AB8" s="105">
        <v>46085</v>
      </c>
      <c r="AC8" s="105">
        <v>46092</v>
      </c>
      <c r="AD8" s="105">
        <v>46099</v>
      </c>
      <c r="AE8" s="105"/>
      <c r="AF8" s="105">
        <v>46113</v>
      </c>
      <c r="AG8" s="105"/>
      <c r="AH8" s="105"/>
      <c r="AI8" s="105"/>
    </row>
    <row r="9" spans="1:35" ht="14.4">
      <c r="A9" s="280">
        <v>1</v>
      </c>
      <c r="B9" s="109" t="s">
        <v>474</v>
      </c>
      <c r="C9" s="91">
        <v>1</v>
      </c>
      <c r="D9" s="91">
        <v>1</v>
      </c>
      <c r="E9" s="91">
        <v>1</v>
      </c>
      <c r="F9" s="91">
        <v>1</v>
      </c>
      <c r="G9" s="91">
        <v>1</v>
      </c>
      <c r="H9" s="91">
        <v>1</v>
      </c>
      <c r="I9" s="91">
        <v>1</v>
      </c>
      <c r="J9" s="91">
        <v>1</v>
      </c>
      <c r="K9" s="91">
        <v>1</v>
      </c>
      <c r="L9" s="91">
        <v>1</v>
      </c>
      <c r="M9" s="91"/>
      <c r="N9" s="91"/>
      <c r="O9" s="91">
        <v>1</v>
      </c>
      <c r="P9" s="91">
        <v>1</v>
      </c>
      <c r="Q9" s="91"/>
      <c r="R9" s="91"/>
      <c r="S9" s="91">
        <v>1</v>
      </c>
      <c r="T9" s="91">
        <v>1</v>
      </c>
      <c r="U9" s="91"/>
      <c r="V9" s="91">
        <v>1</v>
      </c>
      <c r="W9" s="91">
        <v>1</v>
      </c>
      <c r="X9" s="91"/>
      <c r="Y9" s="91">
        <v>1</v>
      </c>
      <c r="Z9" s="91">
        <v>1</v>
      </c>
      <c r="AA9" s="91">
        <v>1</v>
      </c>
      <c r="AB9" s="91">
        <v>1</v>
      </c>
      <c r="AC9" s="91">
        <v>1</v>
      </c>
      <c r="AD9" s="91">
        <v>1</v>
      </c>
      <c r="AE9" s="91"/>
      <c r="AF9" s="91">
        <v>1</v>
      </c>
      <c r="AG9" s="91"/>
      <c r="AH9" s="91"/>
      <c r="AI9" s="91"/>
    </row>
    <row r="10" spans="1:35" ht="14.4" hidden="1">
      <c r="A10" s="280">
        <v>2</v>
      </c>
      <c r="B10" s="109" t="s">
        <v>122</v>
      </c>
      <c r="C10" s="91">
        <v>1</v>
      </c>
      <c r="D10" s="91">
        <v>1</v>
      </c>
      <c r="E10" s="91">
        <v>1</v>
      </c>
      <c r="F10" s="91">
        <v>1</v>
      </c>
      <c r="G10" s="91"/>
      <c r="H10" s="91">
        <v>1</v>
      </c>
      <c r="I10" s="91"/>
      <c r="J10" s="91"/>
      <c r="K10" s="91"/>
      <c r="L10" s="91">
        <v>1</v>
      </c>
      <c r="M10" s="91"/>
      <c r="N10" s="91"/>
      <c r="O10" s="91">
        <v>1</v>
      </c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</row>
    <row r="11" spans="1:35" ht="14.4">
      <c r="A11" s="280">
        <v>3</v>
      </c>
      <c r="B11" s="109" t="s">
        <v>475</v>
      </c>
      <c r="C11" s="91">
        <v>1</v>
      </c>
      <c r="D11" s="91">
        <v>1</v>
      </c>
      <c r="E11" s="91"/>
      <c r="F11" s="91">
        <v>1</v>
      </c>
      <c r="G11" s="91">
        <v>1</v>
      </c>
      <c r="H11" s="91">
        <v>1</v>
      </c>
      <c r="I11" s="91"/>
      <c r="J11" s="91">
        <v>1</v>
      </c>
      <c r="K11" s="91"/>
      <c r="L11" s="91">
        <v>1</v>
      </c>
      <c r="M11" s="91"/>
      <c r="N11" s="91">
        <v>1</v>
      </c>
      <c r="O11" s="91">
        <v>1</v>
      </c>
      <c r="P11" s="91">
        <v>1</v>
      </c>
      <c r="Q11" s="91">
        <v>1</v>
      </c>
      <c r="R11" s="91">
        <v>1</v>
      </c>
      <c r="S11" s="91">
        <v>1</v>
      </c>
      <c r="T11" s="91">
        <v>1</v>
      </c>
      <c r="U11" s="91"/>
      <c r="V11" s="91">
        <v>1</v>
      </c>
      <c r="W11" s="91"/>
      <c r="X11" s="91"/>
      <c r="Y11" s="91"/>
      <c r="Z11" s="91">
        <v>1</v>
      </c>
      <c r="AA11" s="91"/>
      <c r="AB11" s="91">
        <v>1</v>
      </c>
      <c r="AC11" s="91">
        <v>1</v>
      </c>
      <c r="AD11" s="91">
        <v>1</v>
      </c>
      <c r="AE11" s="91"/>
      <c r="AF11" s="91">
        <v>1</v>
      </c>
      <c r="AG11" s="91"/>
      <c r="AH11" s="91"/>
      <c r="AI11" s="91"/>
    </row>
    <row r="12" spans="1:35" ht="14.4" hidden="1">
      <c r="A12" s="280">
        <v>4</v>
      </c>
      <c r="B12" s="109" t="s">
        <v>476</v>
      </c>
      <c r="C12" s="91">
        <v>1</v>
      </c>
      <c r="D12" s="91"/>
      <c r="E12" s="91">
        <v>1</v>
      </c>
      <c r="F12" s="91">
        <v>1</v>
      </c>
      <c r="G12" s="91">
        <v>1</v>
      </c>
      <c r="H12" s="91">
        <v>1</v>
      </c>
      <c r="I12" s="91">
        <v>1</v>
      </c>
      <c r="J12" s="91">
        <v>1</v>
      </c>
      <c r="K12" s="91">
        <v>1</v>
      </c>
      <c r="L12" s="91">
        <v>1</v>
      </c>
      <c r="M12" s="91">
        <v>1</v>
      </c>
      <c r="N12" s="91">
        <v>1</v>
      </c>
      <c r="O12" s="91"/>
      <c r="P12" s="91"/>
      <c r="Q12" s="91"/>
      <c r="R12" s="91"/>
      <c r="S12" s="91"/>
      <c r="T12" s="91">
        <v>1</v>
      </c>
      <c r="U12" s="91">
        <v>1</v>
      </c>
      <c r="V12" s="91">
        <v>1</v>
      </c>
      <c r="W12" s="91">
        <v>1</v>
      </c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1:35" ht="14.4">
      <c r="A13" s="280">
        <v>5</v>
      </c>
      <c r="B13" s="109" t="s">
        <v>477</v>
      </c>
      <c r="C13" s="91">
        <v>1</v>
      </c>
      <c r="D13" s="91">
        <v>1</v>
      </c>
      <c r="E13" s="91">
        <v>1</v>
      </c>
      <c r="F13" s="91">
        <v>1</v>
      </c>
      <c r="G13" s="91"/>
      <c r="H13" s="91">
        <v>1</v>
      </c>
      <c r="I13" s="91">
        <v>1</v>
      </c>
      <c r="J13" s="91">
        <v>1</v>
      </c>
      <c r="K13" s="91">
        <v>1</v>
      </c>
      <c r="L13" s="91"/>
      <c r="M13" s="91">
        <v>1</v>
      </c>
      <c r="N13" s="91">
        <v>1</v>
      </c>
      <c r="O13" s="91">
        <v>1</v>
      </c>
      <c r="P13" s="91"/>
      <c r="Q13" s="91">
        <v>1</v>
      </c>
      <c r="R13" s="91">
        <v>1</v>
      </c>
      <c r="S13" s="91"/>
      <c r="T13" s="91"/>
      <c r="U13" s="91"/>
      <c r="V13" s="91"/>
      <c r="W13" s="91"/>
      <c r="X13" s="91"/>
      <c r="Y13" s="91">
        <v>1</v>
      </c>
      <c r="Z13" s="91">
        <v>1</v>
      </c>
      <c r="AA13" s="91"/>
      <c r="AB13" s="91"/>
      <c r="AC13" s="91">
        <v>1</v>
      </c>
      <c r="AD13" s="91">
        <v>1</v>
      </c>
      <c r="AE13" s="91"/>
      <c r="AF13" s="91">
        <v>1</v>
      </c>
      <c r="AG13" s="91"/>
      <c r="AH13" s="91"/>
      <c r="AI13" s="91"/>
    </row>
    <row r="14" spans="1:35" ht="14.4">
      <c r="A14" s="280">
        <v>6</v>
      </c>
      <c r="B14" s="112" t="s">
        <v>478</v>
      </c>
      <c r="C14" s="91">
        <v>1</v>
      </c>
      <c r="D14" s="91">
        <v>1</v>
      </c>
      <c r="E14" s="91">
        <v>1</v>
      </c>
      <c r="F14" s="91">
        <v>1</v>
      </c>
      <c r="G14" s="91">
        <v>1</v>
      </c>
      <c r="H14" s="91"/>
      <c r="I14" s="91">
        <v>1</v>
      </c>
      <c r="J14" s="91">
        <v>1</v>
      </c>
      <c r="K14" s="91">
        <v>1</v>
      </c>
      <c r="L14" s="91"/>
      <c r="M14" s="91">
        <v>1</v>
      </c>
      <c r="N14" s="91">
        <v>1</v>
      </c>
      <c r="O14" s="91">
        <v>1</v>
      </c>
      <c r="P14" s="91">
        <v>1</v>
      </c>
      <c r="Q14" s="91"/>
      <c r="R14" s="91"/>
      <c r="S14" s="91">
        <v>1</v>
      </c>
      <c r="T14" s="91">
        <v>1</v>
      </c>
      <c r="U14" s="91">
        <v>1</v>
      </c>
      <c r="V14" s="91"/>
      <c r="W14" s="91">
        <v>1</v>
      </c>
      <c r="X14" s="91">
        <v>1</v>
      </c>
      <c r="Y14" s="91">
        <v>1</v>
      </c>
      <c r="Z14" s="91"/>
      <c r="AA14" s="91"/>
      <c r="AB14" s="91"/>
      <c r="AC14" s="91">
        <v>1</v>
      </c>
      <c r="AD14" s="91"/>
      <c r="AE14" s="91"/>
      <c r="AF14" s="91">
        <v>1</v>
      </c>
      <c r="AG14" s="91"/>
      <c r="AH14" s="91"/>
      <c r="AI14" s="91"/>
    </row>
    <row r="15" spans="1:35" ht="14.4">
      <c r="A15" s="280">
        <v>7</v>
      </c>
      <c r="B15" s="112" t="s">
        <v>356</v>
      </c>
      <c r="C15" s="91">
        <v>1</v>
      </c>
      <c r="D15" s="91">
        <v>1</v>
      </c>
      <c r="E15" s="91">
        <v>1</v>
      </c>
      <c r="F15" s="91">
        <v>1</v>
      </c>
      <c r="G15" s="91"/>
      <c r="H15" s="91">
        <v>1</v>
      </c>
      <c r="I15" s="91">
        <v>1</v>
      </c>
      <c r="J15" s="91">
        <v>1</v>
      </c>
      <c r="K15" s="91">
        <v>1</v>
      </c>
      <c r="L15" s="91"/>
      <c r="M15" s="91">
        <v>1</v>
      </c>
      <c r="N15" s="91">
        <v>1</v>
      </c>
      <c r="O15" s="91">
        <v>1</v>
      </c>
      <c r="P15" s="91"/>
      <c r="Q15" s="91"/>
      <c r="R15" s="91">
        <v>1</v>
      </c>
      <c r="S15" s="91">
        <v>1</v>
      </c>
      <c r="T15" s="91">
        <v>1</v>
      </c>
      <c r="U15" s="91">
        <v>1</v>
      </c>
      <c r="V15" s="91">
        <v>1</v>
      </c>
      <c r="W15" s="91">
        <v>1</v>
      </c>
      <c r="X15" s="91">
        <v>1</v>
      </c>
      <c r="Y15" s="91">
        <v>1</v>
      </c>
      <c r="Z15" s="91">
        <v>1</v>
      </c>
      <c r="AA15" s="91">
        <v>1</v>
      </c>
      <c r="AB15" s="91"/>
      <c r="AC15" s="91">
        <v>1</v>
      </c>
      <c r="AD15" s="91">
        <v>1</v>
      </c>
      <c r="AE15" s="91"/>
      <c r="AF15" s="91"/>
      <c r="AG15" s="91"/>
      <c r="AH15" s="91"/>
      <c r="AI15" s="91"/>
    </row>
    <row r="16" spans="1:35" ht="14.4">
      <c r="A16" s="280">
        <v>8</v>
      </c>
      <c r="B16" s="112" t="s">
        <v>479</v>
      </c>
      <c r="C16" s="91"/>
      <c r="D16" s="91">
        <v>1</v>
      </c>
      <c r="E16" s="91">
        <v>1</v>
      </c>
      <c r="F16" s="91">
        <v>1</v>
      </c>
      <c r="G16" s="91">
        <v>1</v>
      </c>
      <c r="H16" s="91">
        <v>1</v>
      </c>
      <c r="I16" s="91">
        <v>1</v>
      </c>
      <c r="J16" s="91"/>
      <c r="K16" s="91"/>
      <c r="L16" s="91">
        <v>1</v>
      </c>
      <c r="M16" s="91">
        <v>1</v>
      </c>
      <c r="N16" s="91">
        <v>1</v>
      </c>
      <c r="O16" s="91">
        <v>1</v>
      </c>
      <c r="P16" s="91">
        <v>1</v>
      </c>
      <c r="Q16" s="91">
        <v>1</v>
      </c>
      <c r="R16" s="91">
        <v>1</v>
      </c>
      <c r="S16" s="91">
        <v>1</v>
      </c>
      <c r="T16" s="91">
        <v>1</v>
      </c>
      <c r="U16" s="91"/>
      <c r="V16" s="91">
        <v>1</v>
      </c>
      <c r="W16" s="91">
        <v>1</v>
      </c>
      <c r="X16" s="91">
        <v>1</v>
      </c>
      <c r="Y16" s="91">
        <v>1</v>
      </c>
      <c r="Z16" s="91">
        <v>1</v>
      </c>
      <c r="AA16" s="91">
        <v>1</v>
      </c>
      <c r="AB16" s="91">
        <v>1</v>
      </c>
      <c r="AC16" s="91">
        <v>1</v>
      </c>
      <c r="AD16" s="91">
        <v>1</v>
      </c>
      <c r="AE16" s="91"/>
      <c r="AF16" s="91"/>
      <c r="AG16" s="91"/>
      <c r="AH16" s="91"/>
      <c r="AI16" s="91"/>
    </row>
    <row r="17" spans="1:35" ht="15.6">
      <c r="A17" s="280">
        <v>9</v>
      </c>
      <c r="B17" s="290" t="s">
        <v>480</v>
      </c>
      <c r="C17" s="91"/>
      <c r="D17" s="91">
        <v>1</v>
      </c>
      <c r="E17" s="91">
        <v>1</v>
      </c>
      <c r="F17" s="91">
        <v>1</v>
      </c>
      <c r="G17" s="91">
        <v>1</v>
      </c>
      <c r="H17" s="91">
        <v>1</v>
      </c>
      <c r="I17" s="91">
        <v>1</v>
      </c>
      <c r="J17" s="91">
        <v>1</v>
      </c>
      <c r="K17" s="91">
        <v>1</v>
      </c>
      <c r="L17" s="91">
        <v>1</v>
      </c>
      <c r="M17" s="91">
        <v>1</v>
      </c>
      <c r="N17" s="91">
        <v>1</v>
      </c>
      <c r="O17" s="91">
        <v>1</v>
      </c>
      <c r="P17" s="91">
        <v>1</v>
      </c>
      <c r="Q17" s="91">
        <v>1</v>
      </c>
      <c r="R17" s="91">
        <v>1</v>
      </c>
      <c r="S17" s="91">
        <v>1</v>
      </c>
      <c r="T17" s="91">
        <v>1</v>
      </c>
      <c r="U17" s="91">
        <v>1</v>
      </c>
      <c r="V17" s="91">
        <v>1</v>
      </c>
      <c r="W17" s="91">
        <v>1</v>
      </c>
      <c r="X17" s="91">
        <v>1</v>
      </c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3.2">
      <c r="A18" s="106">
        <v>10</v>
      </c>
      <c r="B18" s="138" t="s">
        <v>296</v>
      </c>
      <c r="C18" s="91">
        <v>1</v>
      </c>
      <c r="D18" s="91">
        <v>1</v>
      </c>
      <c r="E18" s="91">
        <v>1</v>
      </c>
      <c r="F18" s="91">
        <v>1</v>
      </c>
      <c r="G18" s="91">
        <v>1</v>
      </c>
      <c r="H18" s="91">
        <v>1</v>
      </c>
      <c r="I18" s="91">
        <v>1</v>
      </c>
      <c r="J18" s="91">
        <v>1</v>
      </c>
      <c r="K18" s="91"/>
      <c r="L18" s="91">
        <v>1</v>
      </c>
      <c r="M18" s="91">
        <v>1</v>
      </c>
      <c r="N18" s="91">
        <v>1</v>
      </c>
      <c r="O18" s="91">
        <v>1</v>
      </c>
      <c r="P18" s="91">
        <v>1</v>
      </c>
      <c r="Q18" s="91">
        <v>1</v>
      </c>
      <c r="R18" s="91">
        <v>1</v>
      </c>
      <c r="S18" s="91"/>
      <c r="T18" s="91">
        <v>1</v>
      </c>
      <c r="U18" s="91">
        <v>1</v>
      </c>
      <c r="V18" s="91"/>
      <c r="W18" s="91">
        <v>1</v>
      </c>
      <c r="X18" s="91"/>
      <c r="Y18" s="91">
        <v>1</v>
      </c>
      <c r="Z18" s="91">
        <v>1</v>
      </c>
      <c r="AA18" s="91">
        <v>1</v>
      </c>
      <c r="AB18" s="91">
        <v>1</v>
      </c>
      <c r="AC18" s="91"/>
      <c r="AD18" s="91">
        <v>1</v>
      </c>
      <c r="AE18" s="91"/>
      <c r="AF18" s="91">
        <v>1</v>
      </c>
      <c r="AG18" s="91"/>
      <c r="AH18" s="91"/>
      <c r="AI18" s="91"/>
    </row>
    <row r="19" spans="1:35" ht="13.2">
      <c r="A19" s="106">
        <v>11</v>
      </c>
      <c r="B19" s="138" t="s">
        <v>481</v>
      </c>
      <c r="C19" s="91"/>
      <c r="D19" s="91"/>
      <c r="E19" s="91"/>
      <c r="F19" s="91"/>
      <c r="G19" s="91"/>
      <c r="H19" s="91">
        <v>1</v>
      </c>
      <c r="I19" s="91">
        <v>1</v>
      </c>
      <c r="J19" s="91">
        <v>1</v>
      </c>
      <c r="K19" s="91">
        <v>1</v>
      </c>
      <c r="L19" s="91">
        <v>1</v>
      </c>
      <c r="M19" s="91">
        <v>1</v>
      </c>
      <c r="N19" s="91">
        <v>1</v>
      </c>
      <c r="O19" s="91">
        <v>1</v>
      </c>
      <c r="P19" s="91">
        <v>1</v>
      </c>
      <c r="Q19" s="91">
        <v>1</v>
      </c>
      <c r="R19" s="91">
        <v>1</v>
      </c>
      <c r="S19" s="91">
        <v>1</v>
      </c>
      <c r="T19" s="91">
        <v>1</v>
      </c>
      <c r="U19" s="91">
        <v>1</v>
      </c>
      <c r="V19" s="91">
        <v>1</v>
      </c>
      <c r="W19" s="91">
        <v>1</v>
      </c>
      <c r="X19" s="91">
        <v>1</v>
      </c>
      <c r="Y19" s="91">
        <v>1</v>
      </c>
      <c r="Z19" s="91">
        <v>1</v>
      </c>
      <c r="AA19" s="91">
        <v>1</v>
      </c>
      <c r="AB19" s="91">
        <v>1</v>
      </c>
      <c r="AC19" s="91">
        <v>1</v>
      </c>
      <c r="AD19" s="91">
        <v>1</v>
      </c>
      <c r="AE19" s="91"/>
      <c r="AF19" s="91">
        <v>1</v>
      </c>
      <c r="AG19" s="91"/>
      <c r="AH19" s="91"/>
      <c r="AI19" s="91"/>
    </row>
    <row r="20" spans="1:35" ht="15.6">
      <c r="A20" s="281">
        <v>12</v>
      </c>
      <c r="B20" s="290" t="s">
        <v>482</v>
      </c>
      <c r="C20" s="138"/>
      <c r="D20" s="138"/>
      <c r="E20" s="138"/>
      <c r="F20" s="138">
        <v>36</v>
      </c>
      <c r="G20" s="138"/>
      <c r="H20" s="138"/>
      <c r="I20" s="138"/>
      <c r="J20" s="138"/>
      <c r="K20" s="138">
        <v>42</v>
      </c>
      <c r="L20" s="138">
        <v>1</v>
      </c>
      <c r="M20" s="138">
        <v>1</v>
      </c>
      <c r="N20" s="138">
        <v>1</v>
      </c>
      <c r="O20" s="138">
        <v>1</v>
      </c>
      <c r="P20" s="138"/>
      <c r="Q20" s="138">
        <v>1</v>
      </c>
      <c r="R20" s="138">
        <v>1</v>
      </c>
      <c r="S20" s="138"/>
      <c r="T20" s="138">
        <v>1</v>
      </c>
      <c r="U20" s="138">
        <v>1</v>
      </c>
      <c r="V20" s="138">
        <v>1</v>
      </c>
      <c r="W20" s="138">
        <v>1</v>
      </c>
      <c r="X20" s="138">
        <v>1</v>
      </c>
      <c r="Y20" s="138"/>
      <c r="Z20" s="138">
        <v>1</v>
      </c>
      <c r="AA20" s="138">
        <v>1</v>
      </c>
      <c r="AB20" s="138">
        <v>1</v>
      </c>
      <c r="AC20" s="138"/>
      <c r="AD20" s="138"/>
      <c r="AE20" s="138"/>
      <c r="AF20" s="138">
        <v>1</v>
      </c>
      <c r="AG20" s="138"/>
      <c r="AH20" s="138"/>
      <c r="AI20" s="138"/>
    </row>
    <row r="21" spans="1:35" ht="15.6">
      <c r="A21" s="281"/>
      <c r="B21" s="290" t="s">
        <v>483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>
        <v>1</v>
      </c>
      <c r="Z21" s="138">
        <v>1</v>
      </c>
      <c r="AA21" s="138">
        <v>1</v>
      </c>
      <c r="AB21" s="138">
        <v>1</v>
      </c>
      <c r="AC21" s="138">
        <v>1</v>
      </c>
      <c r="AD21" s="138"/>
      <c r="AE21" s="138"/>
      <c r="AF21" s="138"/>
      <c r="AG21" s="138"/>
      <c r="AH21" s="138"/>
      <c r="AI21" s="138"/>
    </row>
    <row r="22" spans="1:35" ht="15.6">
      <c r="A22" s="281"/>
      <c r="B22" s="290" t="s">
        <v>484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>
        <v>1</v>
      </c>
      <c r="Z22" s="138"/>
      <c r="AA22" s="138">
        <v>1</v>
      </c>
      <c r="AB22" s="138">
        <v>1</v>
      </c>
      <c r="AC22" s="138">
        <v>1</v>
      </c>
      <c r="AD22" s="138">
        <v>1</v>
      </c>
      <c r="AE22" s="138"/>
      <c r="AF22" s="138">
        <v>1</v>
      </c>
      <c r="AG22" s="138"/>
      <c r="AH22" s="138"/>
      <c r="AI22" s="138"/>
    </row>
    <row r="23" spans="1:35" ht="15.6">
      <c r="A23" s="281"/>
      <c r="B23" s="290" t="s">
        <v>485</v>
      </c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>
        <v>1</v>
      </c>
      <c r="Z23" s="138">
        <v>1</v>
      </c>
      <c r="AA23" s="138">
        <v>1</v>
      </c>
      <c r="AB23" s="138"/>
      <c r="AC23" s="138">
        <v>1</v>
      </c>
      <c r="AD23" s="138">
        <v>1</v>
      </c>
      <c r="AE23" s="138"/>
      <c r="AF23" s="138">
        <v>1</v>
      </c>
      <c r="AG23" s="138"/>
      <c r="AH23" s="138"/>
      <c r="AI23" s="138"/>
    </row>
    <row r="24" spans="1:35" ht="15.6">
      <c r="A24" s="281"/>
      <c r="B24" s="290" t="s">
        <v>218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>
        <v>1</v>
      </c>
      <c r="AA24" s="138"/>
      <c r="AB24" s="138"/>
      <c r="AC24" s="138">
        <v>1</v>
      </c>
      <c r="AD24" s="138">
        <v>1</v>
      </c>
      <c r="AE24" s="138"/>
      <c r="AF24" s="138">
        <v>1</v>
      </c>
      <c r="AG24" s="138"/>
      <c r="AH24" s="138"/>
      <c r="AI24" s="138"/>
    </row>
    <row r="25" spans="1:35" ht="15.6">
      <c r="A25" s="281"/>
      <c r="B25" s="290" t="s">
        <v>273</v>
      </c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>
        <v>1</v>
      </c>
      <c r="AA25" s="138"/>
      <c r="AB25" s="138"/>
      <c r="AC25" s="138">
        <v>1</v>
      </c>
      <c r="AD25" s="138"/>
      <c r="AE25" s="138"/>
      <c r="AF25" s="138">
        <v>1</v>
      </c>
      <c r="AG25" s="138"/>
      <c r="AH25" s="138"/>
      <c r="AI25" s="138"/>
    </row>
    <row r="26" spans="1:35" ht="15.6">
      <c r="A26" s="281"/>
      <c r="B26" s="290" t="s">
        <v>486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>
        <v>1</v>
      </c>
      <c r="AE26" s="138"/>
      <c r="AF26" s="138">
        <v>1</v>
      </c>
      <c r="AG26" s="138"/>
      <c r="AH26" s="138"/>
      <c r="AI26" s="138"/>
    </row>
    <row r="27" spans="1:35" ht="15.6">
      <c r="A27" s="281"/>
      <c r="B27" s="290" t="s">
        <v>487</v>
      </c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>
        <v>1</v>
      </c>
      <c r="AG27" s="138"/>
      <c r="AH27" s="138"/>
      <c r="AI27" s="138"/>
    </row>
    <row r="28" spans="1:35" ht="15.6">
      <c r="A28" s="281"/>
      <c r="B28" s="283" t="s">
        <v>448</v>
      </c>
      <c r="C28" s="106">
        <v>8</v>
      </c>
      <c r="D28" s="106">
        <v>9</v>
      </c>
      <c r="E28" s="106">
        <v>9</v>
      </c>
      <c r="F28" s="106">
        <v>10</v>
      </c>
      <c r="G28" s="106">
        <v>7</v>
      </c>
      <c r="H28" s="106">
        <v>10</v>
      </c>
      <c r="I28" s="106">
        <v>9</v>
      </c>
      <c r="J28" s="106">
        <v>9</v>
      </c>
      <c r="K28" s="106">
        <v>7</v>
      </c>
      <c r="L28" s="106">
        <v>9</v>
      </c>
      <c r="M28" s="106">
        <v>9</v>
      </c>
      <c r="N28" s="106">
        <v>10</v>
      </c>
      <c r="O28" s="106">
        <v>11</v>
      </c>
      <c r="P28" s="106">
        <v>7</v>
      </c>
      <c r="Q28" s="106">
        <v>7</v>
      </c>
      <c r="R28" s="106">
        <v>8</v>
      </c>
      <c r="S28" s="106">
        <v>7</v>
      </c>
      <c r="T28" s="106">
        <v>10</v>
      </c>
      <c r="U28" s="106">
        <v>7</v>
      </c>
      <c r="V28" s="106">
        <v>8</v>
      </c>
      <c r="W28" s="106">
        <v>9</v>
      </c>
      <c r="X28" s="106">
        <v>6</v>
      </c>
      <c r="Y28" s="106">
        <v>10</v>
      </c>
      <c r="Z28" s="106">
        <v>12</v>
      </c>
      <c r="AA28" s="106">
        <v>9</v>
      </c>
      <c r="AB28" s="106">
        <v>8</v>
      </c>
      <c r="AC28" s="106">
        <v>12</v>
      </c>
      <c r="AD28" s="106">
        <v>11</v>
      </c>
      <c r="AE28" s="106"/>
      <c r="AF28" s="106">
        <v>13</v>
      </c>
      <c r="AG28" s="106"/>
      <c r="AH28" s="106"/>
      <c r="AI28" s="106"/>
    </row>
    <row r="29" spans="1:35" ht="52.8">
      <c r="A29" s="100"/>
      <c r="B29" s="100"/>
      <c r="C29" s="100"/>
      <c r="D29" s="100"/>
      <c r="E29" s="117" t="s">
        <v>196</v>
      </c>
      <c r="F29" s="100">
        <v>108000</v>
      </c>
      <c r="G29" s="100"/>
      <c r="H29" s="100"/>
      <c r="I29" s="100"/>
      <c r="J29" s="114" t="s">
        <v>128</v>
      </c>
      <c r="K29" s="114" t="s">
        <v>488</v>
      </c>
      <c r="L29" s="100"/>
      <c r="M29" s="100"/>
      <c r="O29" s="85">
        <v>39</v>
      </c>
      <c r="P29" s="100"/>
      <c r="Q29" s="100"/>
      <c r="R29" s="100"/>
      <c r="S29" s="100">
        <v>29</v>
      </c>
      <c r="T29" s="100"/>
      <c r="U29" s="100"/>
      <c r="V29" s="100"/>
      <c r="W29" s="100">
        <v>34</v>
      </c>
      <c r="X29" s="100"/>
      <c r="Y29" s="100"/>
      <c r="Z29" s="100"/>
      <c r="AA29" s="100">
        <v>37</v>
      </c>
      <c r="AB29" s="100"/>
      <c r="AC29" s="100"/>
      <c r="AD29" s="93" t="s">
        <v>127</v>
      </c>
      <c r="AE29" s="94">
        <v>31</v>
      </c>
      <c r="AF29" s="100"/>
      <c r="AG29" s="100"/>
      <c r="AH29" s="100"/>
      <c r="AI29" s="100"/>
    </row>
    <row r="30" spans="1:35" ht="13.2">
      <c r="N30" s="95"/>
      <c r="O30" s="114"/>
      <c r="R30" s="95"/>
      <c r="S30" s="114"/>
      <c r="V30" s="95"/>
      <c r="W30" s="114"/>
      <c r="Z30" s="95" t="s">
        <v>128</v>
      </c>
      <c r="AA30" s="95" t="s">
        <v>489</v>
      </c>
      <c r="AB30" s="117"/>
      <c r="AC30" s="117"/>
      <c r="AD30" s="95" t="s">
        <v>490</v>
      </c>
      <c r="AE30" s="95" t="s">
        <v>491</v>
      </c>
      <c r="AF30" s="117"/>
      <c r="AG30" s="117"/>
      <c r="AH30" s="117"/>
      <c r="AI30" s="117"/>
    </row>
    <row r="37" spans="32:32" ht="13.2">
      <c r="AF37" s="291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26"/>
  <sheetViews>
    <sheetView workbookViewId="0"/>
  </sheetViews>
  <sheetFormatPr defaultColWidth="12.6640625" defaultRowHeight="15.75" customHeight="1"/>
  <cols>
    <col min="1" max="1" width="3.44140625" customWidth="1"/>
    <col min="3" max="21" width="12.6640625" hidden="1"/>
  </cols>
  <sheetData>
    <row r="1" spans="1:26" ht="13.2">
      <c r="A1" s="85" t="s">
        <v>0</v>
      </c>
    </row>
    <row r="2" spans="1:26" ht="30">
      <c r="B2" s="292" t="s">
        <v>13</v>
      </c>
    </row>
    <row r="3" spans="1:26" ht="13.2">
      <c r="B3" s="85" t="s">
        <v>492</v>
      </c>
    </row>
    <row r="4" spans="1:26" ht="13.2">
      <c r="B4" s="85" t="s">
        <v>493</v>
      </c>
    </row>
    <row r="5" spans="1:26" ht="13.2" hidden="1">
      <c r="B5" s="87">
        <v>4000</v>
      </c>
    </row>
    <row r="7" spans="1:26" ht="13.2">
      <c r="B7" s="85" t="s">
        <v>494</v>
      </c>
      <c r="N7" s="85" t="s">
        <v>455</v>
      </c>
      <c r="O7" s="85" t="s">
        <v>455</v>
      </c>
      <c r="P7" s="85" t="s">
        <v>456</v>
      </c>
      <c r="Q7" s="85" t="s">
        <v>456</v>
      </c>
      <c r="R7" s="85" t="s">
        <v>457</v>
      </c>
      <c r="S7" s="85" t="s">
        <v>457</v>
      </c>
      <c r="T7" s="85" t="s">
        <v>457</v>
      </c>
      <c r="U7" s="85" t="s">
        <v>457</v>
      </c>
    </row>
    <row r="8" spans="1:26" ht="14.4">
      <c r="A8" s="274" t="s">
        <v>212</v>
      </c>
      <c r="B8" s="274" t="s">
        <v>495</v>
      </c>
      <c r="C8" s="293">
        <v>45975</v>
      </c>
      <c r="D8" s="293">
        <v>45982</v>
      </c>
      <c r="E8" s="293">
        <v>45993</v>
      </c>
      <c r="F8" s="293">
        <v>45996</v>
      </c>
      <c r="G8" s="293">
        <v>46003</v>
      </c>
      <c r="H8" s="293">
        <v>46010</v>
      </c>
      <c r="I8" s="293">
        <v>46017</v>
      </c>
      <c r="J8" s="293">
        <v>45666</v>
      </c>
      <c r="K8" s="293">
        <v>46038</v>
      </c>
      <c r="L8" s="293">
        <v>46045</v>
      </c>
      <c r="M8" s="125">
        <v>46052</v>
      </c>
      <c r="N8" s="89">
        <v>46059</v>
      </c>
      <c r="O8" s="89">
        <v>46066</v>
      </c>
      <c r="P8" s="89">
        <v>46073</v>
      </c>
      <c r="Q8" s="89">
        <v>46080</v>
      </c>
      <c r="R8" s="90">
        <v>46091</v>
      </c>
      <c r="S8" s="90">
        <v>46094</v>
      </c>
      <c r="T8" s="89">
        <v>46101</v>
      </c>
      <c r="U8" s="89">
        <v>46108</v>
      </c>
      <c r="V8" s="89"/>
      <c r="W8" s="88"/>
      <c r="X8" s="88"/>
      <c r="Y8" s="88"/>
      <c r="Z8" s="88"/>
    </row>
    <row r="9" spans="1:26" ht="14.4">
      <c r="A9" s="294">
        <v>1</v>
      </c>
      <c r="B9" s="295" t="s">
        <v>496</v>
      </c>
      <c r="C9" s="295">
        <v>1</v>
      </c>
      <c r="D9" s="112"/>
      <c r="E9" s="112"/>
      <c r="F9" s="112">
        <v>1</v>
      </c>
      <c r="G9" s="112"/>
      <c r="H9" s="112"/>
      <c r="I9" s="112"/>
      <c r="J9" s="112"/>
      <c r="K9" s="112"/>
      <c r="L9" s="112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spans="1:26" ht="14.4">
      <c r="A10" s="296">
        <v>2</v>
      </c>
      <c r="B10" s="297" t="s">
        <v>497</v>
      </c>
      <c r="C10" s="298">
        <v>1</v>
      </c>
      <c r="D10" s="112"/>
      <c r="E10" s="112">
        <v>1</v>
      </c>
      <c r="F10" s="112">
        <v>1</v>
      </c>
      <c r="G10" s="112"/>
      <c r="H10" s="112">
        <v>1</v>
      </c>
      <c r="I10" s="112">
        <v>1</v>
      </c>
      <c r="J10" s="112"/>
      <c r="K10" s="112">
        <v>1</v>
      </c>
      <c r="L10" s="112">
        <v>1</v>
      </c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14.4">
      <c r="A11" s="296">
        <v>3</v>
      </c>
      <c r="B11" s="297" t="s">
        <v>498</v>
      </c>
      <c r="C11" s="298">
        <v>1</v>
      </c>
      <c r="D11" s="112">
        <v>1</v>
      </c>
      <c r="E11" s="112"/>
      <c r="F11" s="112">
        <v>1</v>
      </c>
      <c r="G11" s="112"/>
      <c r="H11" s="112">
        <v>1</v>
      </c>
      <c r="I11" s="112">
        <v>1</v>
      </c>
      <c r="J11" s="112">
        <v>1</v>
      </c>
      <c r="K11" s="112">
        <v>1</v>
      </c>
      <c r="L11" s="112"/>
      <c r="M11" s="91"/>
      <c r="N11" s="91">
        <v>1</v>
      </c>
      <c r="O11" s="91"/>
      <c r="P11" s="91">
        <v>1</v>
      </c>
      <c r="Q11" s="91">
        <v>1</v>
      </c>
      <c r="R11" s="91">
        <v>1</v>
      </c>
      <c r="S11" s="91">
        <v>1</v>
      </c>
      <c r="T11" s="91">
        <v>1</v>
      </c>
      <c r="U11" s="91">
        <v>1</v>
      </c>
      <c r="V11" s="91">
        <v>1</v>
      </c>
      <c r="W11" s="91"/>
      <c r="X11" s="91"/>
      <c r="Y11" s="91"/>
      <c r="Z11" s="91"/>
    </row>
    <row r="12" spans="1:26" ht="14.4">
      <c r="A12" s="296">
        <v>4</v>
      </c>
      <c r="B12" s="297" t="s">
        <v>499</v>
      </c>
      <c r="C12" s="298">
        <v>1</v>
      </c>
      <c r="D12" s="112"/>
      <c r="E12" s="112"/>
      <c r="F12" s="112"/>
      <c r="G12" s="112"/>
      <c r="H12" s="112"/>
      <c r="I12" s="112"/>
      <c r="J12" s="112">
        <v>1</v>
      </c>
      <c r="K12" s="112"/>
      <c r="L12" s="112">
        <v>1</v>
      </c>
      <c r="M12" s="91"/>
      <c r="N12" s="91">
        <v>1</v>
      </c>
      <c r="O12" s="91"/>
      <c r="P12" s="91"/>
      <c r="Q12" s="91">
        <v>1</v>
      </c>
      <c r="R12" s="91">
        <v>1</v>
      </c>
      <c r="S12" s="91">
        <v>1</v>
      </c>
      <c r="T12" s="91">
        <v>1</v>
      </c>
      <c r="U12" s="91">
        <v>1</v>
      </c>
      <c r="V12" s="91">
        <v>1</v>
      </c>
      <c r="W12" s="91"/>
      <c r="X12" s="91"/>
      <c r="Y12" s="91"/>
      <c r="Z12" s="91"/>
    </row>
    <row r="13" spans="1:26" ht="14.4">
      <c r="A13" s="299">
        <v>5</v>
      </c>
      <c r="B13" s="300" t="s">
        <v>500</v>
      </c>
      <c r="C13" s="301"/>
      <c r="D13" s="112">
        <v>1</v>
      </c>
      <c r="E13" s="302">
        <v>1</v>
      </c>
      <c r="F13" s="302"/>
      <c r="G13" s="302"/>
      <c r="H13" s="302">
        <v>1</v>
      </c>
      <c r="I13" s="302">
        <v>1</v>
      </c>
      <c r="J13" s="302">
        <v>1</v>
      </c>
      <c r="K13" s="302">
        <v>1</v>
      </c>
      <c r="L13" s="302">
        <v>1</v>
      </c>
      <c r="M13" s="91">
        <v>1</v>
      </c>
      <c r="N13" s="91">
        <v>1</v>
      </c>
      <c r="O13" s="91"/>
      <c r="P13" s="91">
        <v>1</v>
      </c>
      <c r="Q13" s="91">
        <v>1</v>
      </c>
      <c r="R13" s="91">
        <v>1</v>
      </c>
      <c r="S13" s="91">
        <v>1</v>
      </c>
      <c r="T13" s="91">
        <v>1</v>
      </c>
      <c r="U13" s="91">
        <v>1</v>
      </c>
      <c r="V13" s="91">
        <v>1</v>
      </c>
      <c r="W13" s="91"/>
      <c r="X13" s="91"/>
      <c r="Y13" s="91"/>
      <c r="Z13" s="91"/>
    </row>
    <row r="14" spans="1:26" ht="14.4">
      <c r="A14" s="299">
        <v>6</v>
      </c>
      <c r="B14" s="300" t="s">
        <v>501</v>
      </c>
      <c r="C14" s="301"/>
      <c r="D14" s="112"/>
      <c r="E14" s="302">
        <v>1</v>
      </c>
      <c r="F14" s="302"/>
      <c r="G14" s="302"/>
      <c r="H14" s="302">
        <v>1</v>
      </c>
      <c r="I14" s="302">
        <v>1</v>
      </c>
      <c r="J14" s="302"/>
      <c r="K14" s="302">
        <v>1</v>
      </c>
      <c r="L14" s="302">
        <v>1</v>
      </c>
      <c r="M14" s="91">
        <v>1</v>
      </c>
      <c r="N14" s="91"/>
      <c r="O14" s="91"/>
      <c r="P14" s="91">
        <v>1</v>
      </c>
      <c r="Q14" s="91">
        <v>1</v>
      </c>
      <c r="R14" s="91">
        <v>1</v>
      </c>
      <c r="S14" s="91">
        <v>1</v>
      </c>
      <c r="T14" s="91"/>
      <c r="U14" s="91"/>
      <c r="V14" s="91">
        <v>1</v>
      </c>
      <c r="W14" s="91"/>
      <c r="X14" s="91"/>
      <c r="Y14" s="91"/>
      <c r="Z14" s="91"/>
    </row>
    <row r="15" spans="1:26" ht="14.4">
      <c r="A15" s="299">
        <v>7</v>
      </c>
      <c r="B15" s="300" t="s">
        <v>501</v>
      </c>
      <c r="C15" s="301"/>
      <c r="D15" s="112"/>
      <c r="E15" s="302"/>
      <c r="F15" s="302"/>
      <c r="G15" s="302"/>
      <c r="H15" s="302"/>
      <c r="I15" s="302"/>
      <c r="J15" s="302"/>
      <c r="K15" s="302"/>
      <c r="L15" s="302"/>
      <c r="M15" s="91"/>
      <c r="N15" s="91"/>
      <c r="O15" s="91"/>
      <c r="P15" s="91"/>
      <c r="Q15" s="91"/>
      <c r="R15" s="91">
        <v>1</v>
      </c>
      <c r="S15" s="91">
        <v>1</v>
      </c>
      <c r="T15" s="91"/>
      <c r="U15" s="91"/>
      <c r="V15" s="91">
        <v>1</v>
      </c>
      <c r="W15" s="91"/>
      <c r="X15" s="91"/>
      <c r="Y15" s="91"/>
      <c r="Z15" s="91"/>
    </row>
    <row r="16" spans="1:26" ht="14.4">
      <c r="A16" s="299">
        <v>8</v>
      </c>
      <c r="B16" s="300" t="s">
        <v>502</v>
      </c>
      <c r="C16" s="301"/>
      <c r="D16" s="112"/>
      <c r="E16" s="302">
        <v>1</v>
      </c>
      <c r="F16" s="302"/>
      <c r="G16" s="302"/>
      <c r="H16" s="302"/>
      <c r="I16" s="302"/>
      <c r="J16" s="302"/>
      <c r="K16" s="302">
        <v>1</v>
      </c>
      <c r="L16" s="302">
        <v>1</v>
      </c>
      <c r="M16" s="91">
        <v>1</v>
      </c>
      <c r="N16" s="91">
        <v>1</v>
      </c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14.4">
      <c r="A17" s="299">
        <v>9</v>
      </c>
      <c r="B17" s="300" t="s">
        <v>503</v>
      </c>
      <c r="C17" s="301"/>
      <c r="D17" s="112"/>
      <c r="E17" s="302"/>
      <c r="F17" s="302">
        <v>1</v>
      </c>
      <c r="G17" s="302"/>
      <c r="H17" s="302"/>
      <c r="I17" s="302"/>
      <c r="J17" s="302">
        <v>1</v>
      </c>
      <c r="K17" s="302">
        <v>1</v>
      </c>
      <c r="L17" s="302">
        <v>1</v>
      </c>
      <c r="M17" s="91">
        <v>1</v>
      </c>
      <c r="N17" s="91">
        <v>1</v>
      </c>
      <c r="O17" s="91"/>
      <c r="P17" s="91">
        <v>1</v>
      </c>
      <c r="Q17" s="91"/>
      <c r="R17" s="91">
        <v>1</v>
      </c>
      <c r="S17" s="91">
        <v>1</v>
      </c>
      <c r="T17" s="91">
        <v>1</v>
      </c>
      <c r="U17" s="91">
        <v>1</v>
      </c>
      <c r="V17" s="91">
        <v>1</v>
      </c>
      <c r="W17" s="91"/>
      <c r="X17" s="91"/>
      <c r="Y17" s="91"/>
      <c r="Z17" s="91"/>
    </row>
    <row r="18" spans="1:26" ht="14.4">
      <c r="A18" s="299">
        <v>10</v>
      </c>
      <c r="B18" s="300" t="s">
        <v>504</v>
      </c>
      <c r="C18" s="301"/>
      <c r="D18" s="112"/>
      <c r="E18" s="302"/>
      <c r="F18" s="302"/>
      <c r="G18" s="302"/>
      <c r="H18" s="302">
        <v>1</v>
      </c>
      <c r="I18" s="302">
        <v>1</v>
      </c>
      <c r="J18" s="302"/>
      <c r="K18" s="302"/>
      <c r="L18" s="302"/>
      <c r="M18" s="91"/>
      <c r="N18" s="91"/>
      <c r="O18" s="91"/>
      <c r="P18" s="91"/>
      <c r="Q18" s="91">
        <v>1</v>
      </c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14.4">
      <c r="A19" s="299">
        <v>11</v>
      </c>
      <c r="B19" s="300" t="s">
        <v>505</v>
      </c>
      <c r="C19" s="301"/>
      <c r="D19" s="112"/>
      <c r="E19" s="302"/>
      <c r="F19" s="302"/>
      <c r="G19" s="302"/>
      <c r="H19" s="302"/>
      <c r="I19" s="302"/>
      <c r="J19" s="302"/>
      <c r="K19" s="302"/>
      <c r="L19" s="302"/>
      <c r="M19" s="91"/>
      <c r="N19" s="91"/>
      <c r="O19" s="91"/>
      <c r="P19" s="91"/>
      <c r="Q19" s="91"/>
      <c r="R19" s="91">
        <v>1</v>
      </c>
      <c r="S19" s="91">
        <v>1</v>
      </c>
      <c r="T19" s="91"/>
      <c r="U19" s="91">
        <v>1</v>
      </c>
      <c r="V19" s="91">
        <v>1</v>
      </c>
      <c r="W19" s="91"/>
      <c r="X19" s="91"/>
      <c r="Y19" s="91"/>
      <c r="Z19" s="91"/>
    </row>
    <row r="20" spans="1:26" ht="14.4">
      <c r="A20" s="299">
        <v>12</v>
      </c>
      <c r="B20" s="300" t="s">
        <v>506</v>
      </c>
      <c r="C20" s="301"/>
      <c r="D20" s="112"/>
      <c r="E20" s="302"/>
      <c r="F20" s="302"/>
      <c r="G20" s="302"/>
      <c r="H20" s="302"/>
      <c r="I20" s="302"/>
      <c r="J20" s="302"/>
      <c r="K20" s="302"/>
      <c r="L20" s="302"/>
      <c r="M20" s="91">
        <v>1</v>
      </c>
      <c r="N20" s="91">
        <v>1</v>
      </c>
      <c r="O20" s="91"/>
      <c r="P20" s="91">
        <v>1</v>
      </c>
      <c r="Q20" s="91">
        <v>1</v>
      </c>
      <c r="R20" s="91">
        <v>1</v>
      </c>
      <c r="S20" s="91">
        <v>1</v>
      </c>
      <c r="T20" s="91">
        <v>1</v>
      </c>
      <c r="U20" s="91">
        <v>1</v>
      </c>
      <c r="V20" s="91">
        <v>1</v>
      </c>
      <c r="W20" s="91"/>
      <c r="X20" s="91"/>
      <c r="Y20" s="91"/>
      <c r="Z20" s="91"/>
    </row>
    <row r="21" spans="1:26" ht="14.4">
      <c r="A21" s="299">
        <v>13</v>
      </c>
      <c r="B21" s="300" t="s">
        <v>507</v>
      </c>
      <c r="C21" s="301"/>
      <c r="D21" s="112"/>
      <c r="E21" s="302"/>
      <c r="F21" s="302"/>
      <c r="G21" s="302"/>
      <c r="H21" s="302"/>
      <c r="I21" s="302"/>
      <c r="J21" s="302"/>
      <c r="K21" s="302"/>
      <c r="L21" s="302"/>
      <c r="M21" s="91"/>
      <c r="N21" s="91">
        <v>1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14.4">
      <c r="A22" s="299">
        <v>14</v>
      </c>
      <c r="B22" s="300" t="s">
        <v>508</v>
      </c>
      <c r="C22" s="301"/>
      <c r="D22" s="112"/>
      <c r="E22" s="302"/>
      <c r="F22" s="302"/>
      <c r="G22" s="302"/>
      <c r="H22" s="302"/>
      <c r="I22" s="302"/>
      <c r="J22" s="302"/>
      <c r="K22" s="302"/>
      <c r="L22" s="302"/>
      <c r="M22" s="91"/>
      <c r="N22" s="91"/>
      <c r="O22" s="91"/>
      <c r="P22" s="91"/>
      <c r="Q22" s="91"/>
      <c r="R22" s="91"/>
      <c r="S22" s="91"/>
      <c r="T22" s="91">
        <v>1</v>
      </c>
      <c r="U22" s="91"/>
      <c r="V22" s="91">
        <v>1</v>
      </c>
      <c r="W22" s="91"/>
      <c r="X22" s="91"/>
      <c r="Y22" s="91"/>
      <c r="Z22" s="91"/>
    </row>
    <row r="23" spans="1:26" ht="14.4">
      <c r="A23" s="299"/>
      <c r="B23" s="300" t="s">
        <v>509</v>
      </c>
      <c r="C23" s="301"/>
      <c r="D23" s="112"/>
      <c r="E23" s="302"/>
      <c r="F23" s="302"/>
      <c r="G23" s="302"/>
      <c r="H23" s="302"/>
      <c r="I23" s="302"/>
      <c r="J23" s="302"/>
      <c r="K23" s="302"/>
      <c r="L23" s="302"/>
      <c r="M23" s="91"/>
      <c r="N23" s="91"/>
      <c r="O23" s="91"/>
      <c r="P23" s="91"/>
      <c r="Q23" s="91"/>
      <c r="R23" s="91"/>
      <c r="S23" s="91"/>
      <c r="T23" s="91"/>
      <c r="U23" s="91"/>
      <c r="V23" s="91">
        <v>1</v>
      </c>
      <c r="W23" s="91"/>
      <c r="X23" s="91"/>
      <c r="Y23" s="91"/>
      <c r="Z23" s="91"/>
    </row>
    <row r="24" spans="1:26" ht="14.4">
      <c r="A24" s="299"/>
      <c r="B24" s="303" t="s">
        <v>147</v>
      </c>
      <c r="C24" s="304">
        <v>4</v>
      </c>
      <c r="D24" s="274">
        <v>2</v>
      </c>
      <c r="E24" s="274">
        <v>4</v>
      </c>
      <c r="F24" s="274">
        <v>4</v>
      </c>
      <c r="G24" s="274"/>
      <c r="H24" s="274">
        <v>5</v>
      </c>
      <c r="I24" s="274">
        <v>5</v>
      </c>
      <c r="J24" s="274">
        <v>4</v>
      </c>
      <c r="K24" s="274">
        <v>6</v>
      </c>
      <c r="L24" s="274">
        <v>6</v>
      </c>
      <c r="M24" s="88">
        <v>5</v>
      </c>
      <c r="N24" s="88" t="s">
        <v>510</v>
      </c>
      <c r="O24" s="88"/>
      <c r="P24" s="88">
        <v>5</v>
      </c>
      <c r="Q24" s="88">
        <v>6</v>
      </c>
      <c r="R24" s="88">
        <v>8</v>
      </c>
      <c r="S24" s="88">
        <v>8</v>
      </c>
      <c r="T24" s="88">
        <v>6</v>
      </c>
      <c r="U24" s="88">
        <v>6</v>
      </c>
      <c r="V24" s="88">
        <v>10</v>
      </c>
      <c r="W24" s="88"/>
      <c r="X24" s="88"/>
      <c r="Y24" s="88"/>
      <c r="Z24" s="88"/>
    </row>
    <row r="25" spans="1:26" ht="13.2">
      <c r="D25" s="85">
        <v>6</v>
      </c>
      <c r="I25" s="85">
        <v>18</v>
      </c>
      <c r="M25" s="85">
        <v>21</v>
      </c>
      <c r="Q25" s="85">
        <v>18</v>
      </c>
      <c r="U25" s="85">
        <v>28</v>
      </c>
    </row>
    <row r="26" spans="1:26" ht="13.2">
      <c r="C26" s="95" t="s">
        <v>128</v>
      </c>
      <c r="D26" s="114" t="s">
        <v>511</v>
      </c>
      <c r="H26" s="95" t="s">
        <v>128</v>
      </c>
      <c r="I26" s="95" t="s">
        <v>512</v>
      </c>
      <c r="L26" s="115" t="s">
        <v>128</v>
      </c>
      <c r="M26" s="115" t="s">
        <v>450</v>
      </c>
      <c r="P26" s="95" t="s">
        <v>128</v>
      </c>
      <c r="Q26" s="95">
        <f>B5*Q25</f>
        <v>72000</v>
      </c>
      <c r="T26" s="95" t="s">
        <v>128</v>
      </c>
      <c r="U26" s="95">
        <v>112000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2:AE37"/>
  <sheetViews>
    <sheetView workbookViewId="0"/>
  </sheetViews>
  <sheetFormatPr defaultColWidth="12.6640625" defaultRowHeight="15.75" customHeight="1"/>
  <cols>
    <col min="1" max="1" width="3" customWidth="1"/>
    <col min="2" max="2" width="14.44140625" customWidth="1"/>
    <col min="3" max="22" width="12.6640625" hidden="1"/>
    <col min="23" max="23" width="14" hidden="1" customWidth="1"/>
    <col min="24" max="26" width="12.6640625" hidden="1"/>
  </cols>
  <sheetData>
    <row r="2" spans="1:31" ht="29.4">
      <c r="B2" s="305" t="s">
        <v>513</v>
      </c>
      <c r="C2" s="305"/>
      <c r="D2" s="306"/>
      <c r="E2" s="306"/>
      <c r="F2" s="306"/>
      <c r="G2" s="306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</row>
    <row r="3" spans="1:31" ht="14.4">
      <c r="B3" s="308" t="s">
        <v>514</v>
      </c>
      <c r="C3" s="308"/>
      <c r="D3" s="260"/>
      <c r="E3" s="260"/>
      <c r="F3" s="260"/>
      <c r="G3" s="260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</row>
    <row r="4" spans="1:31" ht="14.4">
      <c r="A4" s="193"/>
      <c r="B4" s="193" t="s">
        <v>515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</row>
    <row r="5" spans="1:31" ht="13.2" hidden="1">
      <c r="B5" s="87">
        <v>3000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ht="13.2"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</row>
    <row r="7" spans="1:31" ht="14.4">
      <c r="B7" s="309">
        <v>45945</v>
      </c>
      <c r="C7" s="260"/>
      <c r="D7" s="260"/>
      <c r="E7" s="260"/>
      <c r="F7" s="310"/>
      <c r="G7" s="310"/>
      <c r="H7" s="204"/>
      <c r="I7" s="204"/>
      <c r="J7" s="204"/>
      <c r="K7" s="204"/>
      <c r="L7" s="204"/>
      <c r="M7" s="204"/>
      <c r="N7" s="204"/>
      <c r="O7" s="204" t="s">
        <v>82</v>
      </c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204"/>
      <c r="AD7" s="204"/>
      <c r="AE7" s="204"/>
    </row>
    <row r="8" spans="1:31" ht="14.4">
      <c r="A8" s="311" t="s">
        <v>212</v>
      </c>
      <c r="B8" s="311" t="s">
        <v>232</v>
      </c>
      <c r="C8" s="312">
        <v>45932</v>
      </c>
      <c r="D8" s="312">
        <v>45939</v>
      </c>
      <c r="E8" s="313">
        <v>45946</v>
      </c>
      <c r="F8" s="314">
        <v>45953</v>
      </c>
      <c r="G8" s="314">
        <v>45967</v>
      </c>
      <c r="H8" s="314">
        <v>45974</v>
      </c>
      <c r="I8" s="314">
        <v>45981</v>
      </c>
      <c r="J8" s="314">
        <v>45988</v>
      </c>
      <c r="K8" s="314">
        <v>45995</v>
      </c>
      <c r="L8" s="314">
        <v>46002</v>
      </c>
      <c r="M8" s="314">
        <v>46009</v>
      </c>
      <c r="N8" s="314">
        <v>46016</v>
      </c>
      <c r="O8" s="315">
        <v>46030</v>
      </c>
      <c r="P8" s="315">
        <v>46037</v>
      </c>
      <c r="Q8" s="315">
        <v>46044</v>
      </c>
      <c r="R8" s="315">
        <v>46051</v>
      </c>
      <c r="S8" s="316">
        <v>46058</v>
      </c>
      <c r="T8" s="316">
        <v>46065</v>
      </c>
      <c r="U8" s="316">
        <v>46072</v>
      </c>
      <c r="V8" s="316">
        <v>46079</v>
      </c>
      <c r="W8" s="316">
        <v>46086</v>
      </c>
      <c r="X8" s="316">
        <v>46093</v>
      </c>
      <c r="Y8" s="316">
        <v>46100</v>
      </c>
      <c r="Z8" s="316">
        <v>46107</v>
      </c>
      <c r="AA8" s="316">
        <v>46114</v>
      </c>
      <c r="AB8" s="316"/>
      <c r="AC8" s="316"/>
      <c r="AD8" s="316"/>
      <c r="AE8" s="316"/>
    </row>
    <row r="9" spans="1:31" ht="14.4">
      <c r="A9" s="317">
        <v>1</v>
      </c>
      <c r="B9" s="298" t="s">
        <v>516</v>
      </c>
      <c r="C9" s="295"/>
      <c r="D9" s="318">
        <v>1</v>
      </c>
      <c r="E9" s="295">
        <v>1</v>
      </c>
      <c r="F9" s="295">
        <v>1</v>
      </c>
      <c r="G9" s="295"/>
      <c r="H9" s="112">
        <v>1</v>
      </c>
      <c r="I9" s="112">
        <v>1</v>
      </c>
      <c r="J9" s="112">
        <v>1</v>
      </c>
      <c r="K9" s="112">
        <v>1</v>
      </c>
      <c r="L9" s="112"/>
      <c r="M9" s="112"/>
      <c r="N9" s="112">
        <v>1</v>
      </c>
      <c r="O9" s="112">
        <v>1</v>
      </c>
      <c r="P9" s="112"/>
      <c r="Q9" s="112">
        <v>1</v>
      </c>
      <c r="R9" s="112">
        <v>1</v>
      </c>
      <c r="S9" s="112">
        <v>1</v>
      </c>
      <c r="T9" s="112">
        <v>1</v>
      </c>
      <c r="U9" s="112">
        <v>1</v>
      </c>
      <c r="V9" s="112">
        <v>1</v>
      </c>
      <c r="W9" s="112">
        <v>1</v>
      </c>
      <c r="X9" s="112">
        <v>1</v>
      </c>
      <c r="Y9" s="112">
        <v>1</v>
      </c>
      <c r="Z9" s="112"/>
      <c r="AA9" s="112">
        <v>1</v>
      </c>
      <c r="AB9" s="112"/>
      <c r="AC9" s="112"/>
      <c r="AD9" s="112"/>
      <c r="AE9" s="112"/>
    </row>
    <row r="10" spans="1:31" ht="14.4" hidden="1">
      <c r="A10" s="319">
        <v>2</v>
      </c>
      <c r="B10" s="297" t="s">
        <v>170</v>
      </c>
      <c r="C10" s="298">
        <v>1</v>
      </c>
      <c r="D10" s="298">
        <v>1</v>
      </c>
      <c r="E10" s="298">
        <v>1</v>
      </c>
      <c r="F10" s="298">
        <v>1</v>
      </c>
      <c r="G10" s="298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</row>
    <row r="11" spans="1:31" ht="14.4">
      <c r="A11" s="319">
        <v>2</v>
      </c>
      <c r="B11" s="297" t="s">
        <v>497</v>
      </c>
      <c r="C11" s="298">
        <v>1</v>
      </c>
      <c r="D11" s="298"/>
      <c r="E11" s="298">
        <v>1</v>
      </c>
      <c r="F11" s="298"/>
      <c r="G11" s="298"/>
      <c r="H11" s="112">
        <v>1</v>
      </c>
      <c r="I11" s="112">
        <v>1</v>
      </c>
      <c r="J11" s="112">
        <v>1</v>
      </c>
      <c r="K11" s="112">
        <v>1</v>
      </c>
      <c r="L11" s="112">
        <v>1</v>
      </c>
      <c r="M11" s="112">
        <v>1</v>
      </c>
      <c r="N11" s="112">
        <v>1</v>
      </c>
      <c r="O11" s="112">
        <v>1</v>
      </c>
      <c r="P11" s="112">
        <v>1</v>
      </c>
      <c r="Q11" s="112">
        <v>1</v>
      </c>
      <c r="R11" s="112">
        <v>1</v>
      </c>
      <c r="S11" s="112">
        <v>1</v>
      </c>
      <c r="T11" s="112">
        <v>1</v>
      </c>
      <c r="U11" s="112">
        <v>1</v>
      </c>
      <c r="V11" s="112">
        <v>1</v>
      </c>
      <c r="W11" s="112">
        <v>1</v>
      </c>
      <c r="X11" s="112">
        <v>1</v>
      </c>
      <c r="Y11" s="112">
        <v>1</v>
      </c>
      <c r="Z11" s="112">
        <v>1</v>
      </c>
      <c r="AA11" s="112">
        <v>1</v>
      </c>
      <c r="AB11" s="112"/>
      <c r="AC11" s="112"/>
      <c r="AD11" s="112"/>
      <c r="AE11" s="112"/>
    </row>
    <row r="12" spans="1:31" ht="14.4">
      <c r="A12" s="319">
        <v>3</v>
      </c>
      <c r="B12" s="297" t="s">
        <v>517</v>
      </c>
      <c r="C12" s="298"/>
      <c r="D12" s="318">
        <v>1</v>
      </c>
      <c r="E12" s="298"/>
      <c r="F12" s="298">
        <v>1</v>
      </c>
      <c r="G12" s="298"/>
      <c r="H12" s="112"/>
      <c r="I12" s="112">
        <v>1</v>
      </c>
      <c r="J12" s="112"/>
      <c r="K12" s="112">
        <v>1</v>
      </c>
      <c r="L12" s="112">
        <v>1</v>
      </c>
      <c r="M12" s="112"/>
      <c r="N12" s="112"/>
      <c r="O12" s="112"/>
      <c r="P12" s="112"/>
      <c r="Q12" s="112">
        <v>1</v>
      </c>
      <c r="R12" s="112">
        <v>1</v>
      </c>
      <c r="S12" s="112">
        <v>1</v>
      </c>
      <c r="T12" s="112">
        <v>1</v>
      </c>
      <c r="U12" s="112">
        <v>1</v>
      </c>
      <c r="V12" s="112">
        <v>1</v>
      </c>
      <c r="W12" s="112">
        <v>1</v>
      </c>
      <c r="X12" s="112"/>
      <c r="Y12" s="112">
        <v>1</v>
      </c>
      <c r="Z12" s="112">
        <v>1</v>
      </c>
      <c r="AA12" s="112">
        <v>1</v>
      </c>
      <c r="AB12" s="112"/>
      <c r="AC12" s="112"/>
      <c r="AD12" s="112"/>
      <c r="AE12" s="112"/>
    </row>
    <row r="13" spans="1:31" ht="14.4">
      <c r="A13" s="320">
        <v>4</v>
      </c>
      <c r="B13" s="297" t="s">
        <v>518</v>
      </c>
      <c r="C13" s="301"/>
      <c r="D13" s="295"/>
      <c r="E13" s="295">
        <v>1</v>
      </c>
      <c r="F13" s="295">
        <v>1</v>
      </c>
      <c r="G13" s="301"/>
      <c r="H13" s="302"/>
      <c r="I13" s="302">
        <v>1</v>
      </c>
      <c r="J13" s="302">
        <v>1</v>
      </c>
      <c r="K13" s="302">
        <v>1</v>
      </c>
      <c r="L13" s="302">
        <v>1</v>
      </c>
      <c r="M13" s="302">
        <v>1</v>
      </c>
      <c r="N13" s="302">
        <v>1</v>
      </c>
      <c r="O13" s="302"/>
      <c r="P13" s="302">
        <v>1</v>
      </c>
      <c r="Q13" s="302">
        <v>1</v>
      </c>
      <c r="R13" s="302">
        <v>1</v>
      </c>
      <c r="S13" s="302">
        <v>1</v>
      </c>
      <c r="T13" s="302">
        <v>1</v>
      </c>
      <c r="U13" s="302">
        <v>1</v>
      </c>
      <c r="V13" s="302">
        <v>1</v>
      </c>
      <c r="W13" s="302">
        <v>1</v>
      </c>
      <c r="X13" s="302">
        <v>1</v>
      </c>
      <c r="Y13" s="302">
        <v>1</v>
      </c>
      <c r="Z13" s="302">
        <v>1</v>
      </c>
      <c r="AA13" s="302">
        <v>1</v>
      </c>
      <c r="AB13" s="302"/>
      <c r="AC13" s="302"/>
      <c r="AD13" s="302"/>
      <c r="AE13" s="302"/>
    </row>
    <row r="14" spans="1:31" ht="14.4">
      <c r="A14" s="320">
        <v>5</v>
      </c>
      <c r="B14" s="297" t="s">
        <v>302</v>
      </c>
      <c r="C14" s="301"/>
      <c r="D14" s="318"/>
      <c r="E14" s="295">
        <v>1</v>
      </c>
      <c r="F14" s="301"/>
      <c r="G14" s="301"/>
      <c r="H14" s="302">
        <v>1</v>
      </c>
      <c r="I14" s="302"/>
      <c r="J14" s="302"/>
      <c r="K14" s="302">
        <v>1</v>
      </c>
      <c r="L14" s="302">
        <v>1</v>
      </c>
      <c r="M14" s="302">
        <v>1</v>
      </c>
      <c r="N14" s="302">
        <v>1</v>
      </c>
      <c r="O14" s="302">
        <v>1</v>
      </c>
      <c r="P14" s="302">
        <v>1</v>
      </c>
      <c r="Q14" s="302">
        <v>1</v>
      </c>
      <c r="R14" s="302">
        <v>1</v>
      </c>
      <c r="S14" s="302">
        <v>1</v>
      </c>
      <c r="T14" s="302">
        <v>1</v>
      </c>
      <c r="U14" s="302"/>
      <c r="V14" s="302">
        <v>1</v>
      </c>
      <c r="W14" s="302">
        <v>1</v>
      </c>
      <c r="X14" s="302">
        <v>1</v>
      </c>
      <c r="Y14" s="302"/>
      <c r="Z14" s="302"/>
      <c r="AA14" s="302">
        <v>1</v>
      </c>
      <c r="AB14" s="302"/>
      <c r="AC14" s="302"/>
      <c r="AD14" s="302"/>
      <c r="AE14" s="302"/>
    </row>
    <row r="15" spans="1:31" ht="14.4">
      <c r="A15" s="320">
        <v>6</v>
      </c>
      <c r="B15" s="297" t="s">
        <v>519</v>
      </c>
      <c r="C15" s="301"/>
      <c r="D15" s="295"/>
      <c r="E15" s="295"/>
      <c r="F15" s="321" t="s">
        <v>206</v>
      </c>
      <c r="G15" s="301"/>
      <c r="H15" s="302"/>
      <c r="I15" s="302">
        <v>1</v>
      </c>
      <c r="J15" s="302">
        <v>1</v>
      </c>
      <c r="K15" s="302">
        <v>1</v>
      </c>
      <c r="L15" s="302">
        <v>1</v>
      </c>
      <c r="M15" s="302">
        <v>1</v>
      </c>
      <c r="N15" s="302"/>
      <c r="O15" s="302">
        <v>1</v>
      </c>
      <c r="P15" s="302">
        <v>1</v>
      </c>
      <c r="Q15" s="302">
        <v>1</v>
      </c>
      <c r="R15" s="302">
        <v>1</v>
      </c>
      <c r="S15" s="302">
        <v>1</v>
      </c>
      <c r="T15" s="302">
        <v>1</v>
      </c>
      <c r="U15" s="302">
        <v>1</v>
      </c>
      <c r="V15" s="302">
        <v>1</v>
      </c>
      <c r="W15" s="302">
        <v>1</v>
      </c>
      <c r="X15" s="302">
        <v>1</v>
      </c>
      <c r="Y15" s="302"/>
      <c r="Z15" s="302">
        <v>1</v>
      </c>
      <c r="AA15" s="302">
        <v>1</v>
      </c>
      <c r="AB15" s="302"/>
      <c r="AC15" s="302"/>
      <c r="AD15" s="302"/>
      <c r="AE15" s="302"/>
    </row>
    <row r="16" spans="1:31" ht="14.4">
      <c r="A16" s="320">
        <v>7</v>
      </c>
      <c r="B16" s="297" t="s">
        <v>520</v>
      </c>
      <c r="C16" s="301"/>
      <c r="D16" s="295"/>
      <c r="E16" s="295">
        <v>1</v>
      </c>
      <c r="F16" s="295">
        <v>1</v>
      </c>
      <c r="G16" s="301"/>
      <c r="H16" s="302">
        <v>1</v>
      </c>
      <c r="I16" s="302">
        <v>1</v>
      </c>
      <c r="J16" s="302">
        <v>1</v>
      </c>
      <c r="K16" s="302">
        <v>1</v>
      </c>
      <c r="L16" s="302"/>
      <c r="M16" s="302">
        <v>1</v>
      </c>
      <c r="N16" s="302"/>
      <c r="O16" s="302">
        <v>1</v>
      </c>
      <c r="P16" s="302">
        <v>1</v>
      </c>
      <c r="Q16" s="302">
        <v>1</v>
      </c>
      <c r="R16" s="302">
        <v>1</v>
      </c>
      <c r="S16" s="302">
        <v>1</v>
      </c>
      <c r="T16" s="302"/>
      <c r="U16" s="302">
        <v>1</v>
      </c>
      <c r="V16" s="302">
        <v>1</v>
      </c>
      <c r="W16" s="302"/>
      <c r="X16" s="302">
        <v>1</v>
      </c>
      <c r="Y16" s="302"/>
      <c r="Z16" s="302">
        <v>1</v>
      </c>
      <c r="AA16" s="302">
        <v>1</v>
      </c>
      <c r="AB16" s="302"/>
      <c r="AC16" s="302"/>
      <c r="AD16" s="302"/>
      <c r="AE16" s="302"/>
    </row>
    <row r="17" spans="1:31" ht="14.4">
      <c r="A17" s="320">
        <v>8</v>
      </c>
      <c r="B17" s="297" t="s">
        <v>82</v>
      </c>
      <c r="C17" s="301"/>
      <c r="D17" s="322" t="s">
        <v>206</v>
      </c>
      <c r="E17" s="295"/>
      <c r="F17" s="301"/>
      <c r="G17" s="301"/>
      <c r="H17" s="302">
        <v>1</v>
      </c>
      <c r="I17" s="302">
        <v>1</v>
      </c>
      <c r="J17" s="302"/>
      <c r="K17" s="302"/>
      <c r="L17" s="302"/>
      <c r="M17" s="302"/>
      <c r="N17" s="302"/>
      <c r="O17" s="302"/>
      <c r="P17" s="302">
        <v>1</v>
      </c>
      <c r="Q17" s="302"/>
      <c r="R17" s="302"/>
      <c r="S17" s="302"/>
      <c r="T17" s="302"/>
      <c r="U17" s="302"/>
      <c r="V17" s="302">
        <v>1</v>
      </c>
      <c r="W17" s="302">
        <v>1</v>
      </c>
      <c r="X17" s="302">
        <v>1</v>
      </c>
      <c r="Y17" s="302">
        <v>1</v>
      </c>
      <c r="Z17" s="302"/>
      <c r="AA17" s="302"/>
      <c r="AB17" s="302"/>
      <c r="AC17" s="302"/>
      <c r="AD17" s="302"/>
      <c r="AE17" s="302"/>
    </row>
    <row r="18" spans="1:31" ht="14.4">
      <c r="A18" s="320">
        <v>9</v>
      </c>
      <c r="B18" s="297" t="s">
        <v>521</v>
      </c>
      <c r="C18" s="301"/>
      <c r="D18" s="318"/>
      <c r="E18" s="295"/>
      <c r="F18" s="321" t="s">
        <v>206</v>
      </c>
      <c r="G18" s="301"/>
      <c r="H18" s="302"/>
      <c r="I18" s="302"/>
      <c r="J18" s="302"/>
      <c r="K18" s="302"/>
      <c r="L18" s="302">
        <v>1</v>
      </c>
      <c r="M18" s="302"/>
      <c r="N18" s="302"/>
      <c r="O18" s="302"/>
      <c r="P18" s="302"/>
      <c r="Q18" s="302">
        <v>1</v>
      </c>
      <c r="R18" s="302"/>
      <c r="S18" s="302">
        <v>1</v>
      </c>
      <c r="T18" s="302">
        <v>1</v>
      </c>
      <c r="U18" s="302"/>
      <c r="V18" s="302">
        <v>1</v>
      </c>
      <c r="W18" s="302">
        <v>1</v>
      </c>
      <c r="X18" s="302">
        <v>1</v>
      </c>
      <c r="Y18" s="302">
        <v>1</v>
      </c>
      <c r="Z18" s="302">
        <v>1</v>
      </c>
      <c r="AA18" s="302">
        <v>1</v>
      </c>
      <c r="AB18" s="302"/>
      <c r="AC18" s="302"/>
      <c r="AD18" s="302"/>
      <c r="AE18" s="302"/>
    </row>
    <row r="19" spans="1:31" ht="14.4" hidden="1">
      <c r="A19" s="320">
        <v>11</v>
      </c>
      <c r="B19" s="297" t="s">
        <v>522</v>
      </c>
      <c r="C19" s="301"/>
      <c r="D19" s="322" t="s">
        <v>195</v>
      </c>
      <c r="E19" s="295"/>
      <c r="F19" s="298"/>
      <c r="G19" s="301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  <c r="AC19" s="302"/>
      <c r="AD19" s="302"/>
      <c r="AE19" s="302"/>
    </row>
    <row r="20" spans="1:31" ht="14.4" hidden="1">
      <c r="A20" s="320">
        <v>12</v>
      </c>
      <c r="B20" s="297" t="s">
        <v>523</v>
      </c>
      <c r="C20" s="301"/>
      <c r="D20" s="322"/>
      <c r="E20" s="295"/>
      <c r="F20" s="298"/>
      <c r="G20" s="301"/>
      <c r="H20" s="302">
        <v>1</v>
      </c>
      <c r="I20" s="302">
        <v>1</v>
      </c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</row>
    <row r="21" spans="1:31" ht="14.4">
      <c r="A21" s="320">
        <v>11</v>
      </c>
      <c r="B21" s="297" t="s">
        <v>163</v>
      </c>
      <c r="C21" s="301"/>
      <c r="D21" s="322"/>
      <c r="E21" s="295"/>
      <c r="F21" s="298"/>
      <c r="G21" s="301"/>
      <c r="H21" s="302"/>
      <c r="I21" s="302"/>
      <c r="J21" s="302"/>
      <c r="K21" s="302">
        <v>1</v>
      </c>
      <c r="L21" s="302"/>
      <c r="M21" s="302"/>
      <c r="N21" s="302"/>
      <c r="O21" s="302"/>
      <c r="P21" s="302">
        <v>1</v>
      </c>
      <c r="Q21" s="302">
        <v>1</v>
      </c>
      <c r="R21" s="302">
        <v>1</v>
      </c>
      <c r="S21" s="302">
        <v>1</v>
      </c>
      <c r="T21" s="302">
        <v>1</v>
      </c>
      <c r="U21" s="302">
        <v>1</v>
      </c>
      <c r="V21" s="302"/>
      <c r="W21" s="302">
        <v>1</v>
      </c>
      <c r="X21" s="302">
        <v>1</v>
      </c>
      <c r="Y21" s="302">
        <v>1</v>
      </c>
      <c r="Z21" s="302"/>
      <c r="AA21" s="302"/>
      <c r="AB21" s="302"/>
      <c r="AC21" s="302"/>
      <c r="AD21" s="302"/>
      <c r="AE21" s="302"/>
    </row>
    <row r="22" spans="1:31" ht="14.4">
      <c r="A22" s="320">
        <v>12</v>
      </c>
      <c r="B22" s="297" t="s">
        <v>484</v>
      </c>
      <c r="C22" s="301"/>
      <c r="D22" s="322"/>
      <c r="E22" s="295"/>
      <c r="F22" s="298"/>
      <c r="G22" s="301"/>
      <c r="H22" s="302"/>
      <c r="I22" s="302"/>
      <c r="J22" s="302"/>
      <c r="K22" s="302">
        <v>1</v>
      </c>
      <c r="L22" s="302"/>
      <c r="M22" s="302">
        <v>1</v>
      </c>
      <c r="N22" s="302"/>
      <c r="O22" s="302"/>
      <c r="P22" s="302">
        <v>1</v>
      </c>
      <c r="Q22" s="302">
        <v>1</v>
      </c>
      <c r="R22" s="302">
        <v>1</v>
      </c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</row>
    <row r="23" spans="1:31" ht="14.4">
      <c r="A23" s="320">
        <v>13</v>
      </c>
      <c r="B23" s="297" t="s">
        <v>524</v>
      </c>
      <c r="C23" s="301"/>
      <c r="D23" s="322"/>
      <c r="E23" s="295"/>
      <c r="F23" s="298"/>
      <c r="G23" s="301"/>
      <c r="H23" s="302"/>
      <c r="I23" s="302"/>
      <c r="J23" s="302"/>
      <c r="K23" s="302"/>
      <c r="L23" s="302"/>
      <c r="M23" s="302"/>
      <c r="N23" s="302"/>
      <c r="O23" s="302"/>
      <c r="P23" s="302"/>
      <c r="Q23" s="302">
        <v>1</v>
      </c>
      <c r="R23" s="302">
        <v>1</v>
      </c>
      <c r="S23" s="302">
        <v>1</v>
      </c>
      <c r="T23" s="302">
        <v>1</v>
      </c>
      <c r="U23" s="302"/>
      <c r="V23" s="302">
        <v>1</v>
      </c>
      <c r="W23" s="302">
        <v>1</v>
      </c>
      <c r="X23" s="302"/>
      <c r="Y23" s="302">
        <v>1</v>
      </c>
      <c r="Z23" s="302">
        <v>1</v>
      </c>
      <c r="AA23" s="302">
        <v>1</v>
      </c>
      <c r="AB23" s="302"/>
      <c r="AC23" s="302"/>
      <c r="AD23" s="302"/>
      <c r="AE23" s="302"/>
    </row>
    <row r="24" spans="1:31" ht="14.4">
      <c r="A24" s="320"/>
      <c r="B24" s="297" t="s">
        <v>525</v>
      </c>
      <c r="C24" s="301"/>
      <c r="D24" s="322"/>
      <c r="E24" s="295"/>
      <c r="F24" s="298"/>
      <c r="G24" s="301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>
        <v>1</v>
      </c>
      <c r="T24" s="302">
        <v>1</v>
      </c>
      <c r="U24" s="302">
        <v>1</v>
      </c>
      <c r="V24" s="302">
        <v>1</v>
      </c>
      <c r="W24" s="302">
        <v>1</v>
      </c>
      <c r="X24" s="302"/>
      <c r="Y24" s="302">
        <v>1</v>
      </c>
      <c r="Z24" s="302">
        <v>1</v>
      </c>
      <c r="AA24" s="302"/>
      <c r="AB24" s="302"/>
      <c r="AC24" s="302"/>
      <c r="AD24" s="302"/>
      <c r="AE24" s="302"/>
    </row>
    <row r="25" spans="1:31" ht="14.4">
      <c r="A25" s="320"/>
      <c r="B25" s="297" t="s">
        <v>526</v>
      </c>
      <c r="C25" s="301"/>
      <c r="D25" s="322"/>
      <c r="E25" s="295"/>
      <c r="F25" s="298"/>
      <c r="G25" s="301"/>
      <c r="H25" s="302"/>
      <c r="I25" s="302"/>
      <c r="J25" s="302"/>
      <c r="K25" s="302"/>
      <c r="L25" s="302"/>
      <c r="M25" s="302"/>
      <c r="N25" s="302"/>
      <c r="O25" s="302"/>
      <c r="P25" s="302"/>
      <c r="Q25" s="302"/>
      <c r="R25" s="302"/>
      <c r="S25" s="302"/>
      <c r="T25" s="302">
        <v>1</v>
      </c>
      <c r="U25" s="302">
        <v>1</v>
      </c>
      <c r="V25" s="302">
        <v>1</v>
      </c>
      <c r="W25" s="302">
        <v>1</v>
      </c>
      <c r="X25" s="302">
        <v>1</v>
      </c>
      <c r="Y25" s="302">
        <v>1</v>
      </c>
      <c r="Z25" s="302">
        <v>1</v>
      </c>
      <c r="AA25" s="302">
        <v>1</v>
      </c>
      <c r="AB25" s="302"/>
      <c r="AC25" s="302"/>
      <c r="AD25" s="302"/>
      <c r="AE25" s="302"/>
    </row>
    <row r="26" spans="1:31" ht="14.4">
      <c r="A26" s="320"/>
      <c r="B26" s="297" t="s">
        <v>181</v>
      </c>
      <c r="C26" s="301"/>
      <c r="D26" s="322"/>
      <c r="E26" s="295"/>
      <c r="F26" s="298"/>
      <c r="G26" s="301"/>
      <c r="H26" s="302"/>
      <c r="I26" s="302"/>
      <c r="J26" s="302"/>
      <c r="K26" s="302"/>
      <c r="L26" s="302"/>
      <c r="M26" s="302"/>
      <c r="N26" s="302"/>
      <c r="O26" s="302"/>
      <c r="P26" s="302"/>
      <c r="Q26" s="302"/>
      <c r="R26" s="302"/>
      <c r="S26" s="302">
        <v>1</v>
      </c>
      <c r="T26" s="302"/>
      <c r="U26" s="302">
        <v>1</v>
      </c>
      <c r="V26" s="302">
        <v>1</v>
      </c>
      <c r="W26" s="302">
        <v>1</v>
      </c>
      <c r="X26" s="302">
        <v>1</v>
      </c>
      <c r="Y26" s="302">
        <v>1</v>
      </c>
      <c r="Z26" s="302">
        <v>1</v>
      </c>
      <c r="AA26" s="302">
        <v>1</v>
      </c>
      <c r="AB26" s="302"/>
      <c r="AC26" s="302"/>
      <c r="AD26" s="302"/>
      <c r="AE26" s="302"/>
    </row>
    <row r="27" spans="1:31" ht="14.4">
      <c r="A27" s="320"/>
      <c r="B27" s="297" t="s">
        <v>523</v>
      </c>
      <c r="C27" s="301"/>
      <c r="D27" s="322"/>
      <c r="E27" s="295"/>
      <c r="F27" s="298"/>
      <c r="G27" s="301"/>
      <c r="H27" s="302"/>
      <c r="I27" s="302"/>
      <c r="J27" s="302"/>
      <c r="K27" s="302"/>
      <c r="L27" s="302"/>
      <c r="M27" s="302"/>
      <c r="N27" s="302"/>
      <c r="O27" s="302"/>
      <c r="P27" s="302"/>
      <c r="Q27" s="302"/>
      <c r="R27" s="302"/>
      <c r="S27" s="302"/>
      <c r="T27" s="302"/>
      <c r="U27" s="302"/>
      <c r="V27" s="302"/>
      <c r="W27" s="302"/>
      <c r="X27" s="302"/>
      <c r="Y27" s="302"/>
      <c r="Z27" s="302"/>
      <c r="AA27" s="302">
        <v>1</v>
      </c>
      <c r="AB27" s="302"/>
      <c r="AC27" s="302"/>
      <c r="AD27" s="302"/>
      <c r="AE27" s="302"/>
    </row>
    <row r="28" spans="1:31" ht="14.25" customHeight="1">
      <c r="A28" s="320"/>
      <c r="B28" s="323" t="s">
        <v>147</v>
      </c>
      <c r="C28" s="324">
        <v>2</v>
      </c>
      <c r="D28" s="324">
        <v>3</v>
      </c>
      <c r="E28" s="324">
        <v>6</v>
      </c>
      <c r="F28" s="324">
        <v>5</v>
      </c>
      <c r="G28" s="324"/>
      <c r="H28" s="102">
        <v>6</v>
      </c>
      <c r="I28" s="102">
        <v>8</v>
      </c>
      <c r="J28" s="102">
        <v>6</v>
      </c>
      <c r="K28" s="102">
        <v>10</v>
      </c>
      <c r="L28" s="102">
        <v>6</v>
      </c>
      <c r="M28" s="102">
        <v>6</v>
      </c>
      <c r="N28" s="102">
        <v>4</v>
      </c>
      <c r="O28" s="278">
        <v>5</v>
      </c>
      <c r="P28" s="278">
        <v>8</v>
      </c>
      <c r="Q28" s="278">
        <v>11</v>
      </c>
      <c r="R28" s="278">
        <v>10</v>
      </c>
      <c r="S28" s="102">
        <v>12</v>
      </c>
      <c r="T28" s="102">
        <v>11</v>
      </c>
      <c r="U28" s="102">
        <v>10</v>
      </c>
      <c r="V28" s="102">
        <v>13</v>
      </c>
      <c r="W28" s="102">
        <v>13</v>
      </c>
      <c r="X28" s="102">
        <v>11</v>
      </c>
      <c r="Y28" s="102">
        <v>11</v>
      </c>
      <c r="Z28" s="102">
        <v>10</v>
      </c>
      <c r="AA28" s="102">
        <v>12</v>
      </c>
      <c r="AB28" s="102"/>
      <c r="AC28" s="102"/>
      <c r="AD28" s="102"/>
      <c r="AE28" s="102"/>
    </row>
    <row r="29" spans="1:31" ht="14.4">
      <c r="A29" s="193"/>
      <c r="B29" s="193"/>
      <c r="C29" s="193"/>
      <c r="D29" s="193"/>
      <c r="E29" s="193"/>
      <c r="F29" s="193">
        <v>16</v>
      </c>
      <c r="G29" s="193"/>
      <c r="H29" s="193"/>
      <c r="I29" s="193"/>
      <c r="J29" s="193">
        <v>20</v>
      </c>
      <c r="K29" s="193"/>
      <c r="L29" s="193"/>
      <c r="M29" s="193"/>
      <c r="N29" s="193">
        <v>26</v>
      </c>
      <c r="O29" s="193"/>
      <c r="P29" s="193"/>
      <c r="Q29" s="193"/>
      <c r="R29" s="193">
        <v>34</v>
      </c>
      <c r="S29" s="193"/>
      <c r="T29" s="193"/>
      <c r="U29" s="193"/>
      <c r="V29" s="193">
        <v>46</v>
      </c>
      <c r="W29" s="193"/>
      <c r="X29" s="193"/>
      <c r="Y29" s="193"/>
      <c r="Z29" s="193">
        <v>45</v>
      </c>
      <c r="AA29" s="193"/>
      <c r="AB29" s="193"/>
      <c r="AC29" s="193"/>
      <c r="AD29" s="193"/>
      <c r="AE29" s="193"/>
    </row>
    <row r="30" spans="1:31" ht="13.2">
      <c r="E30" s="114" t="s">
        <v>128</v>
      </c>
      <c r="F30" s="114" t="s">
        <v>527</v>
      </c>
      <c r="I30" s="95" t="s">
        <v>128</v>
      </c>
      <c r="J30" s="114" t="s">
        <v>150</v>
      </c>
      <c r="M30" s="115" t="s">
        <v>128</v>
      </c>
      <c r="N30" s="115">
        <v>78000</v>
      </c>
      <c r="Q30" s="95" t="s">
        <v>128</v>
      </c>
      <c r="R30" s="114" t="s">
        <v>528</v>
      </c>
      <c r="U30" s="95" t="s">
        <v>128</v>
      </c>
      <c r="V30" s="95">
        <f>V29*B5</f>
        <v>138000</v>
      </c>
      <c r="Y30" s="95" t="s">
        <v>128</v>
      </c>
      <c r="Z30" s="95">
        <v>135000</v>
      </c>
    </row>
    <row r="33" spans="1:31" ht="14.4">
      <c r="A33" s="100"/>
      <c r="B33" s="325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5">
        <v>0</v>
      </c>
      <c r="AA33" s="204"/>
      <c r="AB33" s="204"/>
      <c r="AC33" s="204"/>
      <c r="AD33" s="204"/>
      <c r="AE33" s="204"/>
    </row>
    <row r="34" spans="1:31" ht="14.4">
      <c r="A34" s="159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</row>
    <row r="35" spans="1:31" ht="14.4">
      <c r="A35" s="159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</row>
    <row r="36" spans="1:31" ht="14.4">
      <c r="A36" s="159"/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</row>
    <row r="37" spans="1:31" ht="14.4">
      <c r="A37" s="326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G1022"/>
  <sheetViews>
    <sheetView workbookViewId="0"/>
  </sheetViews>
  <sheetFormatPr defaultColWidth="12.6640625" defaultRowHeight="15.75" customHeight="1"/>
  <cols>
    <col min="1" max="1" width="3" customWidth="1"/>
    <col min="2" max="2" width="18.109375" customWidth="1"/>
    <col min="3" max="10" width="12.6640625" hidden="1"/>
    <col min="11" max="11" width="17.109375" hidden="1" customWidth="1"/>
    <col min="12" max="12" width="12.6640625" hidden="1"/>
    <col min="13" max="13" width="20.21875" hidden="1" customWidth="1"/>
    <col min="14" max="14" width="13.33203125" hidden="1" customWidth="1"/>
    <col min="15" max="15" width="11.88671875" hidden="1" customWidth="1"/>
    <col min="16" max="16" width="12.21875" hidden="1" customWidth="1"/>
    <col min="17" max="29" width="10.6640625" hidden="1" customWidth="1"/>
    <col min="30" max="33" width="10.6640625" customWidth="1"/>
  </cols>
  <sheetData>
    <row r="1" spans="1:33" ht="13.2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</row>
    <row r="2" spans="1:33" ht="24">
      <c r="A2" s="215"/>
      <c r="B2" s="330" t="s">
        <v>533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</row>
    <row r="3" spans="1:33" ht="14.4">
      <c r="A3" s="215"/>
      <c r="B3" s="331" t="s">
        <v>534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</row>
    <row r="4" spans="1:33" ht="13.2">
      <c r="A4" s="215"/>
      <c r="B4" s="332" t="s">
        <v>535</v>
      </c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</row>
    <row r="5" spans="1:33" ht="13.2" hidden="1">
      <c r="A5" s="215"/>
      <c r="B5" s="333">
        <v>3000</v>
      </c>
      <c r="C5" s="334" t="s">
        <v>453</v>
      </c>
      <c r="D5" s="215" t="s">
        <v>536</v>
      </c>
      <c r="E5" s="215"/>
      <c r="F5" s="33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</row>
    <row r="6" spans="1:33" ht="13.2">
      <c r="A6" s="215"/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  <c r="AD6" s="215"/>
      <c r="AE6" s="215"/>
      <c r="AF6" s="215"/>
      <c r="AG6" s="215"/>
    </row>
    <row r="7" spans="1:33" ht="13.2">
      <c r="A7" s="215"/>
      <c r="B7" s="215" t="s">
        <v>453</v>
      </c>
      <c r="C7" s="215" t="s">
        <v>453</v>
      </c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 t="s">
        <v>54</v>
      </c>
      <c r="O7" s="215" t="s">
        <v>522</v>
      </c>
      <c r="P7" s="215" t="s">
        <v>54</v>
      </c>
      <c r="Q7" s="215"/>
      <c r="R7" s="215" t="s">
        <v>82</v>
      </c>
      <c r="S7" s="215" t="s">
        <v>537</v>
      </c>
      <c r="T7" s="215" t="s">
        <v>82</v>
      </c>
      <c r="U7" s="215" t="s">
        <v>538</v>
      </c>
      <c r="V7" s="215"/>
      <c r="W7" s="215"/>
      <c r="X7" s="215"/>
      <c r="Y7" s="215"/>
      <c r="Z7" s="215"/>
      <c r="AA7" s="215"/>
      <c r="AB7" s="215"/>
      <c r="AC7" s="215"/>
      <c r="AD7" s="215"/>
      <c r="AE7" s="215"/>
      <c r="AF7" s="215"/>
      <c r="AG7" s="215"/>
    </row>
    <row r="8" spans="1:33" ht="14.4">
      <c r="A8" s="336" t="s">
        <v>212</v>
      </c>
      <c r="B8" s="336" t="s">
        <v>232</v>
      </c>
      <c r="C8" s="337">
        <v>45919</v>
      </c>
      <c r="D8" s="338">
        <v>45926</v>
      </c>
      <c r="E8" s="338">
        <v>45933</v>
      </c>
      <c r="F8" s="338">
        <v>45940</v>
      </c>
      <c r="G8" s="339">
        <v>45947</v>
      </c>
      <c r="H8" s="339">
        <v>45954</v>
      </c>
      <c r="I8" s="339">
        <v>45961</v>
      </c>
      <c r="J8" s="339">
        <v>45968</v>
      </c>
      <c r="K8" s="340" t="s">
        <v>539</v>
      </c>
      <c r="L8" s="339">
        <v>45982</v>
      </c>
      <c r="M8" s="339">
        <v>45989</v>
      </c>
      <c r="N8" s="339">
        <v>45996</v>
      </c>
      <c r="O8" s="339">
        <v>46003</v>
      </c>
      <c r="P8" s="339">
        <v>46010</v>
      </c>
      <c r="Q8" s="339">
        <v>46017</v>
      </c>
      <c r="R8" s="339">
        <v>46031</v>
      </c>
      <c r="S8" s="339">
        <v>46038</v>
      </c>
      <c r="T8" s="339">
        <v>46045</v>
      </c>
      <c r="U8" s="340" t="s">
        <v>540</v>
      </c>
      <c r="V8" s="340">
        <v>6</v>
      </c>
      <c r="W8" s="340">
        <v>13</v>
      </c>
      <c r="X8" s="340">
        <v>20</v>
      </c>
      <c r="Y8" s="340">
        <v>27</v>
      </c>
      <c r="Z8" s="341">
        <v>46087</v>
      </c>
      <c r="AA8" s="341">
        <v>46094</v>
      </c>
      <c r="AB8" s="341">
        <v>46101</v>
      </c>
      <c r="AC8" s="341">
        <v>46108</v>
      </c>
      <c r="AD8" s="341"/>
      <c r="AE8" s="341"/>
      <c r="AF8" s="341"/>
      <c r="AG8" s="341"/>
    </row>
    <row r="9" spans="1:33" ht="14.4">
      <c r="A9" s="342">
        <v>1</v>
      </c>
      <c r="B9" s="343" t="s">
        <v>121</v>
      </c>
      <c r="C9" s="234" t="s">
        <v>171</v>
      </c>
      <c r="D9" s="234">
        <v>1</v>
      </c>
      <c r="E9" s="234">
        <v>1</v>
      </c>
      <c r="F9" s="234">
        <v>1</v>
      </c>
      <c r="G9" s="234"/>
      <c r="H9" s="234"/>
      <c r="I9" s="234"/>
      <c r="J9" s="234"/>
      <c r="K9" s="234"/>
      <c r="L9" s="234">
        <v>1</v>
      </c>
      <c r="M9" s="234"/>
      <c r="N9" s="234"/>
      <c r="O9" s="234">
        <v>1</v>
      </c>
      <c r="P9" s="234"/>
      <c r="Q9" s="234"/>
      <c r="R9" s="234">
        <v>1</v>
      </c>
      <c r="S9" s="234">
        <v>1</v>
      </c>
      <c r="T9" s="234"/>
      <c r="U9" s="234"/>
      <c r="V9" s="243">
        <v>1</v>
      </c>
      <c r="W9" s="243"/>
      <c r="X9" s="243">
        <v>1</v>
      </c>
      <c r="Y9" s="243">
        <v>1</v>
      </c>
      <c r="Z9" s="243">
        <v>1</v>
      </c>
      <c r="AA9" s="243">
        <v>1</v>
      </c>
      <c r="AB9" s="243">
        <v>1</v>
      </c>
      <c r="AC9" s="243">
        <v>1</v>
      </c>
      <c r="AD9" s="243"/>
      <c r="AE9" s="243"/>
      <c r="AF9" s="243"/>
      <c r="AG9" s="243"/>
    </row>
    <row r="10" spans="1:33" ht="14.4">
      <c r="A10" s="342">
        <v>2</v>
      </c>
      <c r="B10" s="343" t="s">
        <v>225</v>
      </c>
      <c r="C10" s="234" t="s">
        <v>159</v>
      </c>
      <c r="D10" s="234">
        <v>1</v>
      </c>
      <c r="E10" s="234">
        <v>1</v>
      </c>
      <c r="F10" s="234">
        <v>1</v>
      </c>
      <c r="G10" s="234"/>
      <c r="H10" s="234"/>
      <c r="I10" s="234"/>
      <c r="J10" s="234"/>
      <c r="K10" s="234"/>
      <c r="L10" s="234"/>
      <c r="M10" s="234"/>
      <c r="N10" s="234">
        <v>1</v>
      </c>
      <c r="O10" s="234"/>
      <c r="P10" s="234"/>
      <c r="Q10" s="234"/>
      <c r="R10" s="234">
        <v>1</v>
      </c>
      <c r="S10" s="234">
        <v>1</v>
      </c>
      <c r="T10" s="234">
        <v>1</v>
      </c>
      <c r="U10" s="234"/>
      <c r="V10" s="243"/>
      <c r="W10" s="243"/>
      <c r="X10" s="243">
        <v>1</v>
      </c>
      <c r="Y10" s="243"/>
      <c r="Z10" s="243">
        <v>1</v>
      </c>
      <c r="AA10" s="243">
        <v>1</v>
      </c>
      <c r="AB10" s="243">
        <v>1</v>
      </c>
      <c r="AC10" s="243">
        <v>1</v>
      </c>
      <c r="AD10" s="243"/>
      <c r="AE10" s="243"/>
      <c r="AF10" s="243"/>
      <c r="AG10" s="243"/>
    </row>
    <row r="11" spans="1:33" ht="14.4">
      <c r="A11" s="342">
        <v>3</v>
      </c>
      <c r="B11" s="343" t="s">
        <v>541</v>
      </c>
      <c r="C11" s="234"/>
      <c r="D11" s="234">
        <v>1</v>
      </c>
      <c r="E11" s="234">
        <v>1</v>
      </c>
      <c r="F11" s="234">
        <v>1</v>
      </c>
      <c r="G11" s="234"/>
      <c r="H11" s="234"/>
      <c r="I11" s="234"/>
      <c r="J11" s="234"/>
      <c r="K11" s="234"/>
      <c r="L11" s="234">
        <v>1</v>
      </c>
      <c r="M11" s="234"/>
      <c r="N11" s="234"/>
      <c r="O11" s="234">
        <v>1</v>
      </c>
      <c r="P11" s="234"/>
      <c r="Q11" s="234"/>
      <c r="R11" s="234">
        <v>1</v>
      </c>
      <c r="S11" s="234">
        <v>1</v>
      </c>
      <c r="T11" s="234">
        <v>1</v>
      </c>
      <c r="U11" s="234"/>
      <c r="V11" s="243">
        <v>1</v>
      </c>
      <c r="W11" s="243">
        <v>1</v>
      </c>
      <c r="X11" s="243"/>
      <c r="Y11" s="243">
        <v>1</v>
      </c>
      <c r="Z11" s="243">
        <v>1</v>
      </c>
      <c r="AA11" s="243">
        <v>1</v>
      </c>
      <c r="AB11" s="243">
        <v>1</v>
      </c>
      <c r="AC11" s="243">
        <v>1</v>
      </c>
      <c r="AD11" s="243"/>
      <c r="AE11" s="243"/>
      <c r="AF11" s="243"/>
      <c r="AG11" s="243"/>
    </row>
    <row r="12" spans="1:33" ht="14.4">
      <c r="A12" s="342">
        <v>4</v>
      </c>
      <c r="B12" s="343" t="s">
        <v>460</v>
      </c>
      <c r="C12" s="234"/>
      <c r="D12" s="234">
        <v>1</v>
      </c>
      <c r="E12" s="234">
        <v>1</v>
      </c>
      <c r="F12" s="234">
        <v>1</v>
      </c>
      <c r="G12" s="234">
        <v>1</v>
      </c>
      <c r="H12" s="234">
        <v>1</v>
      </c>
      <c r="I12" s="234"/>
      <c r="J12" s="234">
        <v>1</v>
      </c>
      <c r="K12" s="234"/>
      <c r="L12" s="234"/>
      <c r="M12" s="234"/>
      <c r="N12" s="234"/>
      <c r="O12" s="234">
        <v>1</v>
      </c>
      <c r="P12" s="234"/>
      <c r="Q12" s="234"/>
      <c r="R12" s="234">
        <v>1</v>
      </c>
      <c r="S12" s="234"/>
      <c r="T12" s="234">
        <v>1</v>
      </c>
      <c r="U12" s="234">
        <v>1</v>
      </c>
      <c r="V12" s="243"/>
      <c r="W12" s="243">
        <v>1</v>
      </c>
      <c r="X12" s="243"/>
      <c r="Y12" s="243">
        <v>1</v>
      </c>
      <c r="Z12" s="243"/>
      <c r="AA12" s="243">
        <v>1</v>
      </c>
      <c r="AB12" s="243"/>
      <c r="AC12" s="243"/>
      <c r="AD12" s="243"/>
      <c r="AE12" s="243"/>
      <c r="AF12" s="243"/>
      <c r="AG12" s="243"/>
    </row>
    <row r="13" spans="1:33" ht="14.4" hidden="1">
      <c r="A13" s="342">
        <v>5</v>
      </c>
      <c r="B13" s="343" t="s">
        <v>542</v>
      </c>
      <c r="C13" s="234"/>
      <c r="D13" s="234">
        <v>1</v>
      </c>
      <c r="E13" s="234"/>
      <c r="F13" s="234">
        <v>1</v>
      </c>
      <c r="G13" s="234"/>
      <c r="H13" s="234"/>
      <c r="I13" s="234"/>
      <c r="J13" s="234"/>
      <c r="K13" s="234"/>
      <c r="L13" s="234">
        <v>1</v>
      </c>
      <c r="M13" s="234">
        <v>1</v>
      </c>
      <c r="N13" s="234"/>
      <c r="O13" s="234"/>
      <c r="P13" s="234">
        <v>1</v>
      </c>
      <c r="Q13" s="234"/>
      <c r="R13" s="234">
        <v>1</v>
      </c>
      <c r="S13" s="234"/>
      <c r="T13" s="234"/>
      <c r="U13" s="234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</row>
    <row r="14" spans="1:33" ht="13.2" hidden="1">
      <c r="A14" s="340">
        <v>6</v>
      </c>
      <c r="B14" s="234" t="s">
        <v>543</v>
      </c>
      <c r="C14" s="234"/>
      <c r="D14" s="234">
        <v>1</v>
      </c>
      <c r="E14" s="234">
        <v>1</v>
      </c>
      <c r="F14" s="234">
        <v>1</v>
      </c>
      <c r="G14" s="234">
        <v>1</v>
      </c>
      <c r="H14" s="234">
        <v>1</v>
      </c>
      <c r="I14" s="234">
        <v>1</v>
      </c>
      <c r="J14" s="234"/>
      <c r="K14" s="234"/>
      <c r="L14" s="234">
        <v>1</v>
      </c>
      <c r="M14" s="234">
        <v>1</v>
      </c>
      <c r="N14" s="234">
        <v>1</v>
      </c>
      <c r="O14" s="234">
        <v>1</v>
      </c>
      <c r="P14" s="234">
        <v>1</v>
      </c>
      <c r="Q14" s="234"/>
      <c r="R14" s="234">
        <v>1</v>
      </c>
      <c r="S14" s="234">
        <v>1</v>
      </c>
      <c r="T14" s="234"/>
      <c r="U14" s="234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</row>
    <row r="15" spans="1:33" ht="13.2" hidden="1">
      <c r="A15" s="340">
        <v>7</v>
      </c>
      <c r="B15" s="234" t="s">
        <v>544</v>
      </c>
      <c r="C15" s="234"/>
      <c r="D15" s="234">
        <v>1</v>
      </c>
      <c r="E15" s="234"/>
      <c r="F15" s="234">
        <v>1</v>
      </c>
      <c r="G15" s="234"/>
      <c r="H15" s="234"/>
      <c r="I15" s="234"/>
      <c r="J15" s="234" t="s">
        <v>545</v>
      </c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</row>
    <row r="16" spans="1:33" ht="13.2" hidden="1">
      <c r="A16" s="340">
        <v>8</v>
      </c>
      <c r="B16" s="234" t="s">
        <v>356</v>
      </c>
      <c r="C16" s="234"/>
      <c r="D16" s="234">
        <v>1</v>
      </c>
      <c r="E16" s="234"/>
      <c r="F16" s="234">
        <v>1</v>
      </c>
      <c r="G16" s="234">
        <v>1</v>
      </c>
      <c r="H16" s="234">
        <v>1</v>
      </c>
      <c r="I16" s="234"/>
      <c r="J16" s="234"/>
      <c r="K16" s="234"/>
      <c r="L16" s="234"/>
      <c r="M16" s="234">
        <v>1</v>
      </c>
      <c r="N16" s="234"/>
      <c r="O16" s="234"/>
      <c r="P16" s="234"/>
      <c r="Q16" s="234"/>
      <c r="R16" s="234"/>
      <c r="S16" s="234"/>
      <c r="T16" s="234"/>
      <c r="U16" s="234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</row>
    <row r="17" spans="1:33" ht="13.2" hidden="1">
      <c r="A17" s="340">
        <v>10</v>
      </c>
      <c r="B17" s="234" t="s">
        <v>525</v>
      </c>
      <c r="C17" s="234"/>
      <c r="D17" s="234">
        <v>1</v>
      </c>
      <c r="E17" s="234"/>
      <c r="F17" s="234"/>
      <c r="G17" s="234">
        <v>1</v>
      </c>
      <c r="H17" s="234"/>
      <c r="I17" s="234"/>
      <c r="J17" s="234"/>
      <c r="K17" s="234"/>
      <c r="L17" s="234"/>
      <c r="M17" s="234"/>
      <c r="N17" s="234">
        <v>1</v>
      </c>
      <c r="O17" s="234"/>
      <c r="P17" s="234">
        <v>1</v>
      </c>
      <c r="Q17" s="234"/>
      <c r="R17" s="234"/>
      <c r="S17" s="234"/>
      <c r="T17" s="234"/>
      <c r="U17" s="234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</row>
    <row r="18" spans="1:33" ht="13.2" hidden="1">
      <c r="A18" s="340">
        <v>11</v>
      </c>
      <c r="B18" s="234" t="s">
        <v>546</v>
      </c>
      <c r="C18" s="234"/>
      <c r="D18" s="234">
        <v>1</v>
      </c>
      <c r="E18" s="234"/>
      <c r="F18" s="234"/>
      <c r="G18" s="234">
        <v>1</v>
      </c>
      <c r="H18" s="234">
        <v>1</v>
      </c>
      <c r="I18" s="234"/>
      <c r="J18" s="234"/>
      <c r="K18" s="234"/>
      <c r="L18" s="234"/>
      <c r="M18" s="234">
        <v>1</v>
      </c>
      <c r="N18" s="234"/>
      <c r="O18" s="234"/>
      <c r="P18" s="234">
        <v>1</v>
      </c>
      <c r="Q18" s="234"/>
      <c r="R18" s="234"/>
      <c r="S18" s="234"/>
      <c r="T18" s="234"/>
      <c r="U18" s="234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</row>
    <row r="19" spans="1:33" ht="13.2" hidden="1">
      <c r="A19" s="340">
        <v>12</v>
      </c>
      <c r="B19" s="234" t="s">
        <v>547</v>
      </c>
      <c r="C19" s="234"/>
      <c r="D19" s="234"/>
      <c r="E19" s="234"/>
      <c r="F19" s="234">
        <v>1</v>
      </c>
      <c r="G19" s="234"/>
      <c r="H19" s="234"/>
      <c r="I19" s="234"/>
      <c r="J19" s="234"/>
      <c r="K19" s="234"/>
      <c r="L19" s="234"/>
      <c r="M19" s="234"/>
      <c r="N19" s="234">
        <v>1</v>
      </c>
      <c r="O19" s="234"/>
      <c r="P19" s="234"/>
      <c r="Q19" s="234"/>
      <c r="R19" s="234"/>
      <c r="S19" s="234"/>
      <c r="T19" s="234"/>
      <c r="U19" s="234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</row>
    <row r="20" spans="1:33" ht="13.2">
      <c r="A20" s="340">
        <v>13</v>
      </c>
      <c r="B20" s="234" t="s">
        <v>548</v>
      </c>
      <c r="C20" s="234"/>
      <c r="D20" s="234"/>
      <c r="E20" s="234">
        <v>1</v>
      </c>
      <c r="F20" s="234">
        <v>1</v>
      </c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 t="s">
        <v>174</v>
      </c>
      <c r="V20" s="243">
        <v>1</v>
      </c>
      <c r="W20" s="243"/>
      <c r="X20" s="243"/>
      <c r="Y20" s="243">
        <v>1</v>
      </c>
      <c r="Z20" s="243">
        <v>1</v>
      </c>
      <c r="AA20" s="243">
        <v>1</v>
      </c>
      <c r="AB20" s="243"/>
      <c r="AC20" s="243"/>
      <c r="AD20" s="243"/>
      <c r="AE20" s="243"/>
      <c r="AF20" s="243"/>
      <c r="AG20" s="243"/>
    </row>
    <row r="21" spans="1:33" ht="13.2">
      <c r="A21" s="340">
        <v>14</v>
      </c>
      <c r="B21" s="234" t="s">
        <v>549</v>
      </c>
      <c r="C21" s="234"/>
      <c r="D21" s="234"/>
      <c r="E21" s="234"/>
      <c r="F21" s="234"/>
      <c r="G21" s="234">
        <v>1</v>
      </c>
      <c r="H21" s="234">
        <v>1</v>
      </c>
      <c r="I21" s="234">
        <v>1</v>
      </c>
      <c r="J21" s="234"/>
      <c r="K21" s="234"/>
      <c r="L21" s="234">
        <v>1</v>
      </c>
      <c r="M21" s="234">
        <v>1</v>
      </c>
      <c r="N21" s="234"/>
      <c r="O21" s="234">
        <v>1</v>
      </c>
      <c r="P21" s="234"/>
      <c r="Q21" s="234"/>
      <c r="R21" s="234">
        <v>1</v>
      </c>
      <c r="S21" s="234">
        <v>1</v>
      </c>
      <c r="T21" s="234">
        <v>1</v>
      </c>
      <c r="U21" s="234">
        <v>1</v>
      </c>
      <c r="V21" s="243">
        <v>1</v>
      </c>
      <c r="W21" s="243">
        <v>1</v>
      </c>
      <c r="X21" s="243">
        <v>1</v>
      </c>
      <c r="Y21" s="243">
        <v>1</v>
      </c>
      <c r="Z21" s="243">
        <v>1</v>
      </c>
      <c r="AA21" s="243">
        <v>1</v>
      </c>
      <c r="AB21" s="243"/>
      <c r="AC21" s="243">
        <v>1</v>
      </c>
      <c r="AD21" s="243"/>
      <c r="AE21" s="243"/>
      <c r="AF21" s="243"/>
      <c r="AG21" s="243"/>
    </row>
    <row r="22" spans="1:33" ht="13.2">
      <c r="A22" s="340">
        <v>16</v>
      </c>
      <c r="B22" s="234" t="s">
        <v>550</v>
      </c>
      <c r="C22" s="234"/>
      <c r="D22" s="234"/>
      <c r="E22" s="234"/>
      <c r="F22" s="234"/>
      <c r="G22" s="234">
        <v>1</v>
      </c>
      <c r="H22" s="234">
        <v>1</v>
      </c>
      <c r="I22" s="234">
        <v>1</v>
      </c>
      <c r="J22" s="234">
        <v>1</v>
      </c>
      <c r="K22" s="234"/>
      <c r="L22" s="234">
        <v>1</v>
      </c>
      <c r="M22" s="234">
        <v>1</v>
      </c>
      <c r="N22" s="234">
        <v>1</v>
      </c>
      <c r="O22" s="234"/>
      <c r="P22" s="234"/>
      <c r="Q22" s="234"/>
      <c r="R22" s="234">
        <v>1</v>
      </c>
      <c r="S22" s="234">
        <v>1</v>
      </c>
      <c r="T22" s="234">
        <v>1</v>
      </c>
      <c r="U22" s="234">
        <v>1</v>
      </c>
      <c r="V22" s="243">
        <v>1</v>
      </c>
      <c r="W22" s="243">
        <v>1</v>
      </c>
      <c r="X22" s="243">
        <v>1</v>
      </c>
      <c r="Y22" s="243">
        <v>1</v>
      </c>
      <c r="Z22" s="243">
        <v>1</v>
      </c>
      <c r="AA22" s="243">
        <v>1</v>
      </c>
      <c r="AB22" s="243">
        <v>1</v>
      </c>
      <c r="AC22" s="243">
        <v>1</v>
      </c>
      <c r="AD22" s="243"/>
      <c r="AE22" s="243"/>
      <c r="AF22" s="243"/>
      <c r="AG22" s="243"/>
    </row>
    <row r="23" spans="1:33" ht="13.2" hidden="1">
      <c r="A23" s="340">
        <v>17</v>
      </c>
      <c r="B23" s="234" t="s">
        <v>551</v>
      </c>
      <c r="C23" s="234"/>
      <c r="D23" s="234"/>
      <c r="E23" s="234"/>
      <c r="F23" s="234"/>
      <c r="G23" s="234"/>
      <c r="H23" s="234">
        <v>1</v>
      </c>
      <c r="I23" s="234"/>
      <c r="J23" s="234"/>
      <c r="K23" s="234"/>
      <c r="L23" s="234"/>
      <c r="M23" s="234"/>
      <c r="N23" s="234"/>
      <c r="O23" s="234"/>
      <c r="P23" s="234">
        <v>1</v>
      </c>
      <c r="Q23" s="234"/>
      <c r="R23" s="234"/>
      <c r="S23" s="234"/>
      <c r="T23" s="234"/>
      <c r="U23" s="234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</row>
    <row r="24" spans="1:33" ht="13.2" hidden="1">
      <c r="A24" s="340">
        <v>18</v>
      </c>
      <c r="B24" s="234" t="s">
        <v>35</v>
      </c>
      <c r="C24" s="234"/>
      <c r="D24" s="234"/>
      <c r="E24" s="234"/>
      <c r="F24" s="234"/>
      <c r="G24" s="234"/>
      <c r="H24" s="234"/>
      <c r="I24" s="234"/>
      <c r="J24" s="234">
        <v>1</v>
      </c>
      <c r="K24" s="234"/>
      <c r="L24" s="234"/>
      <c r="M24" s="234"/>
      <c r="N24" s="234">
        <v>1</v>
      </c>
      <c r="O24" s="234"/>
      <c r="P24" s="234"/>
      <c r="Q24" s="234"/>
      <c r="R24" s="234"/>
      <c r="S24" s="234"/>
      <c r="T24" s="234"/>
      <c r="U24" s="234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</row>
    <row r="25" spans="1:33" ht="13.2" hidden="1">
      <c r="A25" s="340">
        <v>19</v>
      </c>
      <c r="B25" s="234" t="s">
        <v>552</v>
      </c>
      <c r="C25" s="234"/>
      <c r="D25" s="234"/>
      <c r="E25" s="234"/>
      <c r="F25" s="234"/>
      <c r="G25" s="234"/>
      <c r="H25" s="234"/>
      <c r="I25" s="234"/>
      <c r="J25" s="234"/>
      <c r="K25" s="234"/>
      <c r="L25" s="234">
        <v>1</v>
      </c>
      <c r="M25" s="234"/>
      <c r="N25" s="234">
        <v>1</v>
      </c>
      <c r="O25" s="234">
        <v>1</v>
      </c>
      <c r="P25" s="234"/>
      <c r="Q25" s="234"/>
      <c r="R25" s="234"/>
      <c r="S25" s="234"/>
      <c r="T25" s="234"/>
      <c r="U25" s="234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</row>
    <row r="26" spans="1:33" ht="13.2" hidden="1">
      <c r="A26" s="340">
        <v>20</v>
      </c>
      <c r="B26" s="234" t="s">
        <v>300</v>
      </c>
      <c r="C26" s="234"/>
      <c r="D26" s="234"/>
      <c r="E26" s="234"/>
      <c r="F26" s="234"/>
      <c r="G26" s="234"/>
      <c r="H26" s="234"/>
      <c r="I26" s="234"/>
      <c r="J26" s="234" t="s">
        <v>171</v>
      </c>
      <c r="K26" s="234"/>
      <c r="L26" s="234">
        <v>1</v>
      </c>
      <c r="M26" s="234">
        <v>1</v>
      </c>
      <c r="N26" s="234">
        <v>1</v>
      </c>
      <c r="O26" s="234"/>
      <c r="P26" s="234"/>
      <c r="Q26" s="234"/>
      <c r="R26" s="234"/>
      <c r="S26" s="234"/>
      <c r="T26" s="234"/>
      <c r="U26" s="234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</row>
    <row r="27" spans="1:33" ht="13.2" hidden="1">
      <c r="A27" s="340">
        <v>21</v>
      </c>
      <c r="B27" s="234" t="s">
        <v>553</v>
      </c>
      <c r="C27" s="234"/>
      <c r="D27" s="234"/>
      <c r="E27" s="234"/>
      <c r="F27" s="234"/>
      <c r="G27" s="234"/>
      <c r="H27" s="234"/>
      <c r="I27" s="234"/>
      <c r="J27" s="234"/>
      <c r="K27" s="234"/>
      <c r="L27" s="234">
        <v>1</v>
      </c>
      <c r="M27" s="234">
        <v>1</v>
      </c>
      <c r="N27" s="234">
        <v>1</v>
      </c>
      <c r="O27" s="234"/>
      <c r="P27" s="234">
        <v>1</v>
      </c>
      <c r="Q27" s="234"/>
      <c r="R27" s="234"/>
      <c r="S27" s="234"/>
      <c r="T27" s="234"/>
      <c r="U27" s="234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</row>
    <row r="28" spans="1:33" ht="13.2">
      <c r="A28" s="340">
        <v>22</v>
      </c>
      <c r="B28" s="234" t="s">
        <v>554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4">
        <v>1</v>
      </c>
      <c r="M28" s="234"/>
      <c r="N28" s="234"/>
      <c r="O28" s="234"/>
      <c r="P28" s="234"/>
      <c r="Q28" s="234"/>
      <c r="R28" s="234"/>
      <c r="S28" s="234">
        <v>1</v>
      </c>
      <c r="T28" s="234">
        <v>1</v>
      </c>
      <c r="U28" s="234">
        <v>1</v>
      </c>
      <c r="V28" s="243">
        <v>1</v>
      </c>
      <c r="W28" s="243">
        <v>1</v>
      </c>
      <c r="X28" s="243">
        <v>1</v>
      </c>
      <c r="Y28" s="243">
        <v>1</v>
      </c>
      <c r="Z28" s="243">
        <v>1</v>
      </c>
      <c r="AA28" s="243">
        <v>1</v>
      </c>
      <c r="AB28" s="243">
        <v>1</v>
      </c>
      <c r="AC28" s="243">
        <v>1</v>
      </c>
      <c r="AD28" s="243"/>
      <c r="AE28" s="243"/>
      <c r="AF28" s="243"/>
      <c r="AG28" s="243"/>
    </row>
    <row r="29" spans="1:33" ht="13.2">
      <c r="A29" s="340">
        <v>23</v>
      </c>
      <c r="B29" s="234" t="s">
        <v>123</v>
      </c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>
        <v>1</v>
      </c>
      <c r="N29" s="234">
        <v>1</v>
      </c>
      <c r="O29" s="234">
        <v>1</v>
      </c>
      <c r="P29" s="234"/>
      <c r="Q29" s="234"/>
      <c r="R29" s="234">
        <v>1</v>
      </c>
      <c r="S29" s="234">
        <v>1</v>
      </c>
      <c r="T29" s="234">
        <v>1</v>
      </c>
      <c r="U29" s="234">
        <v>1</v>
      </c>
      <c r="V29" s="243">
        <v>1</v>
      </c>
      <c r="W29" s="243">
        <v>1</v>
      </c>
      <c r="X29" s="243">
        <v>1</v>
      </c>
      <c r="Y29" s="243">
        <v>1</v>
      </c>
      <c r="Z29" s="243">
        <v>1</v>
      </c>
      <c r="AA29" s="243"/>
      <c r="AB29" s="243"/>
      <c r="AC29" s="243"/>
      <c r="AD29" s="243"/>
      <c r="AE29" s="243"/>
      <c r="AF29" s="243"/>
      <c r="AG29" s="243"/>
    </row>
    <row r="30" spans="1:33" ht="13.2">
      <c r="A30" s="340">
        <v>24</v>
      </c>
      <c r="B30" s="234" t="s">
        <v>555</v>
      </c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>
        <v>1</v>
      </c>
      <c r="N30" s="234"/>
      <c r="O30" s="234">
        <v>1</v>
      </c>
      <c r="P30" s="234">
        <v>1</v>
      </c>
      <c r="Q30" s="234"/>
      <c r="R30" s="234">
        <v>1</v>
      </c>
      <c r="S30" s="234"/>
      <c r="T30" s="234"/>
      <c r="U30" s="234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</row>
    <row r="31" spans="1:33" ht="13.2">
      <c r="A31" s="340">
        <v>25</v>
      </c>
      <c r="B31" s="234" t="s">
        <v>556</v>
      </c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43">
        <v>1</v>
      </c>
      <c r="W31" s="243">
        <v>1</v>
      </c>
      <c r="X31" s="243">
        <v>1</v>
      </c>
      <c r="Y31" s="243">
        <v>1</v>
      </c>
      <c r="Z31" s="243">
        <v>1</v>
      </c>
      <c r="AA31" s="243"/>
      <c r="AB31" s="243"/>
      <c r="AC31" s="243"/>
      <c r="AD31" s="243"/>
      <c r="AE31" s="243"/>
      <c r="AF31" s="243"/>
      <c r="AG31" s="243"/>
    </row>
    <row r="32" spans="1:33" ht="13.2">
      <c r="A32" s="340">
        <v>26</v>
      </c>
      <c r="B32" s="234" t="s">
        <v>35</v>
      </c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43">
        <v>1</v>
      </c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</row>
    <row r="33" spans="1:33" ht="13.2">
      <c r="A33" s="340">
        <v>27</v>
      </c>
      <c r="B33" s="234" t="s">
        <v>557</v>
      </c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43"/>
      <c r="W33" s="243">
        <v>1</v>
      </c>
      <c r="X33" s="243">
        <v>1</v>
      </c>
      <c r="Y33" s="243">
        <v>1</v>
      </c>
      <c r="Z33" s="243">
        <v>1</v>
      </c>
      <c r="AA33" s="243">
        <v>1</v>
      </c>
      <c r="AB33" s="243">
        <v>1</v>
      </c>
      <c r="AC33" s="243">
        <v>1</v>
      </c>
      <c r="AD33" s="243"/>
      <c r="AE33" s="243"/>
      <c r="AF33" s="243"/>
      <c r="AG33" s="243"/>
    </row>
    <row r="34" spans="1:33" ht="13.2">
      <c r="A34" s="340">
        <v>28</v>
      </c>
      <c r="B34" s="234" t="s">
        <v>82</v>
      </c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43"/>
      <c r="W34" s="243">
        <v>1</v>
      </c>
      <c r="X34" s="243"/>
      <c r="Y34" s="243">
        <v>1</v>
      </c>
      <c r="Z34" s="243">
        <v>1</v>
      </c>
      <c r="AA34" s="243">
        <v>1</v>
      </c>
      <c r="AB34" s="243">
        <v>1</v>
      </c>
      <c r="AC34" s="243"/>
      <c r="AD34" s="243"/>
      <c r="AE34" s="243"/>
      <c r="AF34" s="243"/>
      <c r="AG34" s="243"/>
    </row>
    <row r="35" spans="1:33" ht="13.2">
      <c r="A35" s="340">
        <v>29</v>
      </c>
      <c r="B35" s="234" t="s">
        <v>525</v>
      </c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43"/>
      <c r="W35" s="243">
        <v>1</v>
      </c>
      <c r="X35" s="243">
        <v>1</v>
      </c>
      <c r="Y35" s="243">
        <v>1</v>
      </c>
      <c r="Z35" s="243"/>
      <c r="AA35" s="243"/>
      <c r="AB35" s="243"/>
      <c r="AC35" s="243">
        <v>1</v>
      </c>
      <c r="AD35" s="243"/>
      <c r="AE35" s="243"/>
      <c r="AF35" s="243"/>
      <c r="AG35" s="243"/>
    </row>
    <row r="36" spans="1:33" ht="13.2">
      <c r="A36" s="340">
        <v>30</v>
      </c>
      <c r="B36" s="234" t="s">
        <v>558</v>
      </c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43"/>
      <c r="W36" s="243"/>
      <c r="X36" s="243" t="s">
        <v>195</v>
      </c>
      <c r="Y36" s="243"/>
      <c r="Z36" s="243"/>
      <c r="AA36" s="243"/>
      <c r="AB36" s="243"/>
      <c r="AC36" s="243"/>
      <c r="AD36" s="243"/>
      <c r="AE36" s="243"/>
      <c r="AF36" s="243"/>
      <c r="AG36" s="243"/>
    </row>
    <row r="37" spans="1:33" ht="13.2">
      <c r="A37" s="340">
        <v>31</v>
      </c>
      <c r="B37" s="234" t="s">
        <v>552</v>
      </c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43"/>
      <c r="W37" s="243"/>
      <c r="X37" s="243"/>
      <c r="Y37" s="243"/>
      <c r="Z37" s="243">
        <v>1</v>
      </c>
      <c r="AA37" s="243">
        <v>1</v>
      </c>
      <c r="AB37" s="243">
        <v>1</v>
      </c>
      <c r="AC37" s="243">
        <v>1</v>
      </c>
      <c r="AD37" s="243"/>
      <c r="AE37" s="243"/>
      <c r="AF37" s="243"/>
      <c r="AG37" s="243"/>
    </row>
    <row r="38" spans="1:33" ht="13.2">
      <c r="A38" s="340">
        <v>32</v>
      </c>
      <c r="B38" s="234" t="s">
        <v>559</v>
      </c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43"/>
      <c r="W38" s="243"/>
      <c r="X38" s="243"/>
      <c r="Y38" s="243"/>
      <c r="Z38" s="243"/>
      <c r="AA38" s="243">
        <v>1</v>
      </c>
      <c r="AB38" s="243">
        <v>1</v>
      </c>
      <c r="AC38" s="243"/>
      <c r="AD38" s="243"/>
      <c r="AE38" s="243"/>
      <c r="AF38" s="243"/>
      <c r="AG38" s="243"/>
    </row>
    <row r="39" spans="1:33" ht="14.4">
      <c r="A39" s="342"/>
      <c r="B39" s="336" t="s">
        <v>147</v>
      </c>
      <c r="C39" s="340">
        <v>5</v>
      </c>
      <c r="D39" s="340">
        <v>11</v>
      </c>
      <c r="E39" s="340">
        <v>7</v>
      </c>
      <c r="F39" s="340">
        <v>10</v>
      </c>
      <c r="G39" s="340">
        <v>7</v>
      </c>
      <c r="H39" s="340">
        <v>7</v>
      </c>
      <c r="I39" s="340">
        <v>3</v>
      </c>
      <c r="J39" s="340">
        <v>5</v>
      </c>
      <c r="K39" s="340"/>
      <c r="L39" s="340">
        <v>10</v>
      </c>
      <c r="M39" s="340">
        <v>10</v>
      </c>
      <c r="N39" s="340">
        <v>10</v>
      </c>
      <c r="O39" s="340">
        <v>8</v>
      </c>
      <c r="P39" s="340">
        <v>7</v>
      </c>
      <c r="Q39" s="340"/>
      <c r="R39" s="340">
        <v>10</v>
      </c>
      <c r="S39" s="340">
        <v>8</v>
      </c>
      <c r="T39" s="340">
        <v>7</v>
      </c>
      <c r="U39" s="340">
        <v>5</v>
      </c>
      <c r="V39" s="340">
        <v>9</v>
      </c>
      <c r="W39" s="340">
        <v>10</v>
      </c>
      <c r="X39" s="340">
        <v>10</v>
      </c>
      <c r="Y39" s="340">
        <v>13</v>
      </c>
      <c r="Z39" s="340">
        <v>12</v>
      </c>
      <c r="AA39" s="340">
        <v>12</v>
      </c>
      <c r="AB39" s="340">
        <v>9</v>
      </c>
      <c r="AC39" s="340">
        <v>9</v>
      </c>
      <c r="AD39" s="340"/>
      <c r="AE39" s="340"/>
      <c r="AF39" s="340"/>
      <c r="AG39" s="340"/>
    </row>
    <row r="40" spans="1:33" ht="13.2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344"/>
      <c r="M40" s="344"/>
      <c r="N40" s="344"/>
      <c r="O40" s="344"/>
      <c r="P40" s="344"/>
      <c r="Q40" s="344"/>
      <c r="R40" s="344"/>
      <c r="S40" s="344"/>
      <c r="T40" s="344"/>
      <c r="U40" s="344">
        <v>30</v>
      </c>
      <c r="V40" s="344"/>
      <c r="W40" s="344"/>
      <c r="X40" s="344"/>
      <c r="Y40" s="344">
        <v>40</v>
      </c>
      <c r="Z40" s="344"/>
      <c r="AA40" s="344"/>
      <c r="AB40" s="344"/>
      <c r="AC40" s="344">
        <v>42</v>
      </c>
      <c r="AD40" s="344"/>
      <c r="AE40" s="344"/>
      <c r="AF40" s="344"/>
      <c r="AG40" s="344"/>
    </row>
    <row r="41" spans="1:33" ht="13.2">
      <c r="A41" s="215"/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344"/>
      <c r="M41" s="344"/>
      <c r="N41" s="344"/>
      <c r="O41" s="344"/>
      <c r="P41" s="344"/>
      <c r="Q41" s="344"/>
      <c r="R41" s="344"/>
      <c r="S41" s="344"/>
      <c r="T41" s="345" t="s">
        <v>128</v>
      </c>
      <c r="U41" s="345" t="s">
        <v>560</v>
      </c>
      <c r="V41" s="344"/>
      <c r="W41" s="344"/>
      <c r="X41" s="345" t="s">
        <v>128</v>
      </c>
      <c r="Y41" s="345">
        <f>Y40*B5</f>
        <v>120000</v>
      </c>
      <c r="Z41" s="345"/>
      <c r="AA41" s="345"/>
      <c r="AB41" s="345"/>
      <c r="AC41" s="345">
        <f>AC40*B5</f>
        <v>126000</v>
      </c>
      <c r="AD41" s="345"/>
      <c r="AE41" s="345"/>
      <c r="AF41" s="345"/>
      <c r="AG41" s="345"/>
    </row>
    <row r="42" spans="1:33" ht="13.2">
      <c r="A42" s="215"/>
      <c r="B42" s="215"/>
      <c r="C42" s="215"/>
      <c r="D42" s="215"/>
      <c r="E42" s="215"/>
      <c r="F42" s="215"/>
      <c r="G42" s="215"/>
      <c r="H42" s="215"/>
      <c r="I42" s="215">
        <v>34</v>
      </c>
      <c r="J42" s="215"/>
      <c r="K42" s="215"/>
      <c r="L42" s="344"/>
      <c r="M42" s="344"/>
      <c r="N42" s="344" t="s">
        <v>54</v>
      </c>
      <c r="O42" s="344" t="s">
        <v>522</v>
      </c>
      <c r="P42" s="344" t="s">
        <v>54</v>
      </c>
      <c r="Q42" s="344"/>
      <c r="R42" s="344"/>
      <c r="S42" s="344"/>
      <c r="T42" s="344"/>
      <c r="U42" s="344"/>
      <c r="V42" s="344"/>
      <c r="W42" s="344"/>
      <c r="X42" s="344"/>
      <c r="Y42" s="344"/>
      <c r="Z42" s="344"/>
      <c r="AA42" s="344"/>
      <c r="AB42" s="344"/>
      <c r="AC42" s="344"/>
      <c r="AD42" s="344"/>
      <c r="AE42" s="344"/>
      <c r="AF42" s="344"/>
      <c r="AG42" s="344"/>
    </row>
    <row r="43" spans="1:33" ht="13.2">
      <c r="A43" s="340"/>
      <c r="B43" s="346" t="s">
        <v>561</v>
      </c>
      <c r="C43" s="341">
        <v>45919</v>
      </c>
      <c r="D43" s="341">
        <v>45926</v>
      </c>
      <c r="E43" s="338">
        <v>45933</v>
      </c>
      <c r="F43" s="338">
        <v>45940</v>
      </c>
      <c r="G43" s="339">
        <v>45947</v>
      </c>
      <c r="H43" s="339">
        <v>45954</v>
      </c>
      <c r="I43" s="339">
        <v>45961</v>
      </c>
      <c r="J43" s="339">
        <v>45968</v>
      </c>
      <c r="K43" s="339">
        <v>45975</v>
      </c>
      <c r="L43" s="339">
        <v>45982</v>
      </c>
      <c r="M43" s="339">
        <v>45989</v>
      </c>
      <c r="N43" s="339">
        <v>45996</v>
      </c>
      <c r="O43" s="339">
        <v>46003</v>
      </c>
      <c r="P43" s="339">
        <v>46010</v>
      </c>
      <c r="Q43" s="339"/>
      <c r="R43" s="339"/>
      <c r="S43" s="339"/>
      <c r="T43" s="339"/>
      <c r="U43" s="339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</row>
    <row r="44" spans="1:33" ht="13.2">
      <c r="A44" s="340">
        <v>1</v>
      </c>
      <c r="B44" s="234" t="s">
        <v>562</v>
      </c>
      <c r="C44" s="234"/>
      <c r="D44" s="234">
        <v>1</v>
      </c>
      <c r="E44" s="234"/>
      <c r="F44" s="234"/>
      <c r="G44" s="234">
        <v>1</v>
      </c>
      <c r="H44" s="234">
        <v>1</v>
      </c>
      <c r="I44" s="234">
        <v>1</v>
      </c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</row>
    <row r="45" spans="1:33" ht="13.2">
      <c r="A45" s="340">
        <v>2</v>
      </c>
      <c r="B45" s="234" t="s">
        <v>551</v>
      </c>
      <c r="C45" s="234"/>
      <c r="D45" s="234">
        <v>1</v>
      </c>
      <c r="E45" s="234"/>
      <c r="F45" s="234" t="s">
        <v>195</v>
      </c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15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</row>
    <row r="46" spans="1:33" ht="13.2">
      <c r="A46" s="340">
        <v>3</v>
      </c>
      <c r="B46" s="234" t="s">
        <v>35</v>
      </c>
      <c r="C46" s="234"/>
      <c r="D46" s="234">
        <v>1</v>
      </c>
      <c r="E46" s="234"/>
      <c r="F46" s="234" t="s">
        <v>195</v>
      </c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15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</row>
    <row r="47" spans="1:33" ht="13.2">
      <c r="A47" s="340">
        <v>4</v>
      </c>
      <c r="B47" s="243" t="s">
        <v>563</v>
      </c>
      <c r="C47" s="234"/>
      <c r="D47" s="234"/>
      <c r="E47" s="234"/>
      <c r="F47" s="234">
        <v>1</v>
      </c>
      <c r="G47" s="234">
        <v>1</v>
      </c>
      <c r="H47" s="234">
        <v>1</v>
      </c>
      <c r="I47" s="234">
        <v>1</v>
      </c>
      <c r="J47" s="234"/>
      <c r="K47" s="234"/>
      <c r="L47" s="234"/>
      <c r="M47" s="234">
        <v>1</v>
      </c>
      <c r="N47" s="234"/>
      <c r="O47" s="234"/>
      <c r="P47" s="234">
        <v>1</v>
      </c>
      <c r="Q47" s="234"/>
      <c r="R47" s="234"/>
      <c r="S47" s="234"/>
      <c r="T47" s="234"/>
      <c r="U47" s="234"/>
      <c r="V47" s="215"/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  <c r="AG47" s="215"/>
    </row>
    <row r="48" spans="1:33" ht="13.2">
      <c r="A48" s="340">
        <v>5</v>
      </c>
      <c r="B48" s="234" t="s">
        <v>554</v>
      </c>
      <c r="C48" s="234"/>
      <c r="D48" s="234"/>
      <c r="E48" s="234"/>
      <c r="F48" s="234"/>
      <c r="G48" s="234">
        <v>1</v>
      </c>
      <c r="H48" s="234">
        <v>1</v>
      </c>
      <c r="I48" s="234">
        <v>1</v>
      </c>
      <c r="J48" s="234"/>
      <c r="K48" s="234"/>
      <c r="L48" s="234"/>
      <c r="M48" s="234"/>
      <c r="N48" s="234"/>
      <c r="O48" s="234">
        <v>1</v>
      </c>
      <c r="P48" s="234">
        <v>1</v>
      </c>
      <c r="Q48" s="234"/>
      <c r="R48" s="234"/>
      <c r="S48" s="234"/>
      <c r="T48" s="234"/>
      <c r="U48" s="234"/>
      <c r="V48" s="215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</row>
    <row r="49" spans="1:33" ht="13.2" hidden="1">
      <c r="A49" s="340">
        <v>6</v>
      </c>
      <c r="B49" s="237" t="s">
        <v>481</v>
      </c>
      <c r="C49" s="234"/>
      <c r="D49" s="234"/>
      <c r="E49" s="234"/>
      <c r="F49" s="234"/>
      <c r="G49" s="234">
        <v>1</v>
      </c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15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  <c r="AG49" s="215"/>
    </row>
    <row r="50" spans="1:33" ht="13.2">
      <c r="A50" s="340">
        <v>7</v>
      </c>
      <c r="B50" s="234" t="s">
        <v>541</v>
      </c>
      <c r="C50" s="234"/>
      <c r="D50" s="234"/>
      <c r="E50" s="234"/>
      <c r="F50" s="234"/>
      <c r="G50" s="234">
        <v>1</v>
      </c>
      <c r="H50" s="234">
        <v>1</v>
      </c>
      <c r="I50" s="234">
        <v>1</v>
      </c>
      <c r="J50" s="234">
        <v>1</v>
      </c>
      <c r="K50" s="234"/>
      <c r="L50" s="234"/>
      <c r="M50" s="234">
        <v>1</v>
      </c>
      <c r="N50" s="234">
        <v>1</v>
      </c>
      <c r="O50" s="234"/>
      <c r="P50" s="234">
        <v>1</v>
      </c>
      <c r="Q50" s="234"/>
      <c r="R50" s="234"/>
      <c r="S50" s="234"/>
      <c r="T50" s="234"/>
      <c r="U50" s="234"/>
      <c r="V50" s="215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  <c r="AG50" s="215"/>
    </row>
    <row r="51" spans="1:33" ht="13.2">
      <c r="A51" s="340">
        <v>8</v>
      </c>
      <c r="B51" s="234" t="s">
        <v>121</v>
      </c>
      <c r="C51" s="234"/>
      <c r="D51" s="234"/>
      <c r="E51" s="234"/>
      <c r="F51" s="234"/>
      <c r="G51" s="234">
        <v>1</v>
      </c>
      <c r="H51" s="234">
        <v>1</v>
      </c>
      <c r="I51" s="234">
        <v>1</v>
      </c>
      <c r="J51" s="234"/>
      <c r="K51" s="234"/>
      <c r="L51" s="234"/>
      <c r="M51" s="234">
        <v>1</v>
      </c>
      <c r="N51" s="234">
        <v>1</v>
      </c>
      <c r="O51" s="234"/>
      <c r="P51" s="234"/>
      <c r="Q51" s="234"/>
      <c r="R51" s="234"/>
      <c r="S51" s="234"/>
      <c r="T51" s="234"/>
      <c r="U51" s="234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</row>
    <row r="52" spans="1:33" ht="13.2">
      <c r="A52" s="340">
        <v>9</v>
      </c>
      <c r="B52" s="234" t="s">
        <v>225</v>
      </c>
      <c r="C52" s="234"/>
      <c r="D52" s="234"/>
      <c r="E52" s="234"/>
      <c r="F52" s="234"/>
      <c r="G52" s="234">
        <v>1</v>
      </c>
      <c r="H52" s="234">
        <v>1</v>
      </c>
      <c r="I52" s="234">
        <v>1</v>
      </c>
      <c r="J52" s="234"/>
      <c r="K52" s="234"/>
      <c r="L52" s="234">
        <v>1</v>
      </c>
      <c r="M52" s="234">
        <v>1</v>
      </c>
      <c r="N52" s="234"/>
      <c r="O52" s="234">
        <v>1</v>
      </c>
      <c r="P52" s="234">
        <v>1</v>
      </c>
      <c r="Q52" s="234"/>
      <c r="R52" s="234"/>
      <c r="S52" s="234"/>
      <c r="T52" s="234"/>
      <c r="U52" s="234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</row>
    <row r="53" spans="1:33" ht="13.2">
      <c r="A53" s="340">
        <v>11</v>
      </c>
      <c r="B53" s="234" t="s">
        <v>123</v>
      </c>
      <c r="C53" s="234"/>
      <c r="D53" s="234"/>
      <c r="E53" s="234"/>
      <c r="F53" s="234"/>
      <c r="G53" s="234"/>
      <c r="H53" s="234"/>
      <c r="I53" s="234"/>
      <c r="J53" s="234"/>
      <c r="K53" s="234"/>
      <c r="L53" s="234">
        <v>1</v>
      </c>
      <c r="M53" s="234"/>
      <c r="N53" s="234"/>
      <c r="O53" s="234"/>
      <c r="P53" s="234"/>
      <c r="Q53" s="234"/>
      <c r="R53" s="234"/>
      <c r="S53" s="234"/>
      <c r="T53" s="234"/>
      <c r="U53" s="234"/>
      <c r="V53" s="215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  <c r="AG53" s="215"/>
    </row>
    <row r="54" spans="1:33" ht="13.2">
      <c r="A54" s="340">
        <v>12</v>
      </c>
      <c r="B54" s="234" t="s">
        <v>564</v>
      </c>
      <c r="C54" s="234"/>
      <c r="D54" s="234"/>
      <c r="E54" s="234"/>
      <c r="F54" s="234"/>
      <c r="G54" s="234"/>
      <c r="H54" s="234"/>
      <c r="I54" s="234"/>
      <c r="J54" s="234"/>
      <c r="K54" s="234"/>
      <c r="L54" s="234">
        <v>1</v>
      </c>
      <c r="M54" s="234"/>
      <c r="N54" s="234"/>
      <c r="O54" s="234"/>
      <c r="P54" s="234"/>
      <c r="Q54" s="234"/>
      <c r="R54" s="234"/>
      <c r="S54" s="234"/>
      <c r="T54" s="234"/>
      <c r="U54" s="234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</row>
    <row r="55" spans="1:33" ht="13.2">
      <c r="A55" s="340">
        <v>13</v>
      </c>
      <c r="B55" s="234" t="s">
        <v>170</v>
      </c>
      <c r="C55" s="234"/>
      <c r="D55" s="234"/>
      <c r="E55" s="234"/>
      <c r="F55" s="234"/>
      <c r="G55" s="234"/>
      <c r="H55" s="234"/>
      <c r="I55" s="234"/>
      <c r="J55" s="234"/>
      <c r="K55" s="234"/>
      <c r="L55" s="234">
        <v>1</v>
      </c>
      <c r="M55" s="234"/>
      <c r="N55" s="234"/>
      <c r="O55" s="234">
        <v>1</v>
      </c>
      <c r="P55" s="234">
        <v>1</v>
      </c>
      <c r="Q55" s="234"/>
      <c r="R55" s="234"/>
      <c r="S55" s="234"/>
      <c r="T55" s="234"/>
      <c r="U55" s="234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</row>
    <row r="56" spans="1:33" ht="13.2">
      <c r="A56" s="340">
        <v>14</v>
      </c>
      <c r="B56" s="234" t="s">
        <v>549</v>
      </c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>
        <v>1</v>
      </c>
      <c r="O56" s="234"/>
      <c r="P56" s="234">
        <v>1</v>
      </c>
      <c r="Q56" s="234"/>
      <c r="R56" s="234"/>
      <c r="S56" s="234"/>
      <c r="T56" s="234"/>
      <c r="U56" s="234"/>
      <c r="V56" s="215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  <c r="AG56" s="215"/>
    </row>
    <row r="57" spans="1:33" ht="13.2">
      <c r="A57" s="340">
        <v>15</v>
      </c>
      <c r="B57" s="234" t="s">
        <v>546</v>
      </c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>
        <v>1</v>
      </c>
      <c r="O57" s="234"/>
      <c r="P57" s="234"/>
      <c r="Q57" s="234"/>
      <c r="R57" s="234"/>
      <c r="S57" s="234"/>
      <c r="T57" s="234"/>
      <c r="U57" s="234"/>
      <c r="V57" s="215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  <c r="AG57" s="215"/>
    </row>
    <row r="58" spans="1:33" ht="13.2">
      <c r="A58" s="340">
        <v>16</v>
      </c>
      <c r="B58" s="234" t="s">
        <v>356</v>
      </c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>
        <v>1</v>
      </c>
      <c r="O58" s="234"/>
      <c r="P58" s="234"/>
      <c r="Q58" s="234"/>
      <c r="R58" s="234"/>
      <c r="S58" s="234"/>
      <c r="T58" s="234"/>
      <c r="U58" s="234"/>
      <c r="V58" s="215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</row>
    <row r="59" spans="1:33" ht="13.2">
      <c r="A59" s="340">
        <v>17</v>
      </c>
      <c r="B59" s="234" t="s">
        <v>565</v>
      </c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>
        <v>1</v>
      </c>
      <c r="P59" s="234"/>
      <c r="Q59" s="234"/>
      <c r="R59" s="234"/>
      <c r="S59" s="234"/>
      <c r="T59" s="234"/>
      <c r="U59" s="234"/>
      <c r="V59" s="215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  <c r="AG59" s="215"/>
    </row>
    <row r="60" spans="1:33" ht="13.2">
      <c r="A60" s="340">
        <v>18</v>
      </c>
      <c r="B60" s="234" t="s">
        <v>566</v>
      </c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>
        <v>1</v>
      </c>
      <c r="P60" s="234"/>
      <c r="Q60" s="234"/>
      <c r="R60" s="234"/>
      <c r="S60" s="234"/>
      <c r="T60" s="234"/>
      <c r="U60" s="234"/>
      <c r="V60" s="215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</row>
    <row r="61" spans="1:33" ht="13.2">
      <c r="A61" s="340">
        <v>19</v>
      </c>
      <c r="B61" s="234" t="s">
        <v>550</v>
      </c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>
        <v>1</v>
      </c>
      <c r="P61" s="234"/>
      <c r="Q61" s="234"/>
      <c r="R61" s="234"/>
      <c r="S61" s="234"/>
      <c r="T61" s="234"/>
      <c r="U61" s="234"/>
      <c r="V61" s="215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</row>
    <row r="62" spans="1:33" ht="13.2">
      <c r="A62" s="340"/>
      <c r="B62" s="340"/>
      <c r="C62" s="346">
        <v>5</v>
      </c>
      <c r="D62" s="340">
        <v>3</v>
      </c>
      <c r="E62" s="340"/>
      <c r="F62" s="340">
        <v>3</v>
      </c>
      <c r="G62" s="340">
        <v>7</v>
      </c>
      <c r="H62" s="340">
        <v>6</v>
      </c>
      <c r="I62" s="340">
        <v>7</v>
      </c>
      <c r="J62" s="340">
        <v>1</v>
      </c>
      <c r="K62" s="340"/>
      <c r="L62" s="340">
        <v>4</v>
      </c>
      <c r="M62" s="340">
        <v>4</v>
      </c>
      <c r="N62" s="340">
        <v>5</v>
      </c>
      <c r="O62" s="340">
        <v>6</v>
      </c>
      <c r="P62" s="340">
        <v>6</v>
      </c>
      <c r="Q62" s="340"/>
      <c r="R62" s="340"/>
      <c r="S62" s="340"/>
      <c r="T62" s="340"/>
      <c r="U62" s="340"/>
      <c r="V62" s="348"/>
      <c r="W62" s="348"/>
      <c r="X62" s="348"/>
      <c r="Y62" s="348"/>
      <c r="Z62" s="348"/>
      <c r="AA62" s="348"/>
      <c r="AB62" s="348"/>
      <c r="AC62" s="348"/>
      <c r="AD62" s="348"/>
      <c r="AE62" s="348"/>
      <c r="AF62" s="348"/>
      <c r="AG62" s="348"/>
    </row>
    <row r="63" spans="1:33" ht="13.2">
      <c r="A63" s="215"/>
      <c r="B63" s="215"/>
      <c r="C63" s="349" t="s">
        <v>567</v>
      </c>
      <c r="D63" s="350">
        <v>47000</v>
      </c>
      <c r="E63" s="215"/>
      <c r="F63" s="215"/>
      <c r="G63" s="215"/>
      <c r="H63" s="215"/>
      <c r="I63" s="215">
        <v>23</v>
      </c>
      <c r="J63" s="215"/>
      <c r="K63" s="215"/>
      <c r="L63" s="344"/>
      <c r="M63" s="344">
        <v>34</v>
      </c>
      <c r="N63" s="344"/>
      <c r="O63" s="344"/>
      <c r="P63" s="344">
        <f>17+25</f>
        <v>42</v>
      </c>
      <c r="Q63" s="344"/>
      <c r="R63" s="344"/>
      <c r="S63" s="344"/>
      <c r="T63" s="344"/>
      <c r="U63" s="344"/>
      <c r="V63" s="344"/>
      <c r="W63" s="344"/>
      <c r="X63" s="344"/>
      <c r="Y63" s="344"/>
      <c r="Z63" s="344"/>
      <c r="AA63" s="344"/>
      <c r="AB63" s="344"/>
      <c r="AC63" s="344"/>
      <c r="AD63" s="344"/>
      <c r="AE63" s="344"/>
      <c r="AF63" s="344"/>
      <c r="AG63" s="344"/>
    </row>
    <row r="64" spans="1:33" ht="13.2">
      <c r="A64" s="215"/>
      <c r="B64" s="215"/>
      <c r="C64" s="215"/>
      <c r="D64" s="215"/>
      <c r="E64" s="215"/>
      <c r="F64" s="215"/>
      <c r="G64" s="220"/>
      <c r="H64" s="344"/>
      <c r="I64" s="345">
        <v>57</v>
      </c>
      <c r="J64" s="344"/>
      <c r="K64" s="344"/>
      <c r="L64" s="345" t="s">
        <v>307</v>
      </c>
      <c r="M64" s="345" t="s">
        <v>568</v>
      </c>
      <c r="N64" s="344"/>
      <c r="O64" s="345" t="s">
        <v>128</v>
      </c>
      <c r="P64" s="345" t="s">
        <v>569</v>
      </c>
      <c r="Q64" s="344"/>
      <c r="R64" s="344"/>
      <c r="S64" s="344"/>
      <c r="T64" s="344"/>
      <c r="U64" s="344"/>
      <c r="V64" s="344"/>
      <c r="W64" s="344"/>
      <c r="X64" s="344"/>
      <c r="Y64" s="344"/>
      <c r="Z64" s="344"/>
      <c r="AA64" s="344"/>
      <c r="AB64" s="344"/>
      <c r="AC64" s="344"/>
      <c r="AD64" s="344"/>
      <c r="AE64" s="344"/>
      <c r="AF64" s="344"/>
      <c r="AG64" s="344"/>
    </row>
    <row r="65" spans="1:33" ht="13.2">
      <c r="A65" s="334"/>
      <c r="B65" s="334"/>
      <c r="C65" s="334"/>
      <c r="D65" s="334"/>
      <c r="E65" s="334"/>
      <c r="F65" s="334"/>
      <c r="G65" s="344"/>
      <c r="H65" s="345" t="s">
        <v>128</v>
      </c>
      <c r="I65" s="345" t="s">
        <v>570</v>
      </c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4"/>
      <c r="V65" s="344"/>
      <c r="W65" s="344"/>
      <c r="X65" s="344"/>
      <c r="Y65" s="344"/>
      <c r="Z65" s="344"/>
      <c r="AA65" s="344"/>
      <c r="AB65" s="344"/>
      <c r="AC65" s="344"/>
      <c r="AD65" s="344"/>
      <c r="AE65" s="344"/>
      <c r="AF65" s="344"/>
      <c r="AG65" s="344"/>
    </row>
    <row r="66" spans="1:33" ht="13.2">
      <c r="A66" s="215"/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215"/>
      <c r="AC66" s="215"/>
      <c r="AD66" s="215"/>
      <c r="AE66" s="215"/>
      <c r="AF66" s="215"/>
      <c r="AG66" s="215"/>
    </row>
    <row r="67" spans="1:33" ht="13.2">
      <c r="A67" s="215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</row>
    <row r="68" spans="1:33" ht="13.2">
      <c r="A68" s="215"/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  <c r="AB68" s="215"/>
      <c r="AC68" s="215"/>
      <c r="AD68" s="215"/>
      <c r="AE68" s="215"/>
      <c r="AF68" s="215"/>
      <c r="AG68" s="215"/>
    </row>
    <row r="69" spans="1:33" ht="13.2">
      <c r="A69" s="215"/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215"/>
      <c r="AC69" s="215"/>
      <c r="AD69" s="215"/>
      <c r="AE69" s="215"/>
      <c r="AF69" s="215"/>
      <c r="AG69" s="215"/>
    </row>
    <row r="70" spans="1:33" ht="13.2">
      <c r="A70" s="215"/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</row>
    <row r="71" spans="1:33" ht="13.2">
      <c r="A71" s="215"/>
      <c r="B71" s="215"/>
      <c r="C71" s="215"/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  <c r="AB71" s="215"/>
      <c r="AC71" s="215"/>
      <c r="AD71" s="215"/>
      <c r="AE71" s="215"/>
      <c r="AF71" s="215"/>
      <c r="AG71" s="215"/>
    </row>
    <row r="72" spans="1:33" ht="13.2">
      <c r="A72" s="215"/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</row>
    <row r="73" spans="1:33" ht="13.2">
      <c r="A73" s="215"/>
      <c r="B73" s="215"/>
      <c r="C73" s="215"/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</row>
    <row r="74" spans="1:33" ht="13.2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</row>
    <row r="75" spans="1:33" ht="13.2">
      <c r="A75" s="215"/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</row>
    <row r="76" spans="1:33" ht="13.2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  <c r="AB76" s="215"/>
      <c r="AC76" s="215"/>
      <c r="AD76" s="215"/>
      <c r="AE76" s="215"/>
      <c r="AF76" s="215"/>
      <c r="AG76" s="215"/>
    </row>
    <row r="77" spans="1:33" ht="13.2">
      <c r="A77" s="215"/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  <c r="AA77" s="215"/>
      <c r="AB77" s="215"/>
      <c r="AC77" s="215"/>
      <c r="AD77" s="215"/>
      <c r="AE77" s="215"/>
      <c r="AF77" s="215"/>
      <c r="AG77" s="215"/>
    </row>
    <row r="78" spans="1:33" ht="13.2">
      <c r="A78" s="215"/>
      <c r="B78" s="215"/>
      <c r="C78" s="215"/>
      <c r="D78" s="215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  <c r="AB78" s="215"/>
      <c r="AC78" s="215"/>
      <c r="AD78" s="215"/>
      <c r="AE78" s="215"/>
      <c r="AF78" s="215"/>
      <c r="AG78" s="215"/>
    </row>
    <row r="79" spans="1:33" ht="13.2">
      <c r="A79" s="215"/>
      <c r="B79" s="215"/>
      <c r="C79" s="215"/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215"/>
      <c r="AC79" s="215"/>
      <c r="AD79" s="215"/>
      <c r="AE79" s="215"/>
      <c r="AF79" s="215"/>
      <c r="AG79" s="215"/>
    </row>
    <row r="80" spans="1:33" ht="13.2">
      <c r="A80" s="215"/>
      <c r="B80" s="215"/>
      <c r="C80" s="215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  <c r="AA80" s="215"/>
      <c r="AB80" s="215"/>
      <c r="AC80" s="215"/>
      <c r="AD80" s="215"/>
      <c r="AE80" s="215"/>
      <c r="AF80" s="215"/>
      <c r="AG80" s="215"/>
    </row>
    <row r="81" spans="1:33" ht="13.2">
      <c r="A81" s="215"/>
      <c r="B81" s="215"/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</row>
    <row r="82" spans="1:33" ht="13.2">
      <c r="A82" s="215"/>
      <c r="B82" s="215"/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</row>
    <row r="83" spans="1:33" ht="13.2">
      <c r="A83" s="215"/>
      <c r="B83" s="215"/>
      <c r="C83" s="215"/>
      <c r="D83" s="215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  <c r="AA83" s="215"/>
      <c r="AB83" s="215"/>
      <c r="AC83" s="215"/>
      <c r="AD83" s="215"/>
      <c r="AE83" s="215"/>
      <c r="AF83" s="215"/>
      <c r="AG83" s="215"/>
    </row>
    <row r="84" spans="1:33" ht="13.2">
      <c r="A84" s="215"/>
      <c r="B84" s="215"/>
      <c r="C84" s="215"/>
      <c r="D84" s="215"/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  <c r="AB84" s="215"/>
      <c r="AC84" s="215"/>
      <c r="AD84" s="215"/>
      <c r="AE84" s="215"/>
      <c r="AF84" s="215"/>
      <c r="AG84" s="215"/>
    </row>
    <row r="85" spans="1:33" ht="13.2">
      <c r="A85" s="215"/>
      <c r="B85" s="215"/>
      <c r="C85" s="215"/>
      <c r="D85" s="215"/>
      <c r="E85" s="215"/>
      <c r="F85" s="215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  <c r="AA85" s="215"/>
      <c r="AB85" s="215"/>
      <c r="AC85" s="215"/>
      <c r="AD85" s="215"/>
      <c r="AE85" s="215"/>
      <c r="AF85" s="215"/>
      <c r="AG85" s="215"/>
    </row>
    <row r="86" spans="1:33" ht="13.2">
      <c r="A86" s="215"/>
      <c r="B86" s="215"/>
      <c r="C86" s="215"/>
      <c r="D86" s="215"/>
      <c r="E86" s="215"/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  <c r="AA86" s="215"/>
      <c r="AB86" s="215"/>
      <c r="AC86" s="215"/>
      <c r="AD86" s="215"/>
      <c r="AE86" s="215"/>
      <c r="AF86" s="215"/>
      <c r="AG86" s="215"/>
    </row>
    <row r="87" spans="1:33" ht="13.2">
      <c r="A87" s="215"/>
      <c r="B87" s="215"/>
      <c r="C87" s="215"/>
      <c r="D87" s="215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215"/>
      <c r="AC87" s="215"/>
      <c r="AD87" s="215"/>
      <c r="AE87" s="215"/>
      <c r="AF87" s="215"/>
      <c r="AG87" s="215"/>
    </row>
    <row r="88" spans="1:33" ht="13.2">
      <c r="A88" s="215"/>
      <c r="B88" s="215"/>
      <c r="C88" s="215"/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  <c r="AB88" s="215"/>
      <c r="AC88" s="215"/>
      <c r="AD88" s="215"/>
      <c r="AE88" s="215"/>
      <c r="AF88" s="215"/>
      <c r="AG88" s="215"/>
    </row>
    <row r="89" spans="1:33" ht="13.2">
      <c r="A89" s="215"/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215"/>
      <c r="AC89" s="215"/>
      <c r="AD89" s="215"/>
      <c r="AE89" s="215"/>
      <c r="AF89" s="215"/>
      <c r="AG89" s="215"/>
    </row>
    <row r="90" spans="1:33" ht="13.2">
      <c r="A90" s="215"/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215"/>
      <c r="AC90" s="215"/>
      <c r="AD90" s="215"/>
      <c r="AE90" s="215"/>
      <c r="AF90" s="215"/>
      <c r="AG90" s="215"/>
    </row>
    <row r="91" spans="1:33" ht="13.2">
      <c r="A91" s="215"/>
      <c r="B91" s="215"/>
      <c r="C91" s="215"/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215"/>
      <c r="AC91" s="215"/>
      <c r="AD91" s="215"/>
      <c r="AE91" s="215"/>
      <c r="AF91" s="215"/>
      <c r="AG91" s="215"/>
    </row>
    <row r="92" spans="1:33" ht="13.2">
      <c r="A92" s="215"/>
      <c r="B92" s="215"/>
      <c r="C92" s="215"/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215"/>
      <c r="AC92" s="215"/>
      <c r="AD92" s="215"/>
      <c r="AE92" s="215"/>
      <c r="AF92" s="215"/>
      <c r="AG92" s="215"/>
    </row>
    <row r="93" spans="1:33" ht="13.2">
      <c r="A93" s="215"/>
      <c r="B93" s="215"/>
      <c r="C93" s="21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  <c r="AB93" s="215"/>
      <c r="AC93" s="215"/>
      <c r="AD93" s="215"/>
      <c r="AE93" s="215"/>
      <c r="AF93" s="215"/>
      <c r="AG93" s="215"/>
    </row>
    <row r="94" spans="1:33" ht="13.2">
      <c r="A94" s="215"/>
      <c r="B94" s="215"/>
      <c r="C94" s="215"/>
      <c r="D94" s="215"/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  <c r="AA94" s="215"/>
      <c r="AB94" s="215"/>
      <c r="AC94" s="215"/>
      <c r="AD94" s="215"/>
      <c r="AE94" s="215"/>
      <c r="AF94" s="215"/>
      <c r="AG94" s="215"/>
    </row>
    <row r="95" spans="1:33" ht="13.2">
      <c r="A95" s="215"/>
      <c r="B95" s="215"/>
      <c r="C95" s="215"/>
      <c r="D95" s="215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  <c r="AB95" s="215"/>
      <c r="AC95" s="215"/>
      <c r="AD95" s="215"/>
      <c r="AE95" s="215"/>
      <c r="AF95" s="215"/>
      <c r="AG95" s="215"/>
    </row>
    <row r="96" spans="1:33" ht="13.2">
      <c r="A96" s="215"/>
      <c r="B96" s="215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  <c r="AB96" s="215"/>
      <c r="AC96" s="215"/>
      <c r="AD96" s="215"/>
      <c r="AE96" s="215"/>
      <c r="AF96" s="215"/>
      <c r="AG96" s="215"/>
    </row>
    <row r="97" spans="1:33" ht="13.2">
      <c r="A97" s="215"/>
      <c r="B97" s="215"/>
      <c r="C97" s="215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  <c r="AB97" s="215"/>
      <c r="AC97" s="215"/>
      <c r="AD97" s="215"/>
      <c r="AE97" s="215"/>
      <c r="AF97" s="215"/>
      <c r="AG97" s="215"/>
    </row>
    <row r="98" spans="1:33" ht="13.2">
      <c r="A98" s="215"/>
      <c r="B98" s="215"/>
      <c r="C98" s="215"/>
      <c r="D98" s="215"/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  <c r="AA98" s="215"/>
      <c r="AB98" s="215"/>
      <c r="AC98" s="215"/>
      <c r="AD98" s="215"/>
      <c r="AE98" s="215"/>
      <c r="AF98" s="215"/>
      <c r="AG98" s="215"/>
    </row>
    <row r="99" spans="1:33" ht="13.2">
      <c r="A99" s="215"/>
      <c r="B99" s="215"/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  <c r="AC99" s="215"/>
      <c r="AD99" s="215"/>
      <c r="AE99" s="215"/>
      <c r="AF99" s="215"/>
      <c r="AG99" s="215"/>
    </row>
    <row r="100" spans="1:33" ht="13.2">
      <c r="A100" s="215"/>
      <c r="B100" s="215"/>
      <c r="C100" s="215"/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  <c r="AB100" s="215"/>
      <c r="AC100" s="215"/>
      <c r="AD100" s="215"/>
      <c r="AE100" s="215"/>
      <c r="AF100" s="215"/>
      <c r="AG100" s="215"/>
    </row>
    <row r="101" spans="1:33" ht="13.2">
      <c r="A101" s="215"/>
      <c r="B101" s="215"/>
      <c r="C101" s="215"/>
      <c r="D101" s="215"/>
      <c r="E101" s="21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  <c r="AA101" s="215"/>
      <c r="AB101" s="215"/>
      <c r="AC101" s="215"/>
      <c r="AD101" s="215"/>
      <c r="AE101" s="215"/>
      <c r="AF101" s="215"/>
      <c r="AG101" s="215"/>
    </row>
    <row r="102" spans="1:33" ht="13.2">
      <c r="A102" s="215"/>
      <c r="B102" s="215"/>
      <c r="C102" s="215"/>
      <c r="D102" s="215"/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  <c r="AA102" s="215"/>
      <c r="AB102" s="215"/>
      <c r="AC102" s="215"/>
      <c r="AD102" s="215"/>
      <c r="AE102" s="215"/>
      <c r="AF102" s="215"/>
      <c r="AG102" s="215"/>
    </row>
    <row r="103" spans="1:33" ht="13.2">
      <c r="A103" s="215"/>
      <c r="B103" s="215"/>
      <c r="C103" s="215"/>
      <c r="D103" s="215"/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  <c r="AB103" s="215"/>
      <c r="AC103" s="215"/>
      <c r="AD103" s="215"/>
      <c r="AE103" s="215"/>
      <c r="AF103" s="215"/>
      <c r="AG103" s="215"/>
    </row>
    <row r="104" spans="1:33" ht="13.2">
      <c r="A104" s="215"/>
      <c r="B104" s="215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  <c r="AA104" s="215"/>
      <c r="AB104" s="215"/>
      <c r="AC104" s="215"/>
      <c r="AD104" s="215"/>
      <c r="AE104" s="215"/>
      <c r="AF104" s="215"/>
      <c r="AG104" s="215"/>
    </row>
    <row r="105" spans="1:33" ht="13.2">
      <c r="A105" s="215"/>
      <c r="B105" s="215"/>
      <c r="C105" s="215"/>
      <c r="D105" s="215"/>
      <c r="E105" s="21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  <c r="AA105" s="215"/>
      <c r="AB105" s="215"/>
      <c r="AC105" s="215"/>
      <c r="AD105" s="215"/>
      <c r="AE105" s="215"/>
      <c r="AF105" s="215"/>
      <c r="AG105" s="215"/>
    </row>
    <row r="106" spans="1:33" ht="13.2">
      <c r="A106" s="215"/>
      <c r="B106" s="215"/>
      <c r="C106" s="215"/>
      <c r="D106" s="215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  <c r="AA106" s="215"/>
      <c r="AB106" s="215"/>
      <c r="AC106" s="215"/>
      <c r="AD106" s="215"/>
      <c r="AE106" s="215"/>
      <c r="AF106" s="215"/>
      <c r="AG106" s="215"/>
    </row>
    <row r="107" spans="1:33" ht="13.2">
      <c r="A107" s="215"/>
      <c r="B107" s="215"/>
      <c r="C107" s="215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  <c r="AA107" s="215"/>
      <c r="AB107" s="215"/>
      <c r="AC107" s="215"/>
      <c r="AD107" s="215"/>
      <c r="AE107" s="215"/>
      <c r="AF107" s="215"/>
      <c r="AG107" s="215"/>
    </row>
    <row r="108" spans="1:33" ht="13.2">
      <c r="A108" s="215"/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5"/>
    </row>
    <row r="109" spans="1:33" ht="13.2">
      <c r="A109" s="215"/>
      <c r="B109" s="215"/>
      <c r="C109" s="215"/>
      <c r="D109" s="215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  <c r="AA109" s="215"/>
      <c r="AB109" s="215"/>
      <c r="AC109" s="215"/>
      <c r="AD109" s="215"/>
      <c r="AE109" s="215"/>
      <c r="AF109" s="215"/>
      <c r="AG109" s="215"/>
    </row>
    <row r="110" spans="1:33" ht="13.2">
      <c r="A110" s="215"/>
      <c r="B110" s="215"/>
      <c r="C110" s="215"/>
      <c r="D110" s="215"/>
      <c r="E110" s="21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  <c r="AA110" s="215"/>
      <c r="AB110" s="215"/>
      <c r="AC110" s="215"/>
      <c r="AD110" s="215"/>
      <c r="AE110" s="215"/>
      <c r="AF110" s="215"/>
      <c r="AG110" s="215"/>
    </row>
    <row r="111" spans="1:33" ht="13.2">
      <c r="A111" s="215"/>
      <c r="B111" s="215"/>
      <c r="C111" s="215"/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  <c r="AA111" s="215"/>
      <c r="AB111" s="215"/>
      <c r="AC111" s="215"/>
      <c r="AD111" s="215"/>
      <c r="AE111" s="215"/>
      <c r="AF111" s="215"/>
      <c r="AG111" s="215"/>
    </row>
    <row r="112" spans="1:33" ht="13.2">
      <c r="A112" s="215"/>
      <c r="B112" s="215"/>
      <c r="C112" s="215"/>
      <c r="D112" s="215"/>
      <c r="E112" s="21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  <c r="AA112" s="215"/>
      <c r="AB112" s="215"/>
      <c r="AC112" s="215"/>
      <c r="AD112" s="215"/>
      <c r="AE112" s="215"/>
      <c r="AF112" s="215"/>
      <c r="AG112" s="215"/>
    </row>
    <row r="113" spans="1:33" ht="13.2">
      <c r="A113" s="215"/>
      <c r="B113" s="215"/>
      <c r="C113" s="215"/>
      <c r="D113" s="215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  <c r="AA113" s="215"/>
      <c r="AB113" s="215"/>
      <c r="AC113" s="215"/>
      <c r="AD113" s="215"/>
      <c r="AE113" s="215"/>
      <c r="AF113" s="215"/>
      <c r="AG113" s="215"/>
    </row>
    <row r="114" spans="1:33" ht="13.2">
      <c r="A114" s="215"/>
      <c r="B114" s="215"/>
      <c r="C114" s="215"/>
      <c r="D114" s="215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  <c r="AA114" s="215"/>
      <c r="AB114" s="215"/>
      <c r="AC114" s="215"/>
      <c r="AD114" s="215"/>
      <c r="AE114" s="215"/>
      <c r="AF114" s="215"/>
      <c r="AG114" s="215"/>
    </row>
    <row r="115" spans="1:33" ht="13.2">
      <c r="A115" s="215"/>
      <c r="B115" s="215"/>
      <c r="C115" s="215"/>
      <c r="D115" s="215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  <c r="AB115" s="215"/>
      <c r="AC115" s="215"/>
      <c r="AD115" s="215"/>
      <c r="AE115" s="215"/>
      <c r="AF115" s="215"/>
      <c r="AG115" s="215"/>
    </row>
    <row r="116" spans="1:33" ht="13.2">
      <c r="A116" s="215"/>
      <c r="B116" s="215"/>
      <c r="C116" s="215"/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  <c r="AA116" s="215"/>
      <c r="AB116" s="215"/>
      <c r="AC116" s="215"/>
      <c r="AD116" s="215"/>
      <c r="AE116" s="215"/>
      <c r="AF116" s="215"/>
      <c r="AG116" s="215"/>
    </row>
    <row r="117" spans="1:33" ht="13.2">
      <c r="A117" s="215"/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  <c r="AA117" s="215"/>
      <c r="AB117" s="215"/>
      <c r="AC117" s="215"/>
      <c r="AD117" s="215"/>
      <c r="AE117" s="215"/>
      <c r="AF117" s="215"/>
      <c r="AG117" s="215"/>
    </row>
    <row r="118" spans="1:33" ht="13.2">
      <c r="A118" s="215"/>
      <c r="B118" s="215"/>
      <c r="C118" s="215"/>
      <c r="D118" s="215"/>
      <c r="E118" s="21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  <c r="AA118" s="215"/>
      <c r="AB118" s="215"/>
      <c r="AC118" s="215"/>
      <c r="AD118" s="215"/>
      <c r="AE118" s="215"/>
      <c r="AF118" s="215"/>
      <c r="AG118" s="215"/>
    </row>
    <row r="119" spans="1:33" ht="13.2">
      <c r="A119" s="215"/>
      <c r="B119" s="215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  <c r="AA119" s="215"/>
      <c r="AB119" s="215"/>
      <c r="AC119" s="215"/>
      <c r="AD119" s="215"/>
      <c r="AE119" s="215"/>
      <c r="AF119" s="215"/>
      <c r="AG119" s="215"/>
    </row>
    <row r="120" spans="1:33" ht="13.2">
      <c r="A120" s="215"/>
      <c r="B120" s="215"/>
      <c r="C120" s="215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215"/>
      <c r="AC120" s="215"/>
      <c r="AD120" s="215"/>
      <c r="AE120" s="215"/>
      <c r="AF120" s="215"/>
      <c r="AG120" s="215"/>
    </row>
    <row r="121" spans="1:33" ht="13.2">
      <c r="A121" s="215"/>
      <c r="B121" s="215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  <c r="AA121" s="215"/>
      <c r="AB121" s="215"/>
      <c r="AC121" s="215"/>
      <c r="AD121" s="215"/>
      <c r="AE121" s="215"/>
      <c r="AF121" s="215"/>
      <c r="AG121" s="215"/>
    </row>
    <row r="122" spans="1:33" ht="13.2">
      <c r="A122" s="215"/>
      <c r="B122" s="215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  <c r="AB122" s="215"/>
      <c r="AC122" s="215"/>
      <c r="AD122" s="215"/>
      <c r="AE122" s="215"/>
      <c r="AF122" s="215"/>
      <c r="AG122" s="215"/>
    </row>
    <row r="123" spans="1:33" ht="13.2">
      <c r="A123" s="215"/>
      <c r="B123" s="215"/>
      <c r="C123" s="215"/>
      <c r="D123" s="215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  <c r="AB123" s="215"/>
      <c r="AC123" s="215"/>
      <c r="AD123" s="215"/>
      <c r="AE123" s="215"/>
      <c r="AF123" s="215"/>
      <c r="AG123" s="215"/>
    </row>
    <row r="124" spans="1:33" ht="13.2">
      <c r="A124" s="215"/>
      <c r="B124" s="215"/>
      <c r="C124" s="215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  <c r="AB124" s="215"/>
      <c r="AC124" s="215"/>
      <c r="AD124" s="215"/>
      <c r="AE124" s="215"/>
      <c r="AF124" s="215"/>
      <c r="AG124" s="215"/>
    </row>
    <row r="125" spans="1:33" ht="13.2">
      <c r="A125" s="215"/>
      <c r="B125" s="215"/>
      <c r="C125" s="215"/>
      <c r="D125" s="215"/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  <c r="AA125" s="215"/>
      <c r="AB125" s="215"/>
      <c r="AC125" s="215"/>
      <c r="AD125" s="215"/>
      <c r="AE125" s="215"/>
      <c r="AF125" s="215"/>
      <c r="AG125" s="215"/>
    </row>
    <row r="126" spans="1:33" ht="13.2">
      <c r="A126" s="215"/>
      <c r="B126" s="215"/>
      <c r="C126" s="215"/>
      <c r="D126" s="215"/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  <c r="AA126" s="215"/>
      <c r="AB126" s="215"/>
      <c r="AC126" s="215"/>
      <c r="AD126" s="215"/>
      <c r="AE126" s="215"/>
      <c r="AF126" s="215"/>
      <c r="AG126" s="215"/>
    </row>
    <row r="127" spans="1:33" ht="13.2">
      <c r="A127" s="215"/>
      <c r="B127" s="215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  <c r="AA127" s="215"/>
      <c r="AB127" s="215"/>
      <c r="AC127" s="215"/>
      <c r="AD127" s="215"/>
      <c r="AE127" s="215"/>
      <c r="AF127" s="215"/>
      <c r="AG127" s="215"/>
    </row>
    <row r="128" spans="1:33" ht="13.2">
      <c r="A128" s="215"/>
      <c r="B128" s="215"/>
      <c r="C128" s="215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  <c r="AA128" s="215"/>
      <c r="AB128" s="215"/>
      <c r="AC128" s="215"/>
      <c r="AD128" s="215"/>
      <c r="AE128" s="215"/>
      <c r="AF128" s="215"/>
      <c r="AG128" s="215"/>
    </row>
    <row r="129" spans="1:33" ht="13.2">
      <c r="A129" s="215"/>
      <c r="B129" s="215"/>
      <c r="C129" s="215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  <c r="AB129" s="215"/>
      <c r="AC129" s="215"/>
      <c r="AD129" s="215"/>
      <c r="AE129" s="215"/>
      <c r="AF129" s="215"/>
      <c r="AG129" s="215"/>
    </row>
    <row r="130" spans="1:33" ht="13.2">
      <c r="A130" s="215"/>
      <c r="B130" s="215"/>
      <c r="C130" s="215"/>
      <c r="D130" s="215"/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  <c r="AA130" s="215"/>
      <c r="AB130" s="215"/>
      <c r="AC130" s="215"/>
      <c r="AD130" s="215"/>
      <c r="AE130" s="215"/>
      <c r="AF130" s="215"/>
      <c r="AG130" s="215"/>
    </row>
    <row r="131" spans="1:33" ht="13.2">
      <c r="A131" s="215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  <c r="AA131" s="215"/>
      <c r="AB131" s="215"/>
      <c r="AC131" s="215"/>
      <c r="AD131" s="215"/>
      <c r="AE131" s="215"/>
      <c r="AF131" s="215"/>
      <c r="AG131" s="215"/>
    </row>
    <row r="132" spans="1:33" ht="13.2">
      <c r="A132" s="215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  <c r="AA132" s="215"/>
      <c r="AB132" s="215"/>
      <c r="AC132" s="215"/>
      <c r="AD132" s="215"/>
      <c r="AE132" s="215"/>
      <c r="AF132" s="215"/>
      <c r="AG132" s="215"/>
    </row>
    <row r="133" spans="1:33" ht="13.2">
      <c r="A133" s="215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  <c r="AA133" s="215"/>
      <c r="AB133" s="215"/>
      <c r="AC133" s="215"/>
      <c r="AD133" s="215"/>
      <c r="AE133" s="215"/>
      <c r="AF133" s="215"/>
      <c r="AG133" s="215"/>
    </row>
    <row r="134" spans="1:33" ht="13.2">
      <c r="A134" s="215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  <c r="AA134" s="215"/>
      <c r="AB134" s="215"/>
      <c r="AC134" s="215"/>
      <c r="AD134" s="215"/>
      <c r="AE134" s="215"/>
      <c r="AF134" s="215"/>
      <c r="AG134" s="215"/>
    </row>
    <row r="135" spans="1:33" ht="13.2">
      <c r="A135" s="215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  <c r="AA135" s="215"/>
      <c r="AB135" s="215"/>
      <c r="AC135" s="215"/>
      <c r="AD135" s="215"/>
      <c r="AE135" s="215"/>
      <c r="AF135" s="215"/>
      <c r="AG135" s="215"/>
    </row>
    <row r="136" spans="1:33" ht="13.2">
      <c r="A136" s="215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  <c r="AA136" s="215"/>
      <c r="AB136" s="215"/>
      <c r="AC136" s="215"/>
      <c r="AD136" s="215"/>
      <c r="AE136" s="215"/>
      <c r="AF136" s="215"/>
      <c r="AG136" s="215"/>
    </row>
    <row r="137" spans="1:33" ht="13.2">
      <c r="A137" s="215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  <c r="AA137" s="215"/>
      <c r="AB137" s="215"/>
      <c r="AC137" s="215"/>
      <c r="AD137" s="215"/>
      <c r="AE137" s="215"/>
      <c r="AF137" s="215"/>
      <c r="AG137" s="215"/>
    </row>
    <row r="138" spans="1:33" ht="13.2">
      <c r="A138" s="215"/>
      <c r="B138" s="215"/>
      <c r="C138" s="215"/>
      <c r="D138" s="215"/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  <c r="AA138" s="215"/>
      <c r="AB138" s="215"/>
      <c r="AC138" s="215"/>
      <c r="AD138" s="215"/>
      <c r="AE138" s="215"/>
      <c r="AF138" s="215"/>
      <c r="AG138" s="215"/>
    </row>
    <row r="139" spans="1:33" ht="13.2">
      <c r="A139" s="215"/>
      <c r="B139" s="215"/>
      <c r="C139" s="215"/>
      <c r="D139" s="215"/>
      <c r="E139" s="21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  <c r="AA139" s="215"/>
      <c r="AB139" s="215"/>
      <c r="AC139" s="215"/>
      <c r="AD139" s="215"/>
      <c r="AE139" s="215"/>
      <c r="AF139" s="215"/>
      <c r="AG139" s="215"/>
    </row>
    <row r="140" spans="1:33" ht="13.2">
      <c r="A140" s="215"/>
      <c r="B140" s="215"/>
      <c r="C140" s="215"/>
      <c r="D140" s="215"/>
      <c r="E140" s="21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  <c r="AA140" s="215"/>
      <c r="AB140" s="215"/>
      <c r="AC140" s="215"/>
      <c r="AD140" s="215"/>
      <c r="AE140" s="215"/>
      <c r="AF140" s="215"/>
      <c r="AG140" s="215"/>
    </row>
    <row r="141" spans="1:33" ht="13.2">
      <c r="A141" s="215"/>
      <c r="B141" s="215"/>
      <c r="C141" s="215"/>
      <c r="D141" s="215"/>
      <c r="E141" s="21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  <c r="AA141" s="215"/>
      <c r="AB141" s="215"/>
      <c r="AC141" s="215"/>
      <c r="AD141" s="215"/>
      <c r="AE141" s="215"/>
      <c r="AF141" s="215"/>
      <c r="AG141" s="215"/>
    </row>
    <row r="142" spans="1:33" ht="13.2">
      <c r="A142" s="215"/>
      <c r="B142" s="215"/>
      <c r="C142" s="215"/>
      <c r="D142" s="215"/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215"/>
      <c r="AC142" s="215"/>
      <c r="AD142" s="215"/>
      <c r="AE142" s="215"/>
      <c r="AF142" s="215"/>
      <c r="AG142" s="215"/>
    </row>
    <row r="143" spans="1:33" ht="13.2">
      <c r="A143" s="215"/>
      <c r="B143" s="215"/>
      <c r="C143" s="215"/>
      <c r="D143" s="215"/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</row>
    <row r="144" spans="1:33" ht="13.2">
      <c r="A144" s="215"/>
      <c r="B144" s="215"/>
      <c r="C144" s="215"/>
      <c r="D144" s="215"/>
      <c r="E144" s="21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  <c r="AA144" s="215"/>
      <c r="AB144" s="215"/>
      <c r="AC144" s="215"/>
      <c r="AD144" s="215"/>
      <c r="AE144" s="215"/>
      <c r="AF144" s="215"/>
      <c r="AG144" s="215"/>
    </row>
    <row r="145" spans="1:33" ht="13.2">
      <c r="A145" s="215"/>
      <c r="B145" s="215"/>
      <c r="C145" s="215"/>
      <c r="D145" s="215"/>
      <c r="E145" s="21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  <c r="AA145" s="215"/>
      <c r="AB145" s="215"/>
      <c r="AC145" s="215"/>
      <c r="AD145" s="215"/>
      <c r="AE145" s="215"/>
      <c r="AF145" s="215"/>
      <c r="AG145" s="215"/>
    </row>
    <row r="146" spans="1:33" ht="13.2">
      <c r="A146" s="215"/>
      <c r="B146" s="215"/>
      <c r="C146" s="215"/>
      <c r="D146" s="215"/>
      <c r="E146" s="21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  <c r="AA146" s="215"/>
      <c r="AB146" s="215"/>
      <c r="AC146" s="215"/>
      <c r="AD146" s="215"/>
      <c r="AE146" s="215"/>
      <c r="AF146" s="215"/>
      <c r="AG146" s="215"/>
    </row>
    <row r="147" spans="1:33" ht="13.2">
      <c r="A147" s="215"/>
      <c r="B147" s="215"/>
      <c r="C147" s="215"/>
      <c r="D147" s="215"/>
      <c r="E147" s="21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  <c r="AA147" s="215"/>
      <c r="AB147" s="215"/>
      <c r="AC147" s="215"/>
      <c r="AD147" s="215"/>
      <c r="AE147" s="215"/>
      <c r="AF147" s="215"/>
      <c r="AG147" s="215"/>
    </row>
    <row r="148" spans="1:33" ht="13.2">
      <c r="A148" s="215"/>
      <c r="B148" s="215"/>
      <c r="C148" s="215"/>
      <c r="D148" s="215"/>
      <c r="E148" s="21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  <c r="AA148" s="215"/>
      <c r="AB148" s="215"/>
      <c r="AC148" s="215"/>
      <c r="AD148" s="215"/>
      <c r="AE148" s="215"/>
      <c r="AF148" s="215"/>
      <c r="AG148" s="215"/>
    </row>
    <row r="149" spans="1:33" ht="13.2">
      <c r="A149" s="215"/>
      <c r="B149" s="215"/>
      <c r="C149" s="215"/>
      <c r="D149" s="215"/>
      <c r="E149" s="21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  <c r="AA149" s="215"/>
      <c r="AB149" s="215"/>
      <c r="AC149" s="215"/>
      <c r="AD149" s="215"/>
      <c r="AE149" s="215"/>
      <c r="AF149" s="215"/>
      <c r="AG149" s="215"/>
    </row>
    <row r="150" spans="1:33" ht="13.2">
      <c r="A150" s="215"/>
      <c r="B150" s="215"/>
      <c r="C150" s="215"/>
      <c r="D150" s="215"/>
      <c r="E150" s="21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  <c r="AA150" s="215"/>
      <c r="AB150" s="215"/>
      <c r="AC150" s="215"/>
      <c r="AD150" s="215"/>
      <c r="AE150" s="215"/>
      <c r="AF150" s="215"/>
      <c r="AG150" s="215"/>
    </row>
    <row r="151" spans="1:33" ht="13.2">
      <c r="A151" s="215"/>
      <c r="B151" s="215"/>
      <c r="C151" s="215"/>
      <c r="D151" s="215"/>
      <c r="E151" s="21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  <c r="AA151" s="215"/>
      <c r="AB151" s="215"/>
      <c r="AC151" s="215"/>
      <c r="AD151" s="215"/>
      <c r="AE151" s="215"/>
      <c r="AF151" s="215"/>
      <c r="AG151" s="215"/>
    </row>
    <row r="152" spans="1:33" ht="13.2">
      <c r="A152" s="215"/>
      <c r="B152" s="215"/>
      <c r="C152" s="215"/>
      <c r="D152" s="215"/>
      <c r="E152" s="21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  <c r="AA152" s="215"/>
      <c r="AB152" s="215"/>
      <c r="AC152" s="215"/>
      <c r="AD152" s="215"/>
      <c r="AE152" s="215"/>
      <c r="AF152" s="215"/>
      <c r="AG152" s="215"/>
    </row>
    <row r="153" spans="1:33" ht="13.2">
      <c r="A153" s="215"/>
      <c r="B153" s="215"/>
      <c r="C153" s="215"/>
      <c r="D153" s="215"/>
      <c r="E153" s="21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  <c r="AA153" s="215"/>
      <c r="AB153" s="215"/>
      <c r="AC153" s="215"/>
      <c r="AD153" s="215"/>
      <c r="AE153" s="215"/>
      <c r="AF153" s="215"/>
      <c r="AG153" s="215"/>
    </row>
    <row r="154" spans="1:33" ht="13.2">
      <c r="A154" s="215"/>
      <c r="B154" s="215"/>
      <c r="C154" s="215"/>
      <c r="D154" s="215"/>
      <c r="E154" s="215"/>
      <c r="F154" s="215"/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215"/>
      <c r="Z154" s="215"/>
      <c r="AA154" s="215"/>
      <c r="AB154" s="215"/>
      <c r="AC154" s="215"/>
      <c r="AD154" s="215"/>
      <c r="AE154" s="215"/>
      <c r="AF154" s="215"/>
      <c r="AG154" s="215"/>
    </row>
    <row r="155" spans="1:33" ht="13.2">
      <c r="A155" s="215"/>
      <c r="B155" s="215"/>
      <c r="C155" s="215"/>
      <c r="D155" s="215"/>
      <c r="E155" s="215"/>
      <c r="F155" s="215"/>
      <c r="G155" s="215"/>
      <c r="H155" s="215"/>
      <c r="I155" s="215"/>
      <c r="J155" s="215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  <c r="AA155" s="215"/>
      <c r="AB155" s="215"/>
      <c r="AC155" s="215"/>
      <c r="AD155" s="215"/>
      <c r="AE155" s="215"/>
      <c r="AF155" s="215"/>
      <c r="AG155" s="215"/>
    </row>
    <row r="156" spans="1:33" ht="13.2">
      <c r="A156" s="215"/>
      <c r="B156" s="215"/>
      <c r="C156" s="215"/>
      <c r="D156" s="215"/>
      <c r="E156" s="215"/>
      <c r="F156" s="215"/>
      <c r="G156" s="215"/>
      <c r="H156" s="215"/>
      <c r="I156" s="215"/>
      <c r="J156" s="215"/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  <c r="AA156" s="215"/>
      <c r="AB156" s="215"/>
      <c r="AC156" s="215"/>
      <c r="AD156" s="215"/>
      <c r="AE156" s="215"/>
      <c r="AF156" s="215"/>
      <c r="AG156" s="215"/>
    </row>
    <row r="157" spans="1:33" ht="13.2">
      <c r="A157" s="215"/>
      <c r="B157" s="215"/>
      <c r="C157" s="215"/>
      <c r="D157" s="215"/>
      <c r="E157" s="215"/>
      <c r="F157" s="215"/>
      <c r="G157" s="215"/>
      <c r="H157" s="215"/>
      <c r="I157" s="215"/>
      <c r="J157" s="215"/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  <c r="AA157" s="215"/>
      <c r="AB157" s="215"/>
      <c r="AC157" s="215"/>
      <c r="AD157" s="215"/>
      <c r="AE157" s="215"/>
      <c r="AF157" s="215"/>
      <c r="AG157" s="215"/>
    </row>
    <row r="158" spans="1:33" ht="13.2">
      <c r="A158" s="215"/>
      <c r="B158" s="215"/>
      <c r="C158" s="215"/>
      <c r="D158" s="215"/>
      <c r="E158" s="215"/>
      <c r="F158" s="215"/>
      <c r="G158" s="215"/>
      <c r="H158" s="215"/>
      <c r="I158" s="215"/>
      <c r="J158" s="215"/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  <c r="AA158" s="215"/>
      <c r="AB158" s="215"/>
      <c r="AC158" s="215"/>
      <c r="AD158" s="215"/>
      <c r="AE158" s="215"/>
      <c r="AF158" s="215"/>
      <c r="AG158" s="215"/>
    </row>
    <row r="159" spans="1:33" ht="13.2">
      <c r="A159" s="215"/>
      <c r="B159" s="215"/>
      <c r="C159" s="215"/>
      <c r="D159" s="215"/>
      <c r="E159" s="21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  <c r="AA159" s="215"/>
      <c r="AB159" s="215"/>
      <c r="AC159" s="215"/>
      <c r="AD159" s="215"/>
      <c r="AE159" s="215"/>
      <c r="AF159" s="215"/>
      <c r="AG159" s="215"/>
    </row>
    <row r="160" spans="1:33" ht="13.2">
      <c r="A160" s="215"/>
      <c r="B160" s="215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5"/>
      <c r="AG160" s="215"/>
    </row>
    <row r="161" spans="1:33" ht="13.2">
      <c r="A161" s="215"/>
      <c r="B161" s="215"/>
      <c r="C161" s="215"/>
      <c r="D161" s="215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  <c r="AA161" s="215"/>
      <c r="AB161" s="215"/>
      <c r="AC161" s="215"/>
      <c r="AD161" s="215"/>
      <c r="AE161" s="215"/>
      <c r="AF161" s="215"/>
      <c r="AG161" s="215"/>
    </row>
    <row r="162" spans="1:33" ht="13.2">
      <c r="A162" s="215"/>
      <c r="B162" s="215"/>
      <c r="C162" s="215"/>
      <c r="D162" s="215"/>
      <c r="E162" s="21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  <c r="AA162" s="215"/>
      <c r="AB162" s="215"/>
      <c r="AC162" s="215"/>
      <c r="AD162" s="215"/>
      <c r="AE162" s="215"/>
      <c r="AF162" s="215"/>
      <c r="AG162" s="215"/>
    </row>
    <row r="163" spans="1:33" ht="13.2">
      <c r="A163" s="215"/>
      <c r="B163" s="215"/>
      <c r="C163" s="215"/>
      <c r="D163" s="215"/>
      <c r="E163" s="21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  <c r="Z163" s="215"/>
      <c r="AA163" s="215"/>
      <c r="AB163" s="215"/>
      <c r="AC163" s="215"/>
      <c r="AD163" s="215"/>
      <c r="AE163" s="215"/>
      <c r="AF163" s="215"/>
      <c r="AG163" s="215"/>
    </row>
    <row r="164" spans="1:33" ht="13.2">
      <c r="A164" s="215"/>
      <c r="B164" s="215"/>
      <c r="C164" s="215"/>
      <c r="D164" s="215"/>
      <c r="E164" s="21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  <c r="AA164" s="215"/>
      <c r="AB164" s="215"/>
      <c r="AC164" s="215"/>
      <c r="AD164" s="215"/>
      <c r="AE164" s="215"/>
      <c r="AF164" s="215"/>
      <c r="AG164" s="215"/>
    </row>
    <row r="165" spans="1:33" ht="13.2">
      <c r="A165" s="215"/>
      <c r="B165" s="215"/>
      <c r="C165" s="215"/>
      <c r="D165" s="215"/>
      <c r="E165" s="21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  <c r="AA165" s="215"/>
      <c r="AB165" s="215"/>
      <c r="AC165" s="215"/>
      <c r="AD165" s="215"/>
      <c r="AE165" s="215"/>
      <c r="AF165" s="215"/>
      <c r="AG165" s="215"/>
    </row>
    <row r="166" spans="1:33" ht="13.2">
      <c r="A166" s="215"/>
      <c r="B166" s="215"/>
      <c r="C166" s="215"/>
      <c r="D166" s="215"/>
      <c r="E166" s="21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  <c r="AA166" s="215"/>
      <c r="AB166" s="215"/>
      <c r="AC166" s="215"/>
      <c r="AD166" s="215"/>
      <c r="AE166" s="215"/>
      <c r="AF166" s="215"/>
      <c r="AG166" s="215"/>
    </row>
    <row r="167" spans="1:33" ht="13.2">
      <c r="A167" s="215"/>
      <c r="B167" s="215"/>
      <c r="C167" s="215"/>
      <c r="D167" s="215"/>
      <c r="E167" s="21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  <c r="AA167" s="215"/>
      <c r="AB167" s="215"/>
      <c r="AC167" s="215"/>
      <c r="AD167" s="215"/>
      <c r="AE167" s="215"/>
      <c r="AF167" s="215"/>
      <c r="AG167" s="215"/>
    </row>
    <row r="168" spans="1:33" ht="13.2">
      <c r="A168" s="215"/>
      <c r="B168" s="215"/>
      <c r="C168" s="215"/>
      <c r="D168" s="215"/>
      <c r="E168" s="21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  <c r="AA168" s="215"/>
      <c r="AB168" s="215"/>
      <c r="AC168" s="215"/>
      <c r="AD168" s="215"/>
      <c r="AE168" s="215"/>
      <c r="AF168" s="215"/>
      <c r="AG168" s="215"/>
    </row>
    <row r="169" spans="1:33" ht="13.2">
      <c r="A169" s="215"/>
      <c r="B169" s="215"/>
      <c r="C169" s="215"/>
      <c r="D169" s="215"/>
      <c r="E169" s="21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  <c r="AA169" s="215"/>
      <c r="AB169" s="215"/>
      <c r="AC169" s="215"/>
      <c r="AD169" s="215"/>
      <c r="AE169" s="215"/>
      <c r="AF169" s="215"/>
      <c r="AG169" s="215"/>
    </row>
    <row r="170" spans="1:33" ht="13.2">
      <c r="A170" s="215"/>
      <c r="B170" s="215"/>
      <c r="C170" s="215"/>
      <c r="D170" s="215"/>
      <c r="E170" s="21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  <c r="AA170" s="215"/>
      <c r="AB170" s="215"/>
      <c r="AC170" s="215"/>
      <c r="AD170" s="215"/>
      <c r="AE170" s="215"/>
      <c r="AF170" s="215"/>
      <c r="AG170" s="215"/>
    </row>
    <row r="171" spans="1:33" ht="13.2">
      <c r="A171" s="215"/>
      <c r="B171" s="215"/>
      <c r="C171" s="215"/>
      <c r="D171" s="215"/>
      <c r="E171" s="21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  <c r="AA171" s="215"/>
      <c r="AB171" s="215"/>
      <c r="AC171" s="215"/>
      <c r="AD171" s="215"/>
      <c r="AE171" s="215"/>
      <c r="AF171" s="215"/>
      <c r="AG171" s="215"/>
    </row>
    <row r="172" spans="1:33" ht="13.2">
      <c r="A172" s="215"/>
      <c r="B172" s="215"/>
      <c r="C172" s="215"/>
      <c r="D172" s="215"/>
      <c r="E172" s="21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  <c r="AA172" s="215"/>
      <c r="AB172" s="215"/>
      <c r="AC172" s="215"/>
      <c r="AD172" s="215"/>
      <c r="AE172" s="215"/>
      <c r="AF172" s="215"/>
      <c r="AG172" s="215"/>
    </row>
    <row r="173" spans="1:33" ht="13.2">
      <c r="A173" s="215"/>
      <c r="B173" s="215"/>
      <c r="C173" s="215"/>
      <c r="D173" s="215"/>
      <c r="E173" s="21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  <c r="AA173" s="215"/>
      <c r="AB173" s="215"/>
      <c r="AC173" s="215"/>
      <c r="AD173" s="215"/>
      <c r="AE173" s="215"/>
      <c r="AF173" s="215"/>
      <c r="AG173" s="215"/>
    </row>
    <row r="174" spans="1:33" ht="13.2">
      <c r="A174" s="215"/>
      <c r="B174" s="215"/>
      <c r="C174" s="215"/>
      <c r="D174" s="215"/>
      <c r="E174" s="21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  <c r="AA174" s="215"/>
      <c r="AB174" s="215"/>
      <c r="AC174" s="215"/>
      <c r="AD174" s="215"/>
      <c r="AE174" s="215"/>
      <c r="AF174" s="215"/>
      <c r="AG174" s="215"/>
    </row>
    <row r="175" spans="1:33" ht="13.2">
      <c r="A175" s="215"/>
      <c r="B175" s="215"/>
      <c r="C175" s="215"/>
      <c r="D175" s="215"/>
      <c r="E175" s="21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  <c r="AA175" s="215"/>
      <c r="AB175" s="215"/>
      <c r="AC175" s="215"/>
      <c r="AD175" s="215"/>
      <c r="AE175" s="215"/>
      <c r="AF175" s="215"/>
      <c r="AG175" s="215"/>
    </row>
    <row r="176" spans="1:33" ht="13.2">
      <c r="A176" s="215"/>
      <c r="B176" s="215"/>
      <c r="C176" s="215"/>
      <c r="D176" s="215"/>
      <c r="E176" s="21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  <c r="AA176" s="215"/>
      <c r="AB176" s="215"/>
      <c r="AC176" s="215"/>
      <c r="AD176" s="215"/>
      <c r="AE176" s="215"/>
      <c r="AF176" s="215"/>
      <c r="AG176" s="215"/>
    </row>
    <row r="177" spans="1:33" ht="13.2">
      <c r="A177" s="215"/>
      <c r="B177" s="215"/>
      <c r="C177" s="215"/>
      <c r="D177" s="215"/>
      <c r="E177" s="21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  <c r="AA177" s="215"/>
      <c r="AB177" s="215"/>
      <c r="AC177" s="215"/>
      <c r="AD177" s="215"/>
      <c r="AE177" s="215"/>
      <c r="AF177" s="215"/>
      <c r="AG177" s="215"/>
    </row>
    <row r="178" spans="1:33" ht="13.2">
      <c r="A178" s="215"/>
      <c r="B178" s="215"/>
      <c r="C178" s="215"/>
      <c r="D178" s="215"/>
      <c r="E178" s="21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  <c r="AA178" s="215"/>
      <c r="AB178" s="215"/>
      <c r="AC178" s="215"/>
      <c r="AD178" s="215"/>
      <c r="AE178" s="215"/>
      <c r="AF178" s="215"/>
      <c r="AG178" s="215"/>
    </row>
    <row r="179" spans="1:33" ht="13.2">
      <c r="A179" s="215"/>
      <c r="B179" s="215"/>
      <c r="C179" s="215"/>
      <c r="D179" s="215"/>
      <c r="E179" s="215"/>
      <c r="F179" s="215"/>
      <c r="G179" s="215"/>
      <c r="H179" s="215"/>
      <c r="I179" s="215"/>
      <c r="J179" s="215"/>
      <c r="K179" s="215"/>
      <c r="L179" s="215"/>
      <c r="M179" s="215"/>
      <c r="N179" s="215"/>
      <c r="O179" s="215"/>
      <c r="P179" s="215"/>
      <c r="Q179" s="215"/>
      <c r="R179" s="215"/>
      <c r="S179" s="215"/>
      <c r="T179" s="215"/>
      <c r="U179" s="215"/>
      <c r="V179" s="215"/>
      <c r="W179" s="215"/>
      <c r="X179" s="215"/>
      <c r="Y179" s="215"/>
      <c r="Z179" s="215"/>
      <c r="AA179" s="215"/>
      <c r="AB179" s="215"/>
      <c r="AC179" s="215"/>
      <c r="AD179" s="215"/>
      <c r="AE179" s="215"/>
      <c r="AF179" s="215"/>
      <c r="AG179" s="215"/>
    </row>
    <row r="180" spans="1:33" ht="13.2">
      <c r="A180" s="215"/>
      <c r="B180" s="215"/>
      <c r="C180" s="215"/>
      <c r="D180" s="215"/>
      <c r="E180" s="215"/>
      <c r="F180" s="215"/>
      <c r="G180" s="215"/>
      <c r="H180" s="215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  <c r="AA180" s="215"/>
      <c r="AB180" s="215"/>
      <c r="AC180" s="215"/>
      <c r="AD180" s="215"/>
      <c r="AE180" s="215"/>
      <c r="AF180" s="215"/>
      <c r="AG180" s="215"/>
    </row>
    <row r="181" spans="1:33" ht="13.2">
      <c r="A181" s="215"/>
      <c r="B181" s="215"/>
      <c r="C181" s="215"/>
      <c r="D181" s="215"/>
      <c r="E181" s="21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  <c r="AA181" s="215"/>
      <c r="AB181" s="215"/>
      <c r="AC181" s="215"/>
      <c r="AD181" s="215"/>
      <c r="AE181" s="215"/>
      <c r="AF181" s="215"/>
      <c r="AG181" s="215"/>
    </row>
    <row r="182" spans="1:33" ht="13.2">
      <c r="A182" s="215"/>
      <c r="B182" s="215"/>
      <c r="C182" s="215"/>
      <c r="D182" s="215"/>
      <c r="E182" s="215"/>
      <c r="F182" s="215"/>
      <c r="G182" s="215"/>
      <c r="H182" s="215"/>
      <c r="I182" s="215"/>
      <c r="J182" s="215"/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  <c r="AA182" s="215"/>
      <c r="AB182" s="215"/>
      <c r="AC182" s="215"/>
      <c r="AD182" s="215"/>
      <c r="AE182" s="215"/>
      <c r="AF182" s="215"/>
      <c r="AG182" s="215"/>
    </row>
    <row r="183" spans="1:33" ht="13.2">
      <c r="A183" s="215"/>
      <c r="B183" s="215"/>
      <c r="C183" s="215"/>
      <c r="D183" s="215"/>
      <c r="E183" s="215"/>
      <c r="F183" s="215"/>
      <c r="G183" s="215"/>
      <c r="H183" s="215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  <c r="AA183" s="215"/>
      <c r="AB183" s="215"/>
      <c r="AC183" s="215"/>
      <c r="AD183" s="215"/>
      <c r="AE183" s="215"/>
      <c r="AF183" s="215"/>
      <c r="AG183" s="215"/>
    </row>
    <row r="184" spans="1:33" ht="13.2">
      <c r="A184" s="215"/>
      <c r="B184" s="215"/>
      <c r="C184" s="215"/>
      <c r="D184" s="215"/>
      <c r="E184" s="21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  <c r="AA184" s="215"/>
      <c r="AB184" s="215"/>
      <c r="AC184" s="215"/>
      <c r="AD184" s="215"/>
      <c r="AE184" s="215"/>
      <c r="AF184" s="215"/>
      <c r="AG184" s="215"/>
    </row>
    <row r="185" spans="1:33" ht="13.2">
      <c r="A185" s="215"/>
      <c r="B185" s="215"/>
      <c r="C185" s="215"/>
      <c r="D185" s="215"/>
      <c r="E185" s="215"/>
      <c r="F185" s="215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  <c r="AA185" s="215"/>
      <c r="AB185" s="215"/>
      <c r="AC185" s="215"/>
      <c r="AD185" s="215"/>
      <c r="AE185" s="215"/>
      <c r="AF185" s="215"/>
      <c r="AG185" s="215"/>
    </row>
    <row r="186" spans="1:33" ht="13.2">
      <c r="A186" s="215"/>
      <c r="B186" s="215"/>
      <c r="C186" s="215"/>
      <c r="D186" s="215"/>
      <c r="E186" s="215"/>
      <c r="F186" s="215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  <c r="AA186" s="215"/>
      <c r="AB186" s="215"/>
      <c r="AC186" s="215"/>
      <c r="AD186" s="215"/>
      <c r="AE186" s="215"/>
      <c r="AF186" s="215"/>
      <c r="AG186" s="215"/>
    </row>
    <row r="187" spans="1:33" ht="13.2">
      <c r="A187" s="215"/>
      <c r="B187" s="215"/>
      <c r="C187" s="215"/>
      <c r="D187" s="215"/>
      <c r="E187" s="21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  <c r="AA187" s="215"/>
      <c r="AB187" s="215"/>
      <c r="AC187" s="215"/>
      <c r="AD187" s="215"/>
      <c r="AE187" s="215"/>
      <c r="AF187" s="215"/>
      <c r="AG187" s="215"/>
    </row>
    <row r="188" spans="1:33" ht="13.2">
      <c r="A188" s="215"/>
      <c r="B188" s="215"/>
      <c r="C188" s="215"/>
      <c r="D188" s="215"/>
      <c r="E188" s="21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  <c r="AA188" s="215"/>
      <c r="AB188" s="215"/>
      <c r="AC188" s="215"/>
      <c r="AD188" s="215"/>
      <c r="AE188" s="215"/>
      <c r="AF188" s="215"/>
      <c r="AG188" s="215"/>
    </row>
    <row r="189" spans="1:33" ht="13.2">
      <c r="A189" s="215"/>
      <c r="B189" s="215"/>
      <c r="C189" s="215"/>
      <c r="D189" s="215"/>
      <c r="E189" s="21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  <c r="AA189" s="215"/>
      <c r="AB189" s="215"/>
      <c r="AC189" s="215"/>
      <c r="AD189" s="215"/>
      <c r="AE189" s="215"/>
      <c r="AF189" s="215"/>
      <c r="AG189" s="215"/>
    </row>
    <row r="190" spans="1:33" ht="13.2">
      <c r="A190" s="215"/>
      <c r="B190" s="215"/>
      <c r="C190" s="215"/>
      <c r="D190" s="215"/>
      <c r="E190" s="21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  <c r="AA190" s="215"/>
      <c r="AB190" s="215"/>
      <c r="AC190" s="215"/>
      <c r="AD190" s="215"/>
      <c r="AE190" s="215"/>
      <c r="AF190" s="215"/>
      <c r="AG190" s="215"/>
    </row>
    <row r="191" spans="1:33" ht="13.2">
      <c r="A191" s="215"/>
      <c r="B191" s="215"/>
      <c r="C191" s="215"/>
      <c r="D191" s="215"/>
      <c r="E191" s="21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  <c r="AA191" s="215"/>
      <c r="AB191" s="215"/>
      <c r="AC191" s="215"/>
      <c r="AD191" s="215"/>
      <c r="AE191" s="215"/>
      <c r="AF191" s="215"/>
      <c r="AG191" s="215"/>
    </row>
    <row r="192" spans="1:33" ht="13.2">
      <c r="A192" s="215"/>
      <c r="B192" s="215"/>
      <c r="C192" s="215"/>
      <c r="D192" s="215"/>
      <c r="E192" s="21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  <c r="AA192" s="215"/>
      <c r="AB192" s="215"/>
      <c r="AC192" s="215"/>
      <c r="AD192" s="215"/>
      <c r="AE192" s="215"/>
      <c r="AF192" s="215"/>
      <c r="AG192" s="215"/>
    </row>
    <row r="193" spans="1:33" ht="13.2">
      <c r="A193" s="215"/>
      <c r="B193" s="215"/>
      <c r="C193" s="215"/>
      <c r="D193" s="215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  <c r="AA193" s="215"/>
      <c r="AB193" s="215"/>
      <c r="AC193" s="215"/>
      <c r="AD193" s="215"/>
      <c r="AE193" s="215"/>
      <c r="AF193" s="215"/>
      <c r="AG193" s="215"/>
    </row>
    <row r="194" spans="1:33" ht="13.2">
      <c r="A194" s="215"/>
      <c r="B194" s="215"/>
      <c r="C194" s="215"/>
      <c r="D194" s="215"/>
      <c r="E194" s="21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  <c r="AA194" s="215"/>
      <c r="AB194" s="215"/>
      <c r="AC194" s="215"/>
      <c r="AD194" s="215"/>
      <c r="AE194" s="215"/>
      <c r="AF194" s="215"/>
      <c r="AG194" s="215"/>
    </row>
    <row r="195" spans="1:33" ht="13.2">
      <c r="A195" s="215"/>
      <c r="B195" s="215"/>
      <c r="C195" s="215"/>
      <c r="D195" s="215"/>
      <c r="E195" s="21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  <c r="AA195" s="215"/>
      <c r="AB195" s="215"/>
      <c r="AC195" s="215"/>
      <c r="AD195" s="215"/>
      <c r="AE195" s="215"/>
      <c r="AF195" s="215"/>
      <c r="AG195" s="215"/>
    </row>
    <row r="196" spans="1:33" ht="13.2">
      <c r="A196" s="215"/>
      <c r="B196" s="215"/>
      <c r="C196" s="215"/>
      <c r="D196" s="215"/>
      <c r="E196" s="21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  <c r="AA196" s="215"/>
      <c r="AB196" s="215"/>
      <c r="AC196" s="215"/>
      <c r="AD196" s="215"/>
      <c r="AE196" s="215"/>
      <c r="AF196" s="215"/>
      <c r="AG196" s="215"/>
    </row>
    <row r="197" spans="1:33" ht="13.2">
      <c r="A197" s="215"/>
      <c r="B197" s="215"/>
      <c r="C197" s="215"/>
      <c r="D197" s="215"/>
      <c r="E197" s="21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  <c r="AA197" s="215"/>
      <c r="AB197" s="215"/>
      <c r="AC197" s="215"/>
      <c r="AD197" s="215"/>
      <c r="AE197" s="215"/>
      <c r="AF197" s="215"/>
      <c r="AG197" s="215"/>
    </row>
    <row r="198" spans="1:33" ht="13.2">
      <c r="A198" s="215"/>
      <c r="B198" s="215"/>
      <c r="C198" s="215"/>
      <c r="D198" s="215"/>
      <c r="E198" s="21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  <c r="AA198" s="215"/>
      <c r="AB198" s="215"/>
      <c r="AC198" s="215"/>
      <c r="AD198" s="215"/>
      <c r="AE198" s="215"/>
      <c r="AF198" s="215"/>
      <c r="AG198" s="215"/>
    </row>
    <row r="199" spans="1:33" ht="13.2">
      <c r="A199" s="215"/>
      <c r="B199" s="215"/>
      <c r="C199" s="215"/>
      <c r="D199" s="215"/>
      <c r="E199" s="21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  <c r="AA199" s="215"/>
      <c r="AB199" s="215"/>
      <c r="AC199" s="215"/>
      <c r="AD199" s="215"/>
      <c r="AE199" s="215"/>
      <c r="AF199" s="215"/>
      <c r="AG199" s="215"/>
    </row>
    <row r="200" spans="1:33" ht="13.2">
      <c r="A200" s="215"/>
      <c r="B200" s="215"/>
      <c r="C200" s="215"/>
      <c r="D200" s="215"/>
      <c r="E200" s="21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  <c r="AA200" s="215"/>
      <c r="AB200" s="215"/>
      <c r="AC200" s="215"/>
      <c r="AD200" s="215"/>
      <c r="AE200" s="215"/>
      <c r="AF200" s="215"/>
      <c r="AG200" s="215"/>
    </row>
    <row r="201" spans="1:33" ht="13.2">
      <c r="A201" s="215"/>
      <c r="B201" s="215"/>
      <c r="C201" s="215"/>
      <c r="D201" s="215"/>
      <c r="E201" s="21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  <c r="AA201" s="215"/>
      <c r="AB201" s="215"/>
      <c r="AC201" s="215"/>
      <c r="AD201" s="215"/>
      <c r="AE201" s="215"/>
      <c r="AF201" s="215"/>
      <c r="AG201" s="215"/>
    </row>
    <row r="202" spans="1:33" ht="13.2">
      <c r="A202" s="215"/>
      <c r="B202" s="215"/>
      <c r="C202" s="215"/>
      <c r="D202" s="215"/>
      <c r="E202" s="21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  <c r="AA202" s="215"/>
      <c r="AB202" s="215"/>
      <c r="AC202" s="215"/>
      <c r="AD202" s="215"/>
      <c r="AE202" s="215"/>
      <c r="AF202" s="215"/>
      <c r="AG202" s="215"/>
    </row>
    <row r="203" spans="1:33" ht="13.2">
      <c r="A203" s="215"/>
      <c r="B203" s="215"/>
      <c r="C203" s="215"/>
      <c r="D203" s="215"/>
      <c r="E203" s="21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  <c r="AA203" s="215"/>
      <c r="AB203" s="215"/>
      <c r="AC203" s="215"/>
      <c r="AD203" s="215"/>
      <c r="AE203" s="215"/>
      <c r="AF203" s="215"/>
      <c r="AG203" s="215"/>
    </row>
    <row r="204" spans="1:33" ht="13.2">
      <c r="A204" s="215"/>
      <c r="B204" s="215"/>
      <c r="C204" s="215"/>
      <c r="D204" s="215"/>
      <c r="E204" s="21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  <c r="AA204" s="215"/>
      <c r="AB204" s="215"/>
      <c r="AC204" s="215"/>
      <c r="AD204" s="215"/>
      <c r="AE204" s="215"/>
      <c r="AF204" s="215"/>
      <c r="AG204" s="215"/>
    </row>
    <row r="205" spans="1:33" ht="13.2">
      <c r="A205" s="215"/>
      <c r="B205" s="215"/>
      <c r="C205" s="215"/>
      <c r="D205" s="215"/>
      <c r="E205" s="215"/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  <c r="Z205" s="215"/>
      <c r="AA205" s="215"/>
      <c r="AB205" s="215"/>
      <c r="AC205" s="215"/>
      <c r="AD205" s="215"/>
      <c r="AE205" s="215"/>
      <c r="AF205" s="215"/>
      <c r="AG205" s="215"/>
    </row>
    <row r="206" spans="1:33" ht="13.2">
      <c r="A206" s="215"/>
      <c r="B206" s="215"/>
      <c r="C206" s="215"/>
      <c r="D206" s="215"/>
      <c r="E206" s="215"/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  <c r="AA206" s="215"/>
      <c r="AB206" s="215"/>
      <c r="AC206" s="215"/>
      <c r="AD206" s="215"/>
      <c r="AE206" s="215"/>
      <c r="AF206" s="215"/>
      <c r="AG206" s="215"/>
    </row>
    <row r="207" spans="1:33" ht="13.2">
      <c r="A207" s="215"/>
      <c r="B207" s="215"/>
      <c r="C207" s="215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  <c r="AA207" s="215"/>
      <c r="AB207" s="215"/>
      <c r="AC207" s="215"/>
      <c r="AD207" s="215"/>
      <c r="AE207" s="215"/>
      <c r="AF207" s="215"/>
      <c r="AG207" s="215"/>
    </row>
    <row r="208" spans="1:33" ht="13.2">
      <c r="A208" s="215"/>
      <c r="B208" s="215"/>
      <c r="C208" s="215"/>
      <c r="D208" s="215"/>
      <c r="E208" s="215"/>
      <c r="F208" s="215"/>
      <c r="G208" s="215"/>
      <c r="H208" s="215"/>
      <c r="I208" s="215"/>
      <c r="J208" s="215"/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  <c r="Z208" s="215"/>
      <c r="AA208" s="215"/>
      <c r="AB208" s="215"/>
      <c r="AC208" s="215"/>
      <c r="AD208" s="215"/>
      <c r="AE208" s="215"/>
      <c r="AF208" s="215"/>
      <c r="AG208" s="215"/>
    </row>
    <row r="209" spans="1:33" ht="13.2">
      <c r="A209" s="215"/>
      <c r="B209" s="215"/>
      <c r="C209" s="215"/>
      <c r="D209" s="215"/>
      <c r="E209" s="21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  <c r="AA209" s="215"/>
      <c r="AB209" s="215"/>
      <c r="AC209" s="215"/>
      <c r="AD209" s="215"/>
      <c r="AE209" s="215"/>
      <c r="AF209" s="215"/>
      <c r="AG209" s="215"/>
    </row>
    <row r="210" spans="1:33" ht="13.2">
      <c r="A210" s="215"/>
      <c r="B210" s="215"/>
      <c r="C210" s="215"/>
      <c r="D210" s="215"/>
      <c r="E210" s="21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  <c r="AA210" s="215"/>
      <c r="AB210" s="215"/>
      <c r="AC210" s="215"/>
      <c r="AD210" s="215"/>
      <c r="AE210" s="215"/>
      <c r="AF210" s="215"/>
      <c r="AG210" s="215"/>
    </row>
    <row r="211" spans="1:33" ht="13.2">
      <c r="A211" s="215"/>
      <c r="B211" s="215"/>
      <c r="C211" s="215"/>
      <c r="D211" s="215"/>
      <c r="E211" s="215"/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  <c r="AA211" s="215"/>
      <c r="AB211" s="215"/>
      <c r="AC211" s="215"/>
      <c r="AD211" s="215"/>
      <c r="AE211" s="215"/>
      <c r="AF211" s="215"/>
      <c r="AG211" s="215"/>
    </row>
    <row r="212" spans="1:33" ht="13.2">
      <c r="A212" s="215"/>
      <c r="B212" s="215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5"/>
      <c r="AG212" s="215"/>
    </row>
    <row r="213" spans="1:33" ht="13.2">
      <c r="A213" s="215"/>
      <c r="B213" s="215"/>
      <c r="C213" s="215"/>
      <c r="D213" s="215"/>
      <c r="E213" s="21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  <c r="AA213" s="215"/>
      <c r="AB213" s="215"/>
      <c r="AC213" s="215"/>
      <c r="AD213" s="215"/>
      <c r="AE213" s="215"/>
      <c r="AF213" s="215"/>
      <c r="AG213" s="215"/>
    </row>
    <row r="214" spans="1:33" ht="13.2">
      <c r="A214" s="215"/>
      <c r="B214" s="215"/>
      <c r="C214" s="215"/>
      <c r="D214" s="215"/>
      <c r="E214" s="21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  <c r="AA214" s="215"/>
      <c r="AB214" s="215"/>
      <c r="AC214" s="215"/>
      <c r="AD214" s="215"/>
      <c r="AE214" s="215"/>
      <c r="AF214" s="215"/>
      <c r="AG214" s="215"/>
    </row>
    <row r="215" spans="1:33" ht="13.2">
      <c r="A215" s="215"/>
      <c r="B215" s="215"/>
      <c r="C215" s="215"/>
      <c r="D215" s="215"/>
      <c r="E215" s="21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  <c r="Z215" s="215"/>
      <c r="AA215" s="215"/>
      <c r="AB215" s="215"/>
      <c r="AC215" s="215"/>
      <c r="AD215" s="215"/>
      <c r="AE215" s="215"/>
      <c r="AF215" s="215"/>
      <c r="AG215" s="215"/>
    </row>
    <row r="216" spans="1:33" ht="13.2">
      <c r="A216" s="215"/>
      <c r="B216" s="215"/>
      <c r="C216" s="215"/>
      <c r="D216" s="215"/>
      <c r="E216" s="21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  <c r="AA216" s="215"/>
      <c r="AB216" s="215"/>
      <c r="AC216" s="215"/>
      <c r="AD216" s="215"/>
      <c r="AE216" s="215"/>
      <c r="AF216" s="215"/>
      <c r="AG216" s="215"/>
    </row>
    <row r="217" spans="1:33" ht="13.2">
      <c r="A217" s="215"/>
      <c r="B217" s="215"/>
      <c r="C217" s="215"/>
      <c r="D217" s="215"/>
      <c r="E217" s="21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  <c r="Z217" s="215"/>
      <c r="AA217" s="215"/>
      <c r="AB217" s="215"/>
      <c r="AC217" s="215"/>
      <c r="AD217" s="215"/>
      <c r="AE217" s="215"/>
      <c r="AF217" s="215"/>
      <c r="AG217" s="215"/>
    </row>
    <row r="218" spans="1:33" ht="13.2">
      <c r="A218" s="215"/>
      <c r="B218" s="215"/>
      <c r="C218" s="215"/>
      <c r="D218" s="215"/>
      <c r="E218" s="21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215"/>
      <c r="Z218" s="215"/>
      <c r="AA218" s="215"/>
      <c r="AB218" s="215"/>
      <c r="AC218" s="215"/>
      <c r="AD218" s="215"/>
      <c r="AE218" s="215"/>
      <c r="AF218" s="215"/>
      <c r="AG218" s="215"/>
    </row>
    <row r="219" spans="1:33" ht="13.2">
      <c r="A219" s="215"/>
      <c r="B219" s="215"/>
      <c r="C219" s="215"/>
      <c r="D219" s="215"/>
      <c r="E219" s="21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215"/>
      <c r="Z219" s="215"/>
      <c r="AA219" s="215"/>
      <c r="AB219" s="215"/>
      <c r="AC219" s="215"/>
      <c r="AD219" s="215"/>
      <c r="AE219" s="215"/>
      <c r="AF219" s="215"/>
      <c r="AG219" s="215"/>
    </row>
    <row r="220" spans="1:33" ht="13.2">
      <c r="A220" s="215"/>
      <c r="B220" s="215"/>
      <c r="C220" s="215"/>
      <c r="D220" s="215"/>
      <c r="E220" s="21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15"/>
      <c r="Z220" s="215"/>
      <c r="AA220" s="215"/>
      <c r="AB220" s="215"/>
      <c r="AC220" s="215"/>
      <c r="AD220" s="215"/>
      <c r="AE220" s="215"/>
      <c r="AF220" s="215"/>
      <c r="AG220" s="215"/>
    </row>
    <row r="221" spans="1:33" ht="13.2">
      <c r="A221" s="215"/>
      <c r="B221" s="215"/>
      <c r="C221" s="215"/>
      <c r="D221" s="215"/>
      <c r="E221" s="215"/>
      <c r="F221" s="215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215"/>
      <c r="Z221" s="215"/>
      <c r="AA221" s="215"/>
      <c r="AB221" s="215"/>
      <c r="AC221" s="215"/>
      <c r="AD221" s="215"/>
      <c r="AE221" s="215"/>
      <c r="AF221" s="215"/>
      <c r="AG221" s="215"/>
    </row>
    <row r="222" spans="1:33" ht="13.2">
      <c r="A222" s="215"/>
      <c r="B222" s="215"/>
      <c r="C222" s="215"/>
      <c r="D222" s="215"/>
      <c r="E222" s="215"/>
      <c r="F222" s="215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  <c r="Z222" s="215"/>
      <c r="AA222" s="215"/>
      <c r="AB222" s="215"/>
      <c r="AC222" s="215"/>
      <c r="AD222" s="215"/>
      <c r="AE222" s="215"/>
      <c r="AF222" s="215"/>
      <c r="AG222" s="215"/>
    </row>
    <row r="223" spans="1:33" ht="13.2">
      <c r="A223" s="215"/>
      <c r="B223" s="215"/>
      <c r="C223" s="215"/>
      <c r="D223" s="215"/>
      <c r="E223" s="21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215"/>
      <c r="Z223" s="215"/>
      <c r="AA223" s="215"/>
      <c r="AB223" s="215"/>
      <c r="AC223" s="215"/>
      <c r="AD223" s="215"/>
      <c r="AE223" s="215"/>
      <c r="AF223" s="215"/>
      <c r="AG223" s="215"/>
    </row>
    <row r="224" spans="1:33" ht="13.2">
      <c r="A224" s="215"/>
      <c r="B224" s="215"/>
      <c r="C224" s="215"/>
      <c r="D224" s="215"/>
      <c r="E224" s="215"/>
      <c r="F224" s="215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215"/>
      <c r="Z224" s="215"/>
      <c r="AA224" s="215"/>
      <c r="AB224" s="215"/>
      <c r="AC224" s="215"/>
      <c r="AD224" s="215"/>
      <c r="AE224" s="215"/>
      <c r="AF224" s="215"/>
      <c r="AG224" s="215"/>
    </row>
    <row r="225" spans="1:33" ht="13.2">
      <c r="A225" s="215"/>
      <c r="B225" s="215"/>
      <c r="C225" s="215"/>
      <c r="D225" s="215"/>
      <c r="E225" s="21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215"/>
      <c r="Z225" s="215"/>
      <c r="AA225" s="215"/>
      <c r="AB225" s="215"/>
      <c r="AC225" s="215"/>
      <c r="AD225" s="215"/>
      <c r="AE225" s="215"/>
      <c r="AF225" s="215"/>
      <c r="AG225" s="215"/>
    </row>
    <row r="226" spans="1:33" ht="13.2">
      <c r="A226" s="215"/>
      <c r="B226" s="215"/>
      <c r="C226" s="215"/>
      <c r="D226" s="215"/>
      <c r="E226" s="215"/>
      <c r="F226" s="215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  <c r="X226" s="215"/>
      <c r="Y226" s="215"/>
      <c r="Z226" s="215"/>
      <c r="AA226" s="215"/>
      <c r="AB226" s="215"/>
      <c r="AC226" s="215"/>
      <c r="AD226" s="215"/>
      <c r="AE226" s="215"/>
      <c r="AF226" s="215"/>
      <c r="AG226" s="215"/>
    </row>
    <row r="227" spans="1:33" ht="13.2">
      <c r="A227" s="215"/>
      <c r="B227" s="215"/>
      <c r="C227" s="215"/>
      <c r="D227" s="215"/>
      <c r="E227" s="215"/>
      <c r="F227" s="215"/>
      <c r="G227" s="215"/>
      <c r="H227" s="215"/>
      <c r="I227" s="215"/>
      <c r="J227" s="215"/>
      <c r="K227" s="215"/>
      <c r="L227" s="215"/>
      <c r="M227" s="215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  <c r="X227" s="215"/>
      <c r="Y227" s="215"/>
      <c r="Z227" s="215"/>
      <c r="AA227" s="215"/>
      <c r="AB227" s="215"/>
      <c r="AC227" s="215"/>
      <c r="AD227" s="215"/>
      <c r="AE227" s="215"/>
      <c r="AF227" s="215"/>
      <c r="AG227" s="215"/>
    </row>
    <row r="228" spans="1:33" ht="13.2">
      <c r="A228" s="215"/>
      <c r="B228" s="215"/>
      <c r="C228" s="215"/>
      <c r="D228" s="215"/>
      <c r="E228" s="215"/>
      <c r="F228" s="215"/>
      <c r="G228" s="215"/>
      <c r="H228" s="215"/>
      <c r="I228" s="215"/>
      <c r="J228" s="215"/>
      <c r="K228" s="215"/>
      <c r="L228" s="215"/>
      <c r="M228" s="215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  <c r="X228" s="215"/>
      <c r="Y228" s="215"/>
      <c r="Z228" s="215"/>
      <c r="AA228" s="215"/>
      <c r="AB228" s="215"/>
      <c r="AC228" s="215"/>
      <c r="AD228" s="215"/>
      <c r="AE228" s="215"/>
      <c r="AF228" s="215"/>
      <c r="AG228" s="215"/>
    </row>
    <row r="229" spans="1:33" ht="13.2">
      <c r="A229" s="215"/>
      <c r="B229" s="215"/>
      <c r="C229" s="215"/>
      <c r="D229" s="215"/>
      <c r="E229" s="215"/>
      <c r="F229" s="215"/>
      <c r="G229" s="215"/>
      <c r="H229" s="215"/>
      <c r="I229" s="215"/>
      <c r="J229" s="215"/>
      <c r="K229" s="215"/>
      <c r="L229" s="215"/>
      <c r="M229" s="215"/>
      <c r="N229" s="215"/>
      <c r="O229" s="215"/>
      <c r="P229" s="215"/>
      <c r="Q229" s="215"/>
      <c r="R229" s="215"/>
      <c r="S229" s="215"/>
      <c r="T229" s="215"/>
      <c r="U229" s="215"/>
      <c r="V229" s="215"/>
      <c r="W229" s="215"/>
      <c r="X229" s="215"/>
      <c r="Y229" s="215"/>
      <c r="Z229" s="215"/>
      <c r="AA229" s="215"/>
      <c r="AB229" s="215"/>
      <c r="AC229" s="215"/>
      <c r="AD229" s="215"/>
      <c r="AE229" s="215"/>
      <c r="AF229" s="215"/>
      <c r="AG229" s="215"/>
    </row>
    <row r="230" spans="1:33" ht="13.2">
      <c r="A230" s="215"/>
      <c r="B230" s="215"/>
      <c r="C230" s="215"/>
      <c r="D230" s="215"/>
      <c r="E230" s="215"/>
      <c r="F230" s="215"/>
      <c r="G230" s="215"/>
      <c r="H230" s="215"/>
      <c r="I230" s="215"/>
      <c r="J230" s="215"/>
      <c r="K230" s="215"/>
      <c r="L230" s="215"/>
      <c r="M230" s="215"/>
      <c r="N230" s="215"/>
      <c r="O230" s="215"/>
      <c r="P230" s="215"/>
      <c r="Q230" s="215"/>
      <c r="R230" s="215"/>
      <c r="S230" s="215"/>
      <c r="T230" s="215"/>
      <c r="U230" s="215"/>
      <c r="V230" s="215"/>
      <c r="W230" s="215"/>
      <c r="X230" s="215"/>
      <c r="Y230" s="215"/>
      <c r="Z230" s="215"/>
      <c r="AA230" s="215"/>
      <c r="AB230" s="215"/>
      <c r="AC230" s="215"/>
      <c r="AD230" s="215"/>
      <c r="AE230" s="215"/>
      <c r="AF230" s="215"/>
      <c r="AG230" s="215"/>
    </row>
    <row r="231" spans="1:33" ht="13.2">
      <c r="A231" s="215"/>
      <c r="B231" s="215"/>
      <c r="C231" s="215"/>
      <c r="D231" s="215"/>
      <c r="E231" s="215"/>
      <c r="F231" s="215"/>
      <c r="G231" s="215"/>
      <c r="H231" s="215"/>
      <c r="I231" s="215"/>
      <c r="J231" s="215"/>
      <c r="K231" s="215"/>
      <c r="L231" s="215"/>
      <c r="M231" s="215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  <c r="X231" s="215"/>
      <c r="Y231" s="215"/>
      <c r="Z231" s="215"/>
      <c r="AA231" s="215"/>
      <c r="AB231" s="215"/>
      <c r="AC231" s="215"/>
      <c r="AD231" s="215"/>
      <c r="AE231" s="215"/>
      <c r="AF231" s="215"/>
      <c r="AG231" s="215"/>
    </row>
    <row r="232" spans="1:33" ht="13.2">
      <c r="A232" s="215"/>
      <c r="B232" s="215"/>
      <c r="C232" s="215"/>
      <c r="D232" s="215"/>
      <c r="E232" s="215"/>
      <c r="F232" s="215"/>
      <c r="G232" s="215"/>
      <c r="H232" s="215"/>
      <c r="I232" s="215"/>
      <c r="J232" s="215"/>
      <c r="K232" s="215"/>
      <c r="L232" s="215"/>
      <c r="M232" s="215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  <c r="X232" s="215"/>
      <c r="Y232" s="215"/>
      <c r="Z232" s="215"/>
      <c r="AA232" s="215"/>
      <c r="AB232" s="215"/>
      <c r="AC232" s="215"/>
      <c r="AD232" s="215"/>
      <c r="AE232" s="215"/>
      <c r="AF232" s="215"/>
      <c r="AG232" s="215"/>
    </row>
    <row r="233" spans="1:33" ht="13.2">
      <c r="A233" s="215"/>
      <c r="B233" s="215"/>
      <c r="C233" s="215"/>
      <c r="D233" s="215"/>
      <c r="E233" s="215"/>
      <c r="F233" s="215"/>
      <c r="G233" s="215"/>
      <c r="H233" s="215"/>
      <c r="I233" s="215"/>
      <c r="J233" s="215"/>
      <c r="K233" s="215"/>
      <c r="L233" s="215"/>
      <c r="M233" s="215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  <c r="X233" s="215"/>
      <c r="Y233" s="215"/>
      <c r="Z233" s="215"/>
      <c r="AA233" s="215"/>
      <c r="AB233" s="215"/>
      <c r="AC233" s="215"/>
      <c r="AD233" s="215"/>
      <c r="AE233" s="215"/>
      <c r="AF233" s="215"/>
      <c r="AG233" s="215"/>
    </row>
    <row r="234" spans="1:33" ht="13.2">
      <c r="A234" s="215"/>
      <c r="B234" s="215"/>
      <c r="C234" s="215"/>
      <c r="D234" s="215"/>
      <c r="E234" s="215"/>
      <c r="F234" s="215"/>
      <c r="G234" s="215"/>
      <c r="H234" s="215"/>
      <c r="I234" s="215"/>
      <c r="J234" s="215"/>
      <c r="K234" s="215"/>
      <c r="L234" s="215"/>
      <c r="M234" s="215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  <c r="X234" s="215"/>
      <c r="Y234" s="215"/>
      <c r="Z234" s="215"/>
      <c r="AA234" s="215"/>
      <c r="AB234" s="215"/>
      <c r="AC234" s="215"/>
      <c r="AD234" s="215"/>
      <c r="AE234" s="215"/>
      <c r="AF234" s="215"/>
      <c r="AG234" s="215"/>
    </row>
    <row r="235" spans="1:33" ht="13.2">
      <c r="A235" s="215"/>
      <c r="B235" s="215"/>
      <c r="C235" s="215"/>
      <c r="D235" s="215"/>
      <c r="E235" s="215"/>
      <c r="F235" s="215"/>
      <c r="G235" s="215"/>
      <c r="H235" s="215"/>
      <c r="I235" s="215"/>
      <c r="J235" s="215"/>
      <c r="K235" s="215"/>
      <c r="L235" s="215"/>
      <c r="M235" s="215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  <c r="X235" s="215"/>
      <c r="Y235" s="215"/>
      <c r="Z235" s="215"/>
      <c r="AA235" s="215"/>
      <c r="AB235" s="215"/>
      <c r="AC235" s="215"/>
      <c r="AD235" s="215"/>
      <c r="AE235" s="215"/>
      <c r="AF235" s="215"/>
      <c r="AG235" s="215"/>
    </row>
    <row r="236" spans="1:33" ht="13.2">
      <c r="A236" s="215"/>
      <c r="B236" s="215"/>
      <c r="C236" s="215"/>
      <c r="D236" s="215"/>
      <c r="E236" s="215"/>
      <c r="F236" s="215"/>
      <c r="G236" s="215"/>
      <c r="H236" s="215"/>
      <c r="I236" s="215"/>
      <c r="J236" s="215"/>
      <c r="K236" s="215"/>
      <c r="L236" s="215"/>
      <c r="M236" s="215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  <c r="X236" s="215"/>
      <c r="Y236" s="215"/>
      <c r="Z236" s="215"/>
      <c r="AA236" s="215"/>
      <c r="AB236" s="215"/>
      <c r="AC236" s="215"/>
      <c r="AD236" s="215"/>
      <c r="AE236" s="215"/>
      <c r="AF236" s="215"/>
      <c r="AG236" s="215"/>
    </row>
    <row r="237" spans="1:33" ht="13.2">
      <c r="A237" s="215"/>
      <c r="B237" s="215"/>
      <c r="C237" s="215"/>
      <c r="D237" s="215"/>
      <c r="E237" s="215"/>
      <c r="F237" s="215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  <c r="X237" s="215"/>
      <c r="Y237" s="215"/>
      <c r="Z237" s="215"/>
      <c r="AA237" s="215"/>
      <c r="AB237" s="215"/>
      <c r="AC237" s="215"/>
      <c r="AD237" s="215"/>
      <c r="AE237" s="215"/>
      <c r="AF237" s="215"/>
      <c r="AG237" s="215"/>
    </row>
    <row r="238" spans="1:33" ht="13.2">
      <c r="A238" s="215"/>
      <c r="B238" s="215"/>
      <c r="C238" s="215"/>
      <c r="D238" s="215"/>
      <c r="E238" s="215"/>
      <c r="F238" s="215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  <c r="X238" s="215"/>
      <c r="Y238" s="215"/>
      <c r="Z238" s="215"/>
      <c r="AA238" s="215"/>
      <c r="AB238" s="215"/>
      <c r="AC238" s="215"/>
      <c r="AD238" s="215"/>
      <c r="AE238" s="215"/>
      <c r="AF238" s="215"/>
      <c r="AG238" s="215"/>
    </row>
    <row r="239" spans="1:33" ht="13.2">
      <c r="A239" s="215"/>
      <c r="B239" s="215"/>
      <c r="C239" s="215"/>
      <c r="D239" s="215"/>
      <c r="E239" s="215"/>
      <c r="F239" s="215"/>
      <c r="G239" s="215"/>
      <c r="H239" s="215"/>
      <c r="I239" s="215"/>
      <c r="J239" s="215"/>
      <c r="K239" s="215"/>
      <c r="L239" s="215"/>
      <c r="M239" s="215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  <c r="X239" s="215"/>
      <c r="Y239" s="215"/>
      <c r="Z239" s="215"/>
      <c r="AA239" s="215"/>
      <c r="AB239" s="215"/>
      <c r="AC239" s="215"/>
      <c r="AD239" s="215"/>
      <c r="AE239" s="215"/>
      <c r="AF239" s="215"/>
      <c r="AG239" s="215"/>
    </row>
    <row r="240" spans="1:33" ht="13.2">
      <c r="A240" s="215"/>
      <c r="B240" s="215"/>
      <c r="C240" s="215"/>
      <c r="D240" s="215"/>
      <c r="E240" s="215"/>
      <c r="F240" s="215"/>
      <c r="G240" s="215"/>
      <c r="H240" s="215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  <c r="X240" s="215"/>
      <c r="Y240" s="215"/>
      <c r="Z240" s="215"/>
      <c r="AA240" s="215"/>
      <c r="AB240" s="215"/>
      <c r="AC240" s="215"/>
      <c r="AD240" s="215"/>
      <c r="AE240" s="215"/>
      <c r="AF240" s="215"/>
      <c r="AG240" s="215"/>
    </row>
    <row r="241" spans="1:33" ht="13.2">
      <c r="A241" s="215"/>
      <c r="B241" s="215"/>
      <c r="C241" s="215"/>
      <c r="D241" s="215"/>
      <c r="E241" s="215"/>
      <c r="F241" s="215"/>
      <c r="G241" s="215"/>
      <c r="H241" s="215"/>
      <c r="I241" s="215"/>
      <c r="J241" s="215"/>
      <c r="K241" s="215"/>
      <c r="L241" s="215"/>
      <c r="M241" s="215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  <c r="X241" s="215"/>
      <c r="Y241" s="215"/>
      <c r="Z241" s="215"/>
      <c r="AA241" s="215"/>
      <c r="AB241" s="215"/>
      <c r="AC241" s="215"/>
      <c r="AD241" s="215"/>
      <c r="AE241" s="215"/>
      <c r="AF241" s="215"/>
      <c r="AG241" s="215"/>
    </row>
    <row r="242" spans="1:33" ht="13.2">
      <c r="A242" s="215"/>
      <c r="B242" s="215"/>
      <c r="C242" s="215"/>
      <c r="D242" s="215"/>
      <c r="E242" s="215"/>
      <c r="F242" s="215"/>
      <c r="G242" s="215"/>
      <c r="H242" s="215"/>
      <c r="I242" s="215"/>
      <c r="J242" s="215"/>
      <c r="K242" s="215"/>
      <c r="L242" s="215"/>
      <c r="M242" s="215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  <c r="X242" s="215"/>
      <c r="Y242" s="215"/>
      <c r="Z242" s="215"/>
      <c r="AA242" s="215"/>
      <c r="AB242" s="215"/>
      <c r="AC242" s="215"/>
      <c r="AD242" s="215"/>
      <c r="AE242" s="215"/>
      <c r="AF242" s="215"/>
      <c r="AG242" s="215"/>
    </row>
    <row r="243" spans="1:33" ht="13.2">
      <c r="A243" s="215"/>
      <c r="B243" s="215"/>
      <c r="C243" s="215"/>
      <c r="D243" s="215"/>
      <c r="E243" s="215"/>
      <c r="F243" s="215"/>
      <c r="G243" s="215"/>
      <c r="H243" s="215"/>
      <c r="I243" s="215"/>
      <c r="J243" s="215"/>
      <c r="K243" s="215"/>
      <c r="L243" s="215"/>
      <c r="M243" s="215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  <c r="X243" s="215"/>
      <c r="Y243" s="215"/>
      <c r="Z243" s="215"/>
      <c r="AA243" s="215"/>
      <c r="AB243" s="215"/>
      <c r="AC243" s="215"/>
      <c r="AD243" s="215"/>
      <c r="AE243" s="215"/>
      <c r="AF243" s="215"/>
      <c r="AG243" s="215"/>
    </row>
    <row r="244" spans="1:33" ht="13.2">
      <c r="A244" s="215"/>
      <c r="B244" s="215"/>
      <c r="C244" s="215"/>
      <c r="D244" s="215"/>
      <c r="E244" s="215"/>
      <c r="F244" s="215"/>
      <c r="G244" s="215"/>
      <c r="H244" s="215"/>
      <c r="I244" s="215"/>
      <c r="J244" s="215"/>
      <c r="K244" s="215"/>
      <c r="L244" s="215"/>
      <c r="M244" s="215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  <c r="X244" s="215"/>
      <c r="Y244" s="215"/>
      <c r="Z244" s="215"/>
      <c r="AA244" s="215"/>
      <c r="AB244" s="215"/>
      <c r="AC244" s="215"/>
      <c r="AD244" s="215"/>
      <c r="AE244" s="215"/>
      <c r="AF244" s="215"/>
      <c r="AG244" s="215"/>
    </row>
    <row r="245" spans="1:33" ht="13.2">
      <c r="A245" s="215"/>
      <c r="B245" s="215"/>
      <c r="C245" s="215"/>
      <c r="D245" s="215"/>
      <c r="E245" s="215"/>
      <c r="F245" s="215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  <c r="Z245" s="215"/>
      <c r="AA245" s="215"/>
      <c r="AB245" s="215"/>
      <c r="AC245" s="215"/>
      <c r="AD245" s="215"/>
      <c r="AE245" s="215"/>
      <c r="AF245" s="215"/>
      <c r="AG245" s="215"/>
    </row>
    <row r="246" spans="1:33" ht="13.2">
      <c r="A246" s="215"/>
      <c r="B246" s="215"/>
      <c r="C246" s="215"/>
      <c r="D246" s="215"/>
      <c r="E246" s="215"/>
      <c r="F246" s="215"/>
      <c r="G246" s="215"/>
      <c r="H246" s="215"/>
      <c r="I246" s="215"/>
      <c r="J246" s="215"/>
      <c r="K246" s="215"/>
      <c r="L246" s="215"/>
      <c r="M246" s="215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  <c r="Z246" s="215"/>
      <c r="AA246" s="215"/>
      <c r="AB246" s="215"/>
      <c r="AC246" s="215"/>
      <c r="AD246" s="215"/>
      <c r="AE246" s="215"/>
      <c r="AF246" s="215"/>
      <c r="AG246" s="215"/>
    </row>
    <row r="247" spans="1:33" ht="13.2">
      <c r="A247" s="215"/>
      <c r="B247" s="215"/>
      <c r="C247" s="215"/>
      <c r="D247" s="215"/>
      <c r="E247" s="215"/>
      <c r="F247" s="215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  <c r="X247" s="215"/>
      <c r="Y247" s="215"/>
      <c r="Z247" s="215"/>
      <c r="AA247" s="215"/>
      <c r="AB247" s="215"/>
      <c r="AC247" s="215"/>
      <c r="AD247" s="215"/>
      <c r="AE247" s="215"/>
      <c r="AF247" s="215"/>
      <c r="AG247" s="215"/>
    </row>
    <row r="248" spans="1:33" ht="13.2">
      <c r="A248" s="215"/>
      <c r="B248" s="215"/>
      <c r="C248" s="215"/>
      <c r="D248" s="215"/>
      <c r="E248" s="215"/>
      <c r="F248" s="215"/>
      <c r="G248" s="215"/>
      <c r="H248" s="215"/>
      <c r="I248" s="215"/>
      <c r="J248" s="215"/>
      <c r="K248" s="215"/>
      <c r="L248" s="215"/>
      <c r="M248" s="215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  <c r="X248" s="215"/>
      <c r="Y248" s="215"/>
      <c r="Z248" s="215"/>
      <c r="AA248" s="215"/>
      <c r="AB248" s="215"/>
      <c r="AC248" s="215"/>
      <c r="AD248" s="215"/>
      <c r="AE248" s="215"/>
      <c r="AF248" s="215"/>
      <c r="AG248" s="215"/>
    </row>
    <row r="249" spans="1:33" ht="13.2">
      <c r="A249" s="215"/>
      <c r="B249" s="215"/>
      <c r="C249" s="215"/>
      <c r="D249" s="215"/>
      <c r="E249" s="215"/>
      <c r="F249" s="215"/>
      <c r="G249" s="215"/>
      <c r="H249" s="215"/>
      <c r="I249" s="215"/>
      <c r="J249" s="215"/>
      <c r="K249" s="215"/>
      <c r="L249" s="215"/>
      <c r="M249" s="215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  <c r="X249" s="215"/>
      <c r="Y249" s="215"/>
      <c r="Z249" s="215"/>
      <c r="AA249" s="215"/>
      <c r="AB249" s="215"/>
      <c r="AC249" s="215"/>
      <c r="AD249" s="215"/>
      <c r="AE249" s="215"/>
      <c r="AF249" s="215"/>
      <c r="AG249" s="215"/>
    </row>
    <row r="250" spans="1:33" ht="13.2">
      <c r="A250" s="215"/>
      <c r="B250" s="215"/>
      <c r="C250" s="215"/>
      <c r="D250" s="215"/>
      <c r="E250" s="215"/>
      <c r="F250" s="215"/>
      <c r="G250" s="215"/>
      <c r="H250" s="215"/>
      <c r="I250" s="215"/>
      <c r="J250" s="215"/>
      <c r="K250" s="215"/>
      <c r="L250" s="215"/>
      <c r="M250" s="215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  <c r="X250" s="215"/>
      <c r="Y250" s="215"/>
      <c r="Z250" s="215"/>
      <c r="AA250" s="215"/>
      <c r="AB250" s="215"/>
      <c r="AC250" s="215"/>
      <c r="AD250" s="215"/>
      <c r="AE250" s="215"/>
      <c r="AF250" s="215"/>
      <c r="AG250" s="215"/>
    </row>
    <row r="251" spans="1:33" ht="13.2">
      <c r="A251" s="215"/>
      <c r="B251" s="215"/>
      <c r="C251" s="215"/>
      <c r="D251" s="215"/>
      <c r="E251" s="215"/>
      <c r="F251" s="215"/>
      <c r="G251" s="215"/>
      <c r="H251" s="215"/>
      <c r="I251" s="215"/>
      <c r="J251" s="215"/>
      <c r="K251" s="215"/>
      <c r="L251" s="215"/>
      <c r="M251" s="215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  <c r="X251" s="215"/>
      <c r="Y251" s="215"/>
      <c r="Z251" s="215"/>
      <c r="AA251" s="215"/>
      <c r="AB251" s="215"/>
      <c r="AC251" s="215"/>
      <c r="AD251" s="215"/>
      <c r="AE251" s="215"/>
      <c r="AF251" s="215"/>
      <c r="AG251" s="215"/>
    </row>
    <row r="252" spans="1:33" ht="13.2">
      <c r="A252" s="215"/>
      <c r="B252" s="215"/>
      <c r="C252" s="215"/>
      <c r="D252" s="215"/>
      <c r="E252" s="215"/>
      <c r="F252" s="215"/>
      <c r="G252" s="215"/>
      <c r="H252" s="215"/>
      <c r="I252" s="215"/>
      <c r="J252" s="215"/>
      <c r="K252" s="215"/>
      <c r="L252" s="215"/>
      <c r="M252" s="215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  <c r="X252" s="215"/>
      <c r="Y252" s="215"/>
      <c r="Z252" s="215"/>
      <c r="AA252" s="215"/>
      <c r="AB252" s="215"/>
      <c r="AC252" s="215"/>
      <c r="AD252" s="215"/>
      <c r="AE252" s="215"/>
      <c r="AF252" s="215"/>
      <c r="AG252" s="215"/>
    </row>
    <row r="253" spans="1:33" ht="13.2">
      <c r="A253" s="215"/>
      <c r="B253" s="215"/>
      <c r="C253" s="215"/>
      <c r="D253" s="215"/>
      <c r="E253" s="215"/>
      <c r="F253" s="215"/>
      <c r="G253" s="215"/>
      <c r="H253" s="215"/>
      <c r="I253" s="215"/>
      <c r="J253" s="215"/>
      <c r="K253" s="215"/>
      <c r="L253" s="215"/>
      <c r="M253" s="215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  <c r="X253" s="215"/>
      <c r="Y253" s="215"/>
      <c r="Z253" s="215"/>
      <c r="AA253" s="215"/>
      <c r="AB253" s="215"/>
      <c r="AC253" s="215"/>
      <c r="AD253" s="215"/>
      <c r="AE253" s="215"/>
      <c r="AF253" s="215"/>
      <c r="AG253" s="215"/>
    </row>
    <row r="254" spans="1:33" ht="13.2">
      <c r="A254" s="215"/>
      <c r="B254" s="215"/>
      <c r="C254" s="215"/>
      <c r="D254" s="215"/>
      <c r="E254" s="215"/>
      <c r="F254" s="215"/>
      <c r="G254" s="215"/>
      <c r="H254" s="215"/>
      <c r="I254" s="215"/>
      <c r="J254" s="215"/>
      <c r="K254" s="215"/>
      <c r="L254" s="215"/>
      <c r="M254" s="215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  <c r="X254" s="215"/>
      <c r="Y254" s="215"/>
      <c r="Z254" s="215"/>
      <c r="AA254" s="215"/>
      <c r="AB254" s="215"/>
      <c r="AC254" s="215"/>
      <c r="AD254" s="215"/>
      <c r="AE254" s="215"/>
      <c r="AF254" s="215"/>
      <c r="AG254" s="215"/>
    </row>
    <row r="255" spans="1:33" ht="13.2">
      <c r="A255" s="215"/>
      <c r="B255" s="215"/>
      <c r="C255" s="215"/>
      <c r="D255" s="215"/>
      <c r="E255" s="215"/>
      <c r="F255" s="215"/>
      <c r="G255" s="215"/>
      <c r="H255" s="215"/>
      <c r="I255" s="215"/>
      <c r="J255" s="215"/>
      <c r="K255" s="215"/>
      <c r="L255" s="215"/>
      <c r="M255" s="215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  <c r="X255" s="215"/>
      <c r="Y255" s="215"/>
      <c r="Z255" s="215"/>
      <c r="AA255" s="215"/>
      <c r="AB255" s="215"/>
      <c r="AC255" s="215"/>
      <c r="AD255" s="215"/>
      <c r="AE255" s="215"/>
      <c r="AF255" s="215"/>
      <c r="AG255" s="215"/>
    </row>
    <row r="256" spans="1:33" ht="13.2">
      <c r="A256" s="215"/>
      <c r="B256" s="215"/>
      <c r="C256" s="215"/>
      <c r="D256" s="215"/>
      <c r="E256" s="215"/>
      <c r="F256" s="215"/>
      <c r="G256" s="215"/>
      <c r="H256" s="215"/>
      <c r="I256" s="215"/>
      <c r="J256" s="215"/>
      <c r="K256" s="215"/>
      <c r="L256" s="215"/>
      <c r="M256" s="215"/>
      <c r="N256" s="215"/>
      <c r="O256" s="215"/>
      <c r="P256" s="215"/>
      <c r="Q256" s="215"/>
      <c r="R256" s="215"/>
      <c r="S256" s="215"/>
      <c r="T256" s="215"/>
      <c r="U256" s="215"/>
      <c r="V256" s="215"/>
      <c r="W256" s="215"/>
      <c r="X256" s="215"/>
      <c r="Y256" s="215"/>
      <c r="Z256" s="215"/>
      <c r="AA256" s="215"/>
      <c r="AB256" s="215"/>
      <c r="AC256" s="215"/>
      <c r="AD256" s="215"/>
      <c r="AE256" s="215"/>
      <c r="AF256" s="215"/>
      <c r="AG256" s="215"/>
    </row>
    <row r="257" spans="1:33" ht="13.2">
      <c r="A257" s="215"/>
      <c r="B257" s="215"/>
      <c r="C257" s="215"/>
      <c r="D257" s="215"/>
      <c r="E257" s="215"/>
      <c r="F257" s="215"/>
      <c r="G257" s="215"/>
      <c r="H257" s="215"/>
      <c r="I257" s="215"/>
      <c r="J257" s="215"/>
      <c r="K257" s="215"/>
      <c r="L257" s="215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  <c r="X257" s="215"/>
      <c r="Y257" s="215"/>
      <c r="Z257" s="215"/>
      <c r="AA257" s="215"/>
      <c r="AB257" s="215"/>
      <c r="AC257" s="215"/>
      <c r="AD257" s="215"/>
      <c r="AE257" s="215"/>
      <c r="AF257" s="215"/>
      <c r="AG257" s="215"/>
    </row>
    <row r="258" spans="1:33" ht="13.2">
      <c r="A258" s="215"/>
      <c r="B258" s="215"/>
      <c r="C258" s="215"/>
      <c r="D258" s="215"/>
      <c r="E258" s="215"/>
      <c r="F258" s="215"/>
      <c r="G258" s="215"/>
      <c r="H258" s="215"/>
      <c r="I258" s="215"/>
      <c r="J258" s="215"/>
      <c r="K258" s="215"/>
      <c r="L258" s="215"/>
      <c r="M258" s="215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  <c r="X258" s="215"/>
      <c r="Y258" s="215"/>
      <c r="Z258" s="215"/>
      <c r="AA258" s="215"/>
      <c r="AB258" s="215"/>
      <c r="AC258" s="215"/>
      <c r="AD258" s="215"/>
      <c r="AE258" s="215"/>
      <c r="AF258" s="215"/>
      <c r="AG258" s="215"/>
    </row>
    <row r="259" spans="1:33" ht="13.2">
      <c r="A259" s="215"/>
      <c r="B259" s="215"/>
      <c r="C259" s="215"/>
      <c r="D259" s="215"/>
      <c r="E259" s="215"/>
      <c r="F259" s="215"/>
      <c r="G259" s="215"/>
      <c r="H259" s="215"/>
      <c r="I259" s="215"/>
      <c r="J259" s="215"/>
      <c r="K259" s="215"/>
      <c r="L259" s="215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215"/>
      <c r="Z259" s="215"/>
      <c r="AA259" s="215"/>
      <c r="AB259" s="215"/>
      <c r="AC259" s="215"/>
      <c r="AD259" s="215"/>
      <c r="AE259" s="215"/>
      <c r="AF259" s="215"/>
      <c r="AG259" s="215"/>
    </row>
    <row r="260" spans="1:33" ht="13.2">
      <c r="A260" s="215"/>
      <c r="B260" s="215"/>
      <c r="C260" s="215"/>
      <c r="D260" s="215"/>
      <c r="E260" s="215"/>
      <c r="F260" s="215"/>
      <c r="G260" s="215"/>
      <c r="H260" s="215"/>
      <c r="I260" s="215"/>
      <c r="J260" s="215"/>
      <c r="K260" s="215"/>
      <c r="L260" s="215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215"/>
      <c r="Z260" s="215"/>
      <c r="AA260" s="215"/>
      <c r="AB260" s="215"/>
      <c r="AC260" s="215"/>
      <c r="AD260" s="215"/>
      <c r="AE260" s="215"/>
      <c r="AF260" s="215"/>
      <c r="AG260" s="215"/>
    </row>
    <row r="261" spans="1:33" ht="13.2">
      <c r="A261" s="215"/>
      <c r="B261" s="215"/>
      <c r="C261" s="215"/>
      <c r="D261" s="215"/>
      <c r="E261" s="215"/>
      <c r="F261" s="215"/>
      <c r="G261" s="215"/>
      <c r="H261" s="215"/>
      <c r="I261" s="215"/>
      <c r="J261" s="215"/>
      <c r="K261" s="215"/>
      <c r="L261" s="215"/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215"/>
      <c r="Z261" s="215"/>
      <c r="AA261" s="215"/>
      <c r="AB261" s="215"/>
      <c r="AC261" s="215"/>
      <c r="AD261" s="215"/>
      <c r="AE261" s="215"/>
      <c r="AF261" s="215"/>
      <c r="AG261" s="215"/>
    </row>
    <row r="262" spans="1:33" ht="13.2">
      <c r="A262" s="215"/>
      <c r="B262" s="215"/>
      <c r="C262" s="215"/>
      <c r="D262" s="215"/>
      <c r="E262" s="215"/>
      <c r="F262" s="215"/>
      <c r="G262" s="215"/>
      <c r="H262" s="215"/>
      <c r="I262" s="215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215"/>
      <c r="Z262" s="215"/>
      <c r="AA262" s="215"/>
      <c r="AB262" s="215"/>
      <c r="AC262" s="215"/>
      <c r="AD262" s="215"/>
      <c r="AE262" s="215"/>
      <c r="AF262" s="215"/>
      <c r="AG262" s="215"/>
    </row>
    <row r="263" spans="1:33" ht="13.2">
      <c r="A263" s="215"/>
      <c r="B263" s="215"/>
      <c r="C263" s="215"/>
      <c r="D263" s="215"/>
      <c r="E263" s="21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  <c r="Z263" s="215"/>
      <c r="AA263" s="215"/>
      <c r="AB263" s="215"/>
      <c r="AC263" s="215"/>
      <c r="AD263" s="215"/>
      <c r="AE263" s="215"/>
      <c r="AF263" s="215"/>
      <c r="AG263" s="215"/>
    </row>
    <row r="264" spans="1:33" ht="13.2">
      <c r="A264" s="215"/>
      <c r="B264" s="215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  <c r="Z264" s="215"/>
      <c r="AA264" s="215"/>
      <c r="AB264" s="215"/>
      <c r="AC264" s="215"/>
      <c r="AD264" s="215"/>
      <c r="AE264" s="215"/>
      <c r="AF264" s="215"/>
      <c r="AG264" s="215"/>
    </row>
    <row r="265" spans="1:33" ht="13.2">
      <c r="A265" s="215"/>
      <c r="B265" s="215"/>
      <c r="C265" s="215"/>
      <c r="D265" s="215"/>
      <c r="E265" s="215"/>
      <c r="F265" s="215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215"/>
      <c r="Z265" s="215"/>
      <c r="AA265" s="215"/>
      <c r="AB265" s="215"/>
      <c r="AC265" s="215"/>
      <c r="AD265" s="215"/>
      <c r="AE265" s="215"/>
      <c r="AF265" s="215"/>
      <c r="AG265" s="215"/>
    </row>
    <row r="266" spans="1:33" ht="13.2">
      <c r="A266" s="215"/>
      <c r="B266" s="215"/>
      <c r="C266" s="215"/>
      <c r="D266" s="215"/>
      <c r="E266" s="21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215"/>
      <c r="Z266" s="215"/>
      <c r="AA266" s="215"/>
      <c r="AB266" s="215"/>
      <c r="AC266" s="215"/>
      <c r="AD266" s="215"/>
      <c r="AE266" s="215"/>
      <c r="AF266" s="215"/>
      <c r="AG266" s="215"/>
    </row>
    <row r="267" spans="1:33" ht="13.2">
      <c r="A267" s="215"/>
      <c r="B267" s="215"/>
      <c r="C267" s="215"/>
      <c r="D267" s="215"/>
      <c r="E267" s="21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  <c r="Z267" s="215"/>
      <c r="AA267" s="215"/>
      <c r="AB267" s="215"/>
      <c r="AC267" s="215"/>
      <c r="AD267" s="215"/>
      <c r="AE267" s="215"/>
      <c r="AF267" s="215"/>
      <c r="AG267" s="215"/>
    </row>
    <row r="268" spans="1:33" ht="13.2">
      <c r="A268" s="215"/>
      <c r="B268" s="215"/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</row>
    <row r="269" spans="1:33" ht="13.2">
      <c r="A269" s="215"/>
      <c r="B269" s="215"/>
      <c r="C269" s="215"/>
      <c r="D269" s="215"/>
      <c r="E269" s="21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  <c r="Z269" s="215"/>
      <c r="AA269" s="215"/>
      <c r="AB269" s="215"/>
      <c r="AC269" s="215"/>
      <c r="AD269" s="215"/>
      <c r="AE269" s="215"/>
      <c r="AF269" s="215"/>
      <c r="AG269" s="215"/>
    </row>
    <row r="270" spans="1:33" ht="13.2">
      <c r="A270" s="215"/>
      <c r="B270" s="215"/>
      <c r="C270" s="215"/>
      <c r="D270" s="215"/>
      <c r="E270" s="21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215"/>
      <c r="AA270" s="215"/>
      <c r="AB270" s="215"/>
      <c r="AC270" s="215"/>
      <c r="AD270" s="215"/>
      <c r="AE270" s="215"/>
      <c r="AF270" s="215"/>
      <c r="AG270" s="215"/>
    </row>
    <row r="271" spans="1:33" ht="13.2">
      <c r="A271" s="215"/>
      <c r="B271" s="215"/>
      <c r="C271" s="215"/>
      <c r="D271" s="215"/>
      <c r="E271" s="21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  <c r="X271" s="215"/>
      <c r="Y271" s="215"/>
      <c r="Z271" s="215"/>
      <c r="AA271" s="215"/>
      <c r="AB271" s="215"/>
      <c r="AC271" s="215"/>
      <c r="AD271" s="215"/>
      <c r="AE271" s="215"/>
      <c r="AF271" s="215"/>
      <c r="AG271" s="215"/>
    </row>
    <row r="272" spans="1:33" ht="13.2">
      <c r="A272" s="215"/>
      <c r="B272" s="215"/>
      <c r="C272" s="215"/>
      <c r="D272" s="215"/>
      <c r="E272" s="21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215"/>
      <c r="Z272" s="215"/>
      <c r="AA272" s="215"/>
      <c r="AB272" s="215"/>
      <c r="AC272" s="215"/>
      <c r="AD272" s="215"/>
      <c r="AE272" s="215"/>
      <c r="AF272" s="215"/>
      <c r="AG272" s="215"/>
    </row>
    <row r="273" spans="1:33" ht="13.2">
      <c r="A273" s="215"/>
      <c r="B273" s="215"/>
      <c r="C273" s="215"/>
      <c r="D273" s="215"/>
      <c r="E273" s="21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  <c r="Z273" s="215"/>
      <c r="AA273" s="215"/>
      <c r="AB273" s="215"/>
      <c r="AC273" s="215"/>
      <c r="AD273" s="215"/>
      <c r="AE273" s="215"/>
      <c r="AF273" s="215"/>
      <c r="AG273" s="215"/>
    </row>
    <row r="274" spans="1:33" ht="13.2">
      <c r="A274" s="215"/>
      <c r="B274" s="215"/>
      <c r="C274" s="215"/>
      <c r="D274" s="215"/>
      <c r="E274" s="215"/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  <c r="Z274" s="215"/>
      <c r="AA274" s="215"/>
      <c r="AB274" s="215"/>
      <c r="AC274" s="215"/>
      <c r="AD274" s="215"/>
      <c r="AE274" s="215"/>
      <c r="AF274" s="215"/>
      <c r="AG274" s="215"/>
    </row>
    <row r="275" spans="1:33" ht="13.2">
      <c r="A275" s="215"/>
      <c r="B275" s="215"/>
      <c r="C275" s="215"/>
      <c r="D275" s="215"/>
      <c r="E275" s="21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  <c r="AA275" s="215"/>
      <c r="AB275" s="215"/>
      <c r="AC275" s="215"/>
      <c r="AD275" s="215"/>
      <c r="AE275" s="215"/>
      <c r="AF275" s="215"/>
      <c r="AG275" s="215"/>
    </row>
    <row r="276" spans="1:33" ht="13.2">
      <c r="A276" s="215"/>
      <c r="B276" s="215"/>
      <c r="C276" s="215"/>
      <c r="D276" s="215"/>
      <c r="E276" s="21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  <c r="Z276" s="215"/>
      <c r="AA276" s="215"/>
      <c r="AB276" s="215"/>
      <c r="AC276" s="215"/>
      <c r="AD276" s="215"/>
      <c r="AE276" s="215"/>
      <c r="AF276" s="215"/>
      <c r="AG276" s="215"/>
    </row>
    <row r="277" spans="1:33" ht="13.2">
      <c r="A277" s="215"/>
      <c r="B277" s="215"/>
      <c r="C277" s="215"/>
      <c r="D277" s="215"/>
      <c r="E277" s="21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215"/>
      <c r="AA277" s="215"/>
      <c r="AB277" s="215"/>
      <c r="AC277" s="215"/>
      <c r="AD277" s="215"/>
      <c r="AE277" s="215"/>
      <c r="AF277" s="215"/>
      <c r="AG277" s="215"/>
    </row>
    <row r="278" spans="1:33" ht="13.2">
      <c r="A278" s="215"/>
      <c r="B278" s="215"/>
      <c r="C278" s="215"/>
      <c r="D278" s="215"/>
      <c r="E278" s="21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215"/>
      <c r="Z278" s="215"/>
      <c r="AA278" s="215"/>
      <c r="AB278" s="215"/>
      <c r="AC278" s="215"/>
      <c r="AD278" s="215"/>
      <c r="AE278" s="215"/>
      <c r="AF278" s="215"/>
      <c r="AG278" s="215"/>
    </row>
    <row r="279" spans="1:33" ht="13.2">
      <c r="A279" s="215"/>
      <c r="B279" s="215"/>
      <c r="C279" s="215"/>
      <c r="D279" s="215"/>
      <c r="E279" s="21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  <c r="AA279" s="215"/>
      <c r="AB279" s="215"/>
      <c r="AC279" s="215"/>
      <c r="AD279" s="215"/>
      <c r="AE279" s="215"/>
      <c r="AF279" s="215"/>
      <c r="AG279" s="215"/>
    </row>
    <row r="280" spans="1:33" ht="13.2">
      <c r="A280" s="215"/>
      <c r="B280" s="215"/>
      <c r="C280" s="215"/>
      <c r="D280" s="215"/>
      <c r="E280" s="21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  <c r="AA280" s="215"/>
      <c r="AB280" s="215"/>
      <c r="AC280" s="215"/>
      <c r="AD280" s="215"/>
      <c r="AE280" s="215"/>
      <c r="AF280" s="215"/>
      <c r="AG280" s="215"/>
    </row>
    <row r="281" spans="1:33" ht="13.2">
      <c r="A281" s="215"/>
      <c r="B281" s="215"/>
      <c r="C281" s="215"/>
      <c r="D281" s="215"/>
      <c r="E281" s="21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  <c r="AA281" s="215"/>
      <c r="AB281" s="215"/>
      <c r="AC281" s="215"/>
      <c r="AD281" s="215"/>
      <c r="AE281" s="215"/>
      <c r="AF281" s="215"/>
      <c r="AG281" s="215"/>
    </row>
    <row r="282" spans="1:33" ht="13.2">
      <c r="A282" s="215"/>
      <c r="B282" s="215"/>
      <c r="C282" s="215"/>
      <c r="D282" s="215"/>
      <c r="E282" s="215"/>
      <c r="F282" s="215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  <c r="X282" s="215"/>
      <c r="Y282" s="215"/>
      <c r="Z282" s="215"/>
      <c r="AA282" s="215"/>
      <c r="AB282" s="215"/>
      <c r="AC282" s="215"/>
      <c r="AD282" s="215"/>
      <c r="AE282" s="215"/>
      <c r="AF282" s="215"/>
      <c r="AG282" s="215"/>
    </row>
    <row r="283" spans="1:33" ht="13.2">
      <c r="A283" s="215"/>
      <c r="B283" s="215"/>
      <c r="C283" s="215"/>
      <c r="D283" s="215"/>
      <c r="E283" s="21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  <c r="AA283" s="215"/>
      <c r="AB283" s="215"/>
      <c r="AC283" s="215"/>
      <c r="AD283" s="215"/>
      <c r="AE283" s="215"/>
      <c r="AF283" s="215"/>
      <c r="AG283" s="215"/>
    </row>
    <row r="284" spans="1:33" ht="13.2">
      <c r="A284" s="215"/>
      <c r="B284" s="215"/>
      <c r="C284" s="215"/>
      <c r="D284" s="215"/>
      <c r="E284" s="21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  <c r="AA284" s="215"/>
      <c r="AB284" s="215"/>
      <c r="AC284" s="215"/>
      <c r="AD284" s="215"/>
      <c r="AE284" s="215"/>
      <c r="AF284" s="215"/>
      <c r="AG284" s="215"/>
    </row>
    <row r="285" spans="1:33" ht="13.2">
      <c r="A285" s="215"/>
      <c r="B285" s="215"/>
      <c r="C285" s="215"/>
      <c r="D285" s="215"/>
      <c r="E285" s="21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  <c r="AA285" s="215"/>
      <c r="AB285" s="215"/>
      <c r="AC285" s="215"/>
      <c r="AD285" s="215"/>
      <c r="AE285" s="215"/>
      <c r="AF285" s="215"/>
      <c r="AG285" s="215"/>
    </row>
    <row r="286" spans="1:33" ht="13.2">
      <c r="A286" s="215"/>
      <c r="B286" s="215"/>
      <c r="C286" s="215"/>
      <c r="D286" s="215"/>
      <c r="E286" s="21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  <c r="AA286" s="215"/>
      <c r="AB286" s="215"/>
      <c r="AC286" s="215"/>
      <c r="AD286" s="215"/>
      <c r="AE286" s="215"/>
      <c r="AF286" s="215"/>
      <c r="AG286" s="215"/>
    </row>
    <row r="287" spans="1:33" ht="13.2">
      <c r="A287" s="215"/>
      <c r="B287" s="215"/>
      <c r="C287" s="215"/>
      <c r="D287" s="215"/>
      <c r="E287" s="21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  <c r="AA287" s="215"/>
      <c r="AB287" s="215"/>
      <c r="AC287" s="215"/>
      <c r="AD287" s="215"/>
      <c r="AE287" s="215"/>
      <c r="AF287" s="215"/>
      <c r="AG287" s="215"/>
    </row>
    <row r="288" spans="1:33" ht="13.2">
      <c r="A288" s="215"/>
      <c r="B288" s="215"/>
      <c r="C288" s="215"/>
      <c r="D288" s="215"/>
      <c r="E288" s="215"/>
      <c r="F288" s="21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  <c r="AA288" s="215"/>
      <c r="AB288" s="215"/>
      <c r="AC288" s="215"/>
      <c r="AD288" s="215"/>
      <c r="AE288" s="215"/>
      <c r="AF288" s="215"/>
      <c r="AG288" s="215"/>
    </row>
    <row r="289" spans="1:33" ht="13.2">
      <c r="A289" s="215"/>
      <c r="B289" s="215"/>
      <c r="C289" s="215"/>
      <c r="D289" s="215"/>
      <c r="E289" s="21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  <c r="AA289" s="215"/>
      <c r="AB289" s="215"/>
      <c r="AC289" s="215"/>
      <c r="AD289" s="215"/>
      <c r="AE289" s="215"/>
      <c r="AF289" s="215"/>
      <c r="AG289" s="215"/>
    </row>
    <row r="290" spans="1:33" ht="13.2">
      <c r="A290" s="215"/>
      <c r="B290" s="215"/>
      <c r="C290" s="215"/>
      <c r="D290" s="215"/>
      <c r="E290" s="21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  <c r="AA290" s="215"/>
      <c r="AB290" s="215"/>
      <c r="AC290" s="215"/>
      <c r="AD290" s="215"/>
      <c r="AE290" s="215"/>
      <c r="AF290" s="215"/>
      <c r="AG290" s="215"/>
    </row>
    <row r="291" spans="1:33" ht="13.2">
      <c r="A291" s="215"/>
      <c r="B291" s="215"/>
      <c r="C291" s="215"/>
      <c r="D291" s="215"/>
      <c r="E291" s="21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  <c r="AA291" s="215"/>
      <c r="AB291" s="215"/>
      <c r="AC291" s="215"/>
      <c r="AD291" s="215"/>
      <c r="AE291" s="215"/>
      <c r="AF291" s="215"/>
      <c r="AG291" s="215"/>
    </row>
    <row r="292" spans="1:33" ht="13.2">
      <c r="A292" s="215"/>
      <c r="B292" s="215"/>
      <c r="C292" s="215"/>
      <c r="D292" s="215"/>
      <c r="E292" s="215"/>
      <c r="F292" s="215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215"/>
      <c r="Z292" s="215"/>
      <c r="AA292" s="215"/>
      <c r="AB292" s="215"/>
      <c r="AC292" s="215"/>
      <c r="AD292" s="215"/>
      <c r="AE292" s="215"/>
      <c r="AF292" s="215"/>
      <c r="AG292" s="215"/>
    </row>
    <row r="293" spans="1:33" ht="13.2">
      <c r="A293" s="215"/>
      <c r="B293" s="215"/>
      <c r="C293" s="215"/>
      <c r="D293" s="215"/>
      <c r="E293" s="21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215"/>
      <c r="Z293" s="215"/>
      <c r="AA293" s="215"/>
      <c r="AB293" s="215"/>
      <c r="AC293" s="215"/>
      <c r="AD293" s="215"/>
      <c r="AE293" s="215"/>
      <c r="AF293" s="215"/>
      <c r="AG293" s="215"/>
    </row>
    <row r="294" spans="1:33" ht="13.2">
      <c r="A294" s="215"/>
      <c r="B294" s="215"/>
      <c r="C294" s="215"/>
      <c r="D294" s="215"/>
      <c r="E294" s="21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  <c r="AA294" s="215"/>
      <c r="AB294" s="215"/>
      <c r="AC294" s="215"/>
      <c r="AD294" s="215"/>
      <c r="AE294" s="215"/>
      <c r="AF294" s="215"/>
      <c r="AG294" s="215"/>
    </row>
    <row r="295" spans="1:33" ht="13.2">
      <c r="A295" s="215"/>
      <c r="B295" s="215"/>
      <c r="C295" s="215"/>
      <c r="D295" s="215"/>
      <c r="E295" s="21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215"/>
      <c r="Z295" s="215"/>
      <c r="AA295" s="215"/>
      <c r="AB295" s="215"/>
      <c r="AC295" s="215"/>
      <c r="AD295" s="215"/>
      <c r="AE295" s="215"/>
      <c r="AF295" s="215"/>
      <c r="AG295" s="215"/>
    </row>
    <row r="296" spans="1:33" ht="13.2">
      <c r="A296" s="215"/>
      <c r="B296" s="215"/>
      <c r="C296" s="215"/>
      <c r="D296" s="215"/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  <c r="AA296" s="215"/>
      <c r="AB296" s="215"/>
      <c r="AC296" s="215"/>
      <c r="AD296" s="215"/>
      <c r="AE296" s="215"/>
      <c r="AF296" s="215"/>
      <c r="AG296" s="215"/>
    </row>
    <row r="297" spans="1:33" ht="13.2">
      <c r="A297" s="215"/>
      <c r="B297" s="215"/>
      <c r="C297" s="215"/>
      <c r="D297" s="215"/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  <c r="AA297" s="215"/>
      <c r="AB297" s="215"/>
      <c r="AC297" s="215"/>
      <c r="AD297" s="215"/>
      <c r="AE297" s="215"/>
      <c r="AF297" s="215"/>
      <c r="AG297" s="215"/>
    </row>
    <row r="298" spans="1:33" ht="13.2">
      <c r="A298" s="215"/>
      <c r="B298" s="215"/>
      <c r="C298" s="215"/>
      <c r="D298" s="215"/>
      <c r="E298" s="215"/>
      <c r="F298" s="21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215"/>
      <c r="Z298" s="215"/>
      <c r="AA298" s="215"/>
      <c r="AB298" s="215"/>
      <c r="AC298" s="215"/>
      <c r="AD298" s="215"/>
      <c r="AE298" s="215"/>
      <c r="AF298" s="215"/>
      <c r="AG298" s="215"/>
    </row>
    <row r="299" spans="1:33" ht="13.2">
      <c r="A299" s="215"/>
      <c r="B299" s="215"/>
      <c r="C299" s="215"/>
      <c r="D299" s="215"/>
      <c r="E299" s="215"/>
      <c r="F299" s="21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215"/>
      <c r="Z299" s="215"/>
      <c r="AA299" s="215"/>
      <c r="AB299" s="215"/>
      <c r="AC299" s="215"/>
      <c r="AD299" s="215"/>
      <c r="AE299" s="215"/>
      <c r="AF299" s="215"/>
      <c r="AG299" s="215"/>
    </row>
    <row r="300" spans="1:33" ht="13.2">
      <c r="A300" s="215"/>
      <c r="B300" s="215"/>
      <c r="C300" s="215"/>
      <c r="D300" s="215"/>
      <c r="E300" s="21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215"/>
      <c r="Z300" s="215"/>
      <c r="AA300" s="215"/>
      <c r="AB300" s="215"/>
      <c r="AC300" s="215"/>
      <c r="AD300" s="215"/>
      <c r="AE300" s="215"/>
      <c r="AF300" s="215"/>
      <c r="AG300" s="215"/>
    </row>
    <row r="301" spans="1:33" ht="13.2">
      <c r="A301" s="215"/>
      <c r="B301" s="215"/>
      <c r="C301" s="215"/>
      <c r="D301" s="215"/>
      <c r="E301" s="215"/>
      <c r="F301" s="21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215"/>
      <c r="Z301" s="215"/>
      <c r="AA301" s="215"/>
      <c r="AB301" s="215"/>
      <c r="AC301" s="215"/>
      <c r="AD301" s="215"/>
      <c r="AE301" s="215"/>
      <c r="AF301" s="215"/>
      <c r="AG301" s="215"/>
    </row>
    <row r="302" spans="1:33" ht="13.2">
      <c r="A302" s="215"/>
      <c r="B302" s="215"/>
      <c r="C302" s="215"/>
      <c r="D302" s="215"/>
      <c r="E302" s="21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  <c r="AA302" s="215"/>
      <c r="AB302" s="215"/>
      <c r="AC302" s="215"/>
      <c r="AD302" s="215"/>
      <c r="AE302" s="215"/>
      <c r="AF302" s="215"/>
      <c r="AG302" s="215"/>
    </row>
    <row r="303" spans="1:33" ht="13.2">
      <c r="A303" s="215"/>
      <c r="B303" s="215"/>
      <c r="C303" s="215"/>
      <c r="D303" s="215"/>
      <c r="E303" s="21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  <c r="Z303" s="215"/>
      <c r="AA303" s="215"/>
      <c r="AB303" s="215"/>
      <c r="AC303" s="215"/>
      <c r="AD303" s="215"/>
      <c r="AE303" s="215"/>
      <c r="AF303" s="215"/>
      <c r="AG303" s="215"/>
    </row>
    <row r="304" spans="1:33" ht="13.2">
      <c r="A304" s="215"/>
      <c r="B304" s="215"/>
      <c r="C304" s="215"/>
      <c r="D304" s="215"/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  <c r="AB304" s="215"/>
      <c r="AC304" s="215"/>
      <c r="AD304" s="215"/>
      <c r="AE304" s="215"/>
      <c r="AF304" s="215"/>
      <c r="AG304" s="215"/>
    </row>
    <row r="305" spans="1:33" ht="13.2">
      <c r="A305" s="215"/>
      <c r="B305" s="215"/>
      <c r="C305" s="215"/>
      <c r="D305" s="215"/>
      <c r="E305" s="21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  <c r="AA305" s="215"/>
      <c r="AB305" s="215"/>
      <c r="AC305" s="215"/>
      <c r="AD305" s="215"/>
      <c r="AE305" s="215"/>
      <c r="AF305" s="215"/>
      <c r="AG305" s="215"/>
    </row>
    <row r="306" spans="1:33" ht="13.2">
      <c r="A306" s="215"/>
      <c r="B306" s="215"/>
      <c r="C306" s="215"/>
      <c r="D306" s="215"/>
      <c r="E306" s="21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  <c r="Z306" s="215"/>
      <c r="AA306" s="215"/>
      <c r="AB306" s="215"/>
      <c r="AC306" s="215"/>
      <c r="AD306" s="215"/>
      <c r="AE306" s="215"/>
      <c r="AF306" s="215"/>
      <c r="AG306" s="215"/>
    </row>
    <row r="307" spans="1:33" ht="13.2">
      <c r="A307" s="215"/>
      <c r="B307" s="215"/>
      <c r="C307" s="215"/>
      <c r="D307" s="215"/>
      <c r="E307" s="215"/>
      <c r="F307" s="21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215"/>
      <c r="Z307" s="215"/>
      <c r="AA307" s="215"/>
      <c r="AB307" s="215"/>
      <c r="AC307" s="215"/>
      <c r="AD307" s="215"/>
      <c r="AE307" s="215"/>
      <c r="AF307" s="215"/>
      <c r="AG307" s="215"/>
    </row>
    <row r="308" spans="1:33" ht="13.2">
      <c r="A308" s="215"/>
      <c r="B308" s="215"/>
      <c r="C308" s="215"/>
      <c r="D308" s="215"/>
      <c r="E308" s="215"/>
      <c r="F308" s="215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5"/>
      <c r="S308" s="215"/>
      <c r="T308" s="215"/>
      <c r="U308" s="215"/>
      <c r="V308" s="215"/>
      <c r="W308" s="215"/>
      <c r="X308" s="215"/>
      <c r="Y308" s="215"/>
      <c r="Z308" s="215"/>
      <c r="AA308" s="215"/>
      <c r="AB308" s="215"/>
      <c r="AC308" s="215"/>
      <c r="AD308" s="215"/>
      <c r="AE308" s="215"/>
      <c r="AF308" s="215"/>
      <c r="AG308" s="215"/>
    </row>
    <row r="309" spans="1:33" ht="13.2">
      <c r="A309" s="215"/>
      <c r="B309" s="215"/>
      <c r="C309" s="215"/>
      <c r="D309" s="215"/>
      <c r="E309" s="215"/>
      <c r="F309" s="215"/>
      <c r="G309" s="215"/>
      <c r="H309" s="215"/>
      <c r="I309" s="215"/>
      <c r="J309" s="215"/>
      <c r="K309" s="215"/>
      <c r="L309" s="215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215"/>
      <c r="Z309" s="215"/>
      <c r="AA309" s="215"/>
      <c r="AB309" s="215"/>
      <c r="AC309" s="215"/>
      <c r="AD309" s="215"/>
      <c r="AE309" s="215"/>
      <c r="AF309" s="215"/>
      <c r="AG309" s="215"/>
    </row>
    <row r="310" spans="1:33" ht="13.2">
      <c r="A310" s="215"/>
      <c r="B310" s="215"/>
      <c r="C310" s="215"/>
      <c r="D310" s="215"/>
      <c r="E310" s="215"/>
      <c r="F310" s="215"/>
      <c r="G310" s="215"/>
      <c r="H310" s="215"/>
      <c r="I310" s="215"/>
      <c r="J310" s="215"/>
      <c r="K310" s="215"/>
      <c r="L310" s="215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215"/>
      <c r="Z310" s="215"/>
      <c r="AA310" s="215"/>
      <c r="AB310" s="215"/>
      <c r="AC310" s="215"/>
      <c r="AD310" s="215"/>
      <c r="AE310" s="215"/>
      <c r="AF310" s="215"/>
      <c r="AG310" s="215"/>
    </row>
    <row r="311" spans="1:33" ht="13.2">
      <c r="A311" s="215"/>
      <c r="B311" s="215"/>
      <c r="C311" s="215"/>
      <c r="D311" s="215"/>
      <c r="E311" s="215"/>
      <c r="F311" s="215"/>
      <c r="G311" s="215"/>
      <c r="H311" s="215"/>
      <c r="I311" s="215"/>
      <c r="J311" s="215"/>
      <c r="K311" s="215"/>
      <c r="L311" s="215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215"/>
      <c r="Z311" s="215"/>
      <c r="AA311" s="215"/>
      <c r="AB311" s="215"/>
      <c r="AC311" s="215"/>
      <c r="AD311" s="215"/>
      <c r="AE311" s="215"/>
      <c r="AF311" s="215"/>
      <c r="AG311" s="215"/>
    </row>
    <row r="312" spans="1:33" ht="13.2">
      <c r="A312" s="215"/>
      <c r="B312" s="215"/>
      <c r="C312" s="215"/>
      <c r="D312" s="215"/>
      <c r="E312" s="215"/>
      <c r="F312" s="21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  <c r="AA312" s="215"/>
      <c r="AB312" s="215"/>
      <c r="AC312" s="215"/>
      <c r="AD312" s="215"/>
      <c r="AE312" s="215"/>
      <c r="AF312" s="215"/>
      <c r="AG312" s="215"/>
    </row>
    <row r="313" spans="1:33" ht="13.2">
      <c r="A313" s="215"/>
      <c r="B313" s="215"/>
      <c r="C313" s="215"/>
      <c r="D313" s="215"/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  <c r="AA313" s="215"/>
      <c r="AB313" s="215"/>
      <c r="AC313" s="215"/>
      <c r="AD313" s="215"/>
      <c r="AE313" s="215"/>
      <c r="AF313" s="215"/>
      <c r="AG313" s="215"/>
    </row>
    <row r="314" spans="1:33" ht="13.2">
      <c r="A314" s="215"/>
      <c r="B314" s="215"/>
      <c r="C314" s="215"/>
      <c r="D314" s="215"/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  <c r="AA314" s="215"/>
      <c r="AB314" s="215"/>
      <c r="AC314" s="215"/>
      <c r="AD314" s="215"/>
      <c r="AE314" s="215"/>
      <c r="AF314" s="215"/>
      <c r="AG314" s="215"/>
    </row>
    <row r="315" spans="1:33" ht="13.2">
      <c r="A315" s="215"/>
      <c r="B315" s="215"/>
      <c r="C315" s="215"/>
      <c r="D315" s="215"/>
      <c r="E315" s="215"/>
      <c r="F315" s="21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215"/>
      <c r="Z315" s="215"/>
      <c r="AA315" s="215"/>
      <c r="AB315" s="215"/>
      <c r="AC315" s="215"/>
      <c r="AD315" s="215"/>
      <c r="AE315" s="215"/>
      <c r="AF315" s="215"/>
      <c r="AG315" s="215"/>
    </row>
    <row r="316" spans="1:33" ht="13.2">
      <c r="A316" s="215"/>
      <c r="B316" s="215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215"/>
      <c r="Z316" s="215"/>
      <c r="AA316" s="215"/>
      <c r="AB316" s="215"/>
      <c r="AC316" s="215"/>
      <c r="AD316" s="215"/>
      <c r="AE316" s="215"/>
      <c r="AF316" s="215"/>
      <c r="AG316" s="215"/>
    </row>
    <row r="317" spans="1:33" ht="13.2">
      <c r="A317" s="215"/>
      <c r="B317" s="215"/>
      <c r="C317" s="215"/>
      <c r="D317" s="215"/>
      <c r="E317" s="21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  <c r="AA317" s="215"/>
      <c r="AB317" s="215"/>
      <c r="AC317" s="215"/>
      <c r="AD317" s="215"/>
      <c r="AE317" s="215"/>
      <c r="AF317" s="215"/>
      <c r="AG317" s="215"/>
    </row>
    <row r="318" spans="1:33" ht="13.2">
      <c r="A318" s="215"/>
      <c r="B318" s="215"/>
      <c r="C318" s="215"/>
      <c r="D318" s="215"/>
      <c r="E318" s="21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  <c r="AA318" s="215"/>
      <c r="AB318" s="215"/>
      <c r="AC318" s="215"/>
      <c r="AD318" s="215"/>
      <c r="AE318" s="215"/>
      <c r="AF318" s="215"/>
      <c r="AG318" s="215"/>
    </row>
    <row r="319" spans="1:33" ht="13.2">
      <c r="A319" s="215"/>
      <c r="B319" s="215"/>
      <c r="C319" s="215"/>
      <c r="D319" s="215"/>
      <c r="E319" s="21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  <c r="AA319" s="215"/>
      <c r="AB319" s="215"/>
      <c r="AC319" s="215"/>
      <c r="AD319" s="215"/>
      <c r="AE319" s="215"/>
      <c r="AF319" s="215"/>
      <c r="AG319" s="215"/>
    </row>
    <row r="320" spans="1:33" ht="13.2">
      <c r="A320" s="215"/>
      <c r="B320" s="215"/>
      <c r="C320" s="215"/>
      <c r="D320" s="215"/>
      <c r="E320" s="21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  <c r="AA320" s="215"/>
      <c r="AB320" s="215"/>
      <c r="AC320" s="215"/>
      <c r="AD320" s="215"/>
      <c r="AE320" s="215"/>
      <c r="AF320" s="215"/>
      <c r="AG320" s="215"/>
    </row>
    <row r="321" spans="1:33" ht="13.2">
      <c r="A321" s="215"/>
      <c r="B321" s="215"/>
      <c r="C321" s="215"/>
      <c r="D321" s="215"/>
      <c r="E321" s="21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  <c r="AB321" s="215"/>
      <c r="AC321" s="215"/>
      <c r="AD321" s="215"/>
      <c r="AE321" s="215"/>
      <c r="AF321" s="215"/>
      <c r="AG321" s="215"/>
    </row>
    <row r="322" spans="1:33" ht="13.2">
      <c r="A322" s="215"/>
      <c r="B322" s="215"/>
      <c r="C322" s="215"/>
      <c r="D322" s="215"/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  <c r="AB322" s="215"/>
      <c r="AC322" s="215"/>
      <c r="AD322" s="215"/>
      <c r="AE322" s="215"/>
      <c r="AF322" s="215"/>
      <c r="AG322" s="215"/>
    </row>
    <row r="323" spans="1:33" ht="13.2">
      <c r="A323" s="215"/>
      <c r="B323" s="215"/>
      <c r="C323" s="215"/>
      <c r="D323" s="215"/>
      <c r="E323" s="215"/>
      <c r="F323" s="21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215"/>
      <c r="Z323" s="215"/>
      <c r="AA323" s="215"/>
      <c r="AB323" s="215"/>
      <c r="AC323" s="215"/>
      <c r="AD323" s="215"/>
      <c r="AE323" s="215"/>
      <c r="AF323" s="215"/>
      <c r="AG323" s="215"/>
    </row>
    <row r="324" spans="1:33" ht="13.2">
      <c r="A324" s="215"/>
      <c r="B324" s="215"/>
      <c r="C324" s="215"/>
      <c r="D324" s="215"/>
      <c r="E324" s="215"/>
      <c r="F324" s="21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215"/>
      <c r="Z324" s="215"/>
      <c r="AA324" s="215"/>
      <c r="AB324" s="215"/>
      <c r="AC324" s="215"/>
      <c r="AD324" s="215"/>
      <c r="AE324" s="215"/>
      <c r="AF324" s="215"/>
      <c r="AG324" s="215"/>
    </row>
    <row r="325" spans="1:33" ht="13.2">
      <c r="A325" s="215"/>
      <c r="B325" s="215"/>
      <c r="C325" s="215"/>
      <c r="D325" s="215"/>
      <c r="E325" s="21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  <c r="AA325" s="215"/>
      <c r="AB325" s="215"/>
      <c r="AC325" s="215"/>
      <c r="AD325" s="215"/>
      <c r="AE325" s="215"/>
      <c r="AF325" s="215"/>
      <c r="AG325" s="215"/>
    </row>
    <row r="326" spans="1:33" ht="13.2">
      <c r="A326" s="215"/>
      <c r="B326" s="215"/>
      <c r="C326" s="215"/>
      <c r="D326" s="215"/>
      <c r="E326" s="21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  <c r="AA326" s="215"/>
      <c r="AB326" s="215"/>
      <c r="AC326" s="215"/>
      <c r="AD326" s="215"/>
      <c r="AE326" s="215"/>
      <c r="AF326" s="215"/>
      <c r="AG326" s="215"/>
    </row>
    <row r="327" spans="1:33" ht="13.2">
      <c r="A327" s="215"/>
      <c r="B327" s="215"/>
      <c r="C327" s="215"/>
      <c r="D327" s="215"/>
      <c r="E327" s="215"/>
      <c r="F327" s="21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215"/>
      <c r="Z327" s="215"/>
      <c r="AA327" s="215"/>
      <c r="AB327" s="215"/>
      <c r="AC327" s="215"/>
      <c r="AD327" s="215"/>
      <c r="AE327" s="215"/>
      <c r="AF327" s="215"/>
      <c r="AG327" s="215"/>
    </row>
    <row r="328" spans="1:33" ht="13.2">
      <c r="A328" s="215"/>
      <c r="B328" s="215"/>
      <c r="C328" s="215"/>
      <c r="D328" s="215"/>
      <c r="E328" s="215"/>
      <c r="F328" s="21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  <c r="AA328" s="215"/>
      <c r="AB328" s="215"/>
      <c r="AC328" s="215"/>
      <c r="AD328" s="215"/>
      <c r="AE328" s="215"/>
      <c r="AF328" s="215"/>
      <c r="AG328" s="215"/>
    </row>
    <row r="329" spans="1:33" ht="13.2">
      <c r="A329" s="215"/>
      <c r="B329" s="215"/>
      <c r="C329" s="215"/>
      <c r="D329" s="215"/>
      <c r="E329" s="21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  <c r="AA329" s="215"/>
      <c r="AB329" s="215"/>
      <c r="AC329" s="215"/>
      <c r="AD329" s="215"/>
      <c r="AE329" s="215"/>
      <c r="AF329" s="215"/>
      <c r="AG329" s="215"/>
    </row>
    <row r="330" spans="1:33" ht="13.2">
      <c r="A330" s="215"/>
      <c r="B330" s="215"/>
      <c r="C330" s="215"/>
      <c r="D330" s="215"/>
      <c r="E330" s="21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  <c r="AA330" s="215"/>
      <c r="AB330" s="215"/>
      <c r="AC330" s="215"/>
      <c r="AD330" s="215"/>
      <c r="AE330" s="215"/>
      <c r="AF330" s="215"/>
      <c r="AG330" s="215"/>
    </row>
    <row r="331" spans="1:33" ht="13.2">
      <c r="A331" s="215"/>
      <c r="B331" s="215"/>
      <c r="C331" s="215"/>
      <c r="D331" s="215"/>
      <c r="E331" s="21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  <c r="AA331" s="215"/>
      <c r="AB331" s="215"/>
      <c r="AC331" s="215"/>
      <c r="AD331" s="215"/>
      <c r="AE331" s="215"/>
      <c r="AF331" s="215"/>
      <c r="AG331" s="215"/>
    </row>
    <row r="332" spans="1:33" ht="13.2">
      <c r="A332" s="215"/>
      <c r="B332" s="215"/>
      <c r="C332" s="215"/>
      <c r="D332" s="215"/>
      <c r="E332" s="21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  <c r="AA332" s="215"/>
      <c r="AB332" s="215"/>
      <c r="AC332" s="215"/>
      <c r="AD332" s="215"/>
      <c r="AE332" s="215"/>
      <c r="AF332" s="215"/>
      <c r="AG332" s="215"/>
    </row>
    <row r="333" spans="1:33" ht="13.2">
      <c r="A333" s="215"/>
      <c r="B333" s="215"/>
      <c r="C333" s="215"/>
      <c r="D333" s="215"/>
      <c r="E333" s="215"/>
      <c r="F333" s="21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215"/>
      <c r="Z333" s="215"/>
      <c r="AA333" s="215"/>
      <c r="AB333" s="215"/>
      <c r="AC333" s="215"/>
      <c r="AD333" s="215"/>
      <c r="AE333" s="215"/>
      <c r="AF333" s="215"/>
      <c r="AG333" s="215"/>
    </row>
    <row r="334" spans="1:33" ht="13.2">
      <c r="A334" s="215"/>
      <c r="B334" s="215"/>
      <c r="C334" s="215"/>
      <c r="D334" s="215"/>
      <c r="E334" s="215"/>
      <c r="F334" s="215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  <c r="X334" s="215"/>
      <c r="Y334" s="215"/>
      <c r="Z334" s="215"/>
      <c r="AA334" s="215"/>
      <c r="AB334" s="215"/>
      <c r="AC334" s="215"/>
      <c r="AD334" s="215"/>
      <c r="AE334" s="215"/>
      <c r="AF334" s="215"/>
      <c r="AG334" s="215"/>
    </row>
    <row r="335" spans="1:33" ht="13.2">
      <c r="A335" s="215"/>
      <c r="B335" s="215"/>
      <c r="C335" s="215"/>
      <c r="D335" s="215"/>
      <c r="E335" s="215"/>
      <c r="F335" s="21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  <c r="AA335" s="215"/>
      <c r="AB335" s="215"/>
      <c r="AC335" s="215"/>
      <c r="AD335" s="215"/>
      <c r="AE335" s="215"/>
      <c r="AF335" s="215"/>
      <c r="AG335" s="215"/>
    </row>
    <row r="336" spans="1:33" ht="13.2">
      <c r="A336" s="215"/>
      <c r="B336" s="215"/>
      <c r="C336" s="215"/>
      <c r="D336" s="215"/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  <c r="AA336" s="215"/>
      <c r="AB336" s="215"/>
      <c r="AC336" s="215"/>
      <c r="AD336" s="215"/>
      <c r="AE336" s="215"/>
      <c r="AF336" s="215"/>
      <c r="AG336" s="215"/>
    </row>
    <row r="337" spans="1:33" ht="13.2">
      <c r="A337" s="215"/>
      <c r="B337" s="215"/>
      <c r="C337" s="215"/>
      <c r="D337" s="215"/>
      <c r="E337" s="215"/>
      <c r="F337" s="215"/>
      <c r="G337" s="215"/>
      <c r="H337" s="215"/>
      <c r="I337" s="215"/>
      <c r="J337" s="215"/>
      <c r="K337" s="215"/>
      <c r="L337" s="215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215"/>
      <c r="Z337" s="215"/>
      <c r="AA337" s="215"/>
      <c r="AB337" s="215"/>
      <c r="AC337" s="215"/>
      <c r="AD337" s="215"/>
      <c r="AE337" s="215"/>
      <c r="AF337" s="215"/>
      <c r="AG337" s="215"/>
    </row>
    <row r="338" spans="1:33" ht="13.2">
      <c r="A338" s="215"/>
      <c r="B338" s="215"/>
      <c r="C338" s="215"/>
      <c r="D338" s="215"/>
      <c r="E338" s="215"/>
      <c r="F338" s="215"/>
      <c r="G338" s="215"/>
      <c r="H338" s="215"/>
      <c r="I338" s="215"/>
      <c r="J338" s="215"/>
      <c r="K338" s="215"/>
      <c r="L338" s="215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215"/>
      <c r="Z338" s="215"/>
      <c r="AA338" s="215"/>
      <c r="AB338" s="215"/>
      <c r="AC338" s="215"/>
      <c r="AD338" s="215"/>
      <c r="AE338" s="215"/>
      <c r="AF338" s="215"/>
      <c r="AG338" s="215"/>
    </row>
    <row r="339" spans="1:33" ht="13.2">
      <c r="A339" s="215"/>
      <c r="B339" s="215"/>
      <c r="C339" s="215"/>
      <c r="D339" s="215"/>
      <c r="E339" s="215"/>
      <c r="F339" s="21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  <c r="AA339" s="215"/>
      <c r="AB339" s="215"/>
      <c r="AC339" s="215"/>
      <c r="AD339" s="215"/>
      <c r="AE339" s="215"/>
      <c r="AF339" s="215"/>
      <c r="AG339" s="215"/>
    </row>
    <row r="340" spans="1:33" ht="13.2">
      <c r="A340" s="215"/>
      <c r="B340" s="215"/>
      <c r="C340" s="215"/>
      <c r="D340" s="215"/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  <c r="AB340" s="215"/>
      <c r="AC340" s="215"/>
      <c r="AD340" s="215"/>
      <c r="AE340" s="215"/>
      <c r="AF340" s="215"/>
      <c r="AG340" s="215"/>
    </row>
    <row r="341" spans="1:33" ht="13.2">
      <c r="A341" s="215"/>
      <c r="B341" s="215"/>
      <c r="C341" s="215"/>
      <c r="D341" s="215"/>
      <c r="E341" s="21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215"/>
      <c r="Z341" s="215"/>
      <c r="AA341" s="215"/>
      <c r="AB341" s="215"/>
      <c r="AC341" s="215"/>
      <c r="AD341" s="215"/>
      <c r="AE341" s="215"/>
      <c r="AF341" s="215"/>
      <c r="AG341" s="215"/>
    </row>
    <row r="342" spans="1:33" ht="13.2">
      <c r="A342" s="215"/>
      <c r="B342" s="215"/>
      <c r="C342" s="215"/>
      <c r="D342" s="215"/>
      <c r="E342" s="215"/>
      <c r="F342" s="21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215"/>
      <c r="Z342" s="215"/>
      <c r="AA342" s="215"/>
      <c r="AB342" s="215"/>
      <c r="AC342" s="215"/>
      <c r="AD342" s="215"/>
      <c r="AE342" s="215"/>
      <c r="AF342" s="215"/>
      <c r="AG342" s="215"/>
    </row>
    <row r="343" spans="1:33" ht="13.2">
      <c r="A343" s="215"/>
      <c r="B343" s="215"/>
      <c r="C343" s="215"/>
      <c r="D343" s="215"/>
      <c r="E343" s="21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  <c r="AA343" s="215"/>
      <c r="AB343" s="215"/>
      <c r="AC343" s="215"/>
      <c r="AD343" s="215"/>
      <c r="AE343" s="215"/>
      <c r="AF343" s="215"/>
      <c r="AG343" s="215"/>
    </row>
    <row r="344" spans="1:33" ht="13.2">
      <c r="A344" s="215"/>
      <c r="B344" s="215"/>
      <c r="C344" s="215"/>
      <c r="D344" s="215"/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  <c r="AA344" s="215"/>
      <c r="AB344" s="215"/>
      <c r="AC344" s="215"/>
      <c r="AD344" s="215"/>
      <c r="AE344" s="215"/>
      <c r="AF344" s="215"/>
      <c r="AG344" s="215"/>
    </row>
    <row r="345" spans="1:33" ht="13.2">
      <c r="A345" s="215"/>
      <c r="B345" s="215"/>
      <c r="C345" s="215"/>
      <c r="D345" s="215"/>
      <c r="E345" s="21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  <c r="AA345" s="215"/>
      <c r="AB345" s="215"/>
      <c r="AC345" s="215"/>
      <c r="AD345" s="215"/>
      <c r="AE345" s="215"/>
      <c r="AF345" s="215"/>
      <c r="AG345" s="215"/>
    </row>
    <row r="346" spans="1:33" ht="13.2">
      <c r="A346" s="215"/>
      <c r="B346" s="215"/>
      <c r="C346" s="215"/>
      <c r="D346" s="215"/>
      <c r="E346" s="215"/>
      <c r="F346" s="21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215"/>
      <c r="Z346" s="215"/>
      <c r="AA346" s="215"/>
      <c r="AB346" s="215"/>
      <c r="AC346" s="215"/>
      <c r="AD346" s="215"/>
      <c r="AE346" s="215"/>
      <c r="AF346" s="215"/>
      <c r="AG346" s="215"/>
    </row>
    <row r="347" spans="1:33" ht="13.2">
      <c r="A347" s="215"/>
      <c r="B347" s="215"/>
      <c r="C347" s="215"/>
      <c r="D347" s="215"/>
      <c r="E347" s="215"/>
      <c r="F347" s="21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215"/>
      <c r="Z347" s="215"/>
      <c r="AA347" s="215"/>
      <c r="AB347" s="215"/>
      <c r="AC347" s="215"/>
      <c r="AD347" s="215"/>
      <c r="AE347" s="215"/>
      <c r="AF347" s="215"/>
      <c r="AG347" s="215"/>
    </row>
    <row r="348" spans="1:33" ht="13.2">
      <c r="A348" s="215"/>
      <c r="B348" s="215"/>
      <c r="C348" s="215"/>
      <c r="D348" s="215"/>
      <c r="E348" s="21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  <c r="AA348" s="215"/>
      <c r="AB348" s="215"/>
      <c r="AC348" s="215"/>
      <c r="AD348" s="215"/>
      <c r="AE348" s="215"/>
      <c r="AF348" s="215"/>
      <c r="AG348" s="215"/>
    </row>
    <row r="349" spans="1:33" ht="13.2">
      <c r="A349" s="215"/>
      <c r="B349" s="215"/>
      <c r="C349" s="215"/>
      <c r="D349" s="215"/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  <c r="AA349" s="215"/>
      <c r="AB349" s="215"/>
      <c r="AC349" s="215"/>
      <c r="AD349" s="215"/>
      <c r="AE349" s="215"/>
      <c r="AF349" s="215"/>
      <c r="AG349" s="215"/>
    </row>
    <row r="350" spans="1:33" ht="13.2">
      <c r="A350" s="215"/>
      <c r="B350" s="215"/>
      <c r="C350" s="215"/>
      <c r="D350" s="215"/>
      <c r="E350" s="215"/>
      <c r="F350" s="21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215"/>
      <c r="Z350" s="215"/>
      <c r="AA350" s="215"/>
      <c r="AB350" s="215"/>
      <c r="AC350" s="215"/>
      <c r="AD350" s="215"/>
      <c r="AE350" s="215"/>
      <c r="AF350" s="215"/>
      <c r="AG350" s="215"/>
    </row>
    <row r="351" spans="1:33" ht="13.2">
      <c r="A351" s="215"/>
      <c r="B351" s="215"/>
      <c r="C351" s="215"/>
      <c r="D351" s="215"/>
      <c r="E351" s="215"/>
      <c r="F351" s="21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  <c r="Z351" s="215"/>
      <c r="AA351" s="215"/>
      <c r="AB351" s="215"/>
      <c r="AC351" s="215"/>
      <c r="AD351" s="215"/>
      <c r="AE351" s="215"/>
      <c r="AF351" s="215"/>
      <c r="AG351" s="215"/>
    </row>
    <row r="352" spans="1:33" ht="13.2">
      <c r="A352" s="215"/>
      <c r="B352" s="215"/>
      <c r="C352" s="215"/>
      <c r="D352" s="215"/>
      <c r="E352" s="21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  <c r="AA352" s="215"/>
      <c r="AB352" s="215"/>
      <c r="AC352" s="215"/>
      <c r="AD352" s="215"/>
      <c r="AE352" s="215"/>
      <c r="AF352" s="215"/>
      <c r="AG352" s="215"/>
    </row>
    <row r="353" spans="1:33" ht="13.2">
      <c r="A353" s="215"/>
      <c r="B353" s="215"/>
      <c r="C353" s="215"/>
      <c r="D353" s="215"/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  <c r="AA353" s="215"/>
      <c r="AB353" s="215"/>
      <c r="AC353" s="215"/>
      <c r="AD353" s="215"/>
      <c r="AE353" s="215"/>
      <c r="AF353" s="215"/>
      <c r="AG353" s="215"/>
    </row>
    <row r="354" spans="1:33" ht="13.2">
      <c r="A354" s="215"/>
      <c r="B354" s="215"/>
      <c r="C354" s="215"/>
      <c r="D354" s="215"/>
      <c r="E354" s="21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  <c r="AA354" s="215"/>
      <c r="AB354" s="215"/>
      <c r="AC354" s="215"/>
      <c r="AD354" s="215"/>
      <c r="AE354" s="215"/>
      <c r="AF354" s="215"/>
      <c r="AG354" s="215"/>
    </row>
    <row r="355" spans="1:33" ht="13.2">
      <c r="A355" s="215"/>
      <c r="B355" s="215"/>
      <c r="C355" s="215"/>
      <c r="D355" s="215"/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  <c r="AA355" s="215"/>
      <c r="AB355" s="215"/>
      <c r="AC355" s="215"/>
      <c r="AD355" s="215"/>
      <c r="AE355" s="215"/>
      <c r="AF355" s="215"/>
      <c r="AG355" s="215"/>
    </row>
    <row r="356" spans="1:33" ht="13.2">
      <c r="A356" s="215"/>
      <c r="B356" s="215"/>
      <c r="C356" s="215"/>
      <c r="D356" s="215"/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  <c r="AA356" s="215"/>
      <c r="AB356" s="215"/>
      <c r="AC356" s="215"/>
      <c r="AD356" s="215"/>
      <c r="AE356" s="215"/>
      <c r="AF356" s="215"/>
      <c r="AG356" s="215"/>
    </row>
    <row r="357" spans="1:33" ht="13.2">
      <c r="A357" s="215"/>
      <c r="B357" s="215"/>
      <c r="C357" s="215"/>
      <c r="D357" s="215"/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  <c r="AB357" s="215"/>
      <c r="AC357" s="215"/>
      <c r="AD357" s="215"/>
      <c r="AE357" s="215"/>
      <c r="AF357" s="215"/>
      <c r="AG357" s="215"/>
    </row>
    <row r="358" spans="1:33" ht="13.2">
      <c r="A358" s="215"/>
      <c r="B358" s="215"/>
      <c r="C358" s="215"/>
      <c r="D358" s="215"/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  <c r="AA358" s="215"/>
      <c r="AB358" s="215"/>
      <c r="AC358" s="215"/>
      <c r="AD358" s="215"/>
      <c r="AE358" s="215"/>
      <c r="AF358" s="215"/>
      <c r="AG358" s="215"/>
    </row>
    <row r="359" spans="1:33" ht="13.2">
      <c r="A359" s="215"/>
      <c r="B359" s="215"/>
      <c r="C359" s="215"/>
      <c r="D359" s="215"/>
      <c r="E359" s="21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  <c r="AA359" s="215"/>
      <c r="AB359" s="215"/>
      <c r="AC359" s="215"/>
      <c r="AD359" s="215"/>
      <c r="AE359" s="215"/>
      <c r="AF359" s="215"/>
      <c r="AG359" s="215"/>
    </row>
    <row r="360" spans="1:33" ht="13.2">
      <c r="A360" s="215"/>
      <c r="B360" s="215"/>
      <c r="C360" s="215"/>
      <c r="D360" s="215"/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215"/>
      <c r="Z360" s="215"/>
      <c r="AA360" s="215"/>
      <c r="AB360" s="215"/>
      <c r="AC360" s="215"/>
      <c r="AD360" s="215"/>
      <c r="AE360" s="215"/>
      <c r="AF360" s="215"/>
      <c r="AG360" s="215"/>
    </row>
    <row r="361" spans="1:33" ht="13.2">
      <c r="A361" s="215"/>
      <c r="B361" s="215"/>
      <c r="C361" s="215"/>
      <c r="D361" s="215"/>
      <c r="E361" s="215"/>
      <c r="F361" s="21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  <c r="AA361" s="215"/>
      <c r="AB361" s="215"/>
      <c r="AC361" s="215"/>
      <c r="AD361" s="215"/>
      <c r="AE361" s="215"/>
      <c r="AF361" s="215"/>
      <c r="AG361" s="215"/>
    </row>
    <row r="362" spans="1:33" ht="13.2">
      <c r="A362" s="215"/>
      <c r="B362" s="215"/>
      <c r="C362" s="215"/>
      <c r="D362" s="215"/>
      <c r="E362" s="215"/>
      <c r="F362" s="215"/>
      <c r="G362" s="215"/>
      <c r="H362" s="215"/>
      <c r="I362" s="215"/>
      <c r="J362" s="215"/>
      <c r="K362" s="215"/>
      <c r="L362" s="215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215"/>
      <c r="Z362" s="215"/>
      <c r="AA362" s="215"/>
      <c r="AB362" s="215"/>
      <c r="AC362" s="215"/>
      <c r="AD362" s="215"/>
      <c r="AE362" s="215"/>
      <c r="AF362" s="215"/>
      <c r="AG362" s="215"/>
    </row>
    <row r="363" spans="1:33" ht="13.2">
      <c r="A363" s="215"/>
      <c r="B363" s="215"/>
      <c r="C363" s="215"/>
      <c r="D363" s="215"/>
      <c r="E363" s="215"/>
      <c r="F363" s="215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215"/>
      <c r="Z363" s="215"/>
      <c r="AA363" s="215"/>
      <c r="AB363" s="215"/>
      <c r="AC363" s="215"/>
      <c r="AD363" s="215"/>
      <c r="AE363" s="215"/>
      <c r="AF363" s="215"/>
      <c r="AG363" s="215"/>
    </row>
    <row r="364" spans="1:33" ht="13.2">
      <c r="A364" s="215"/>
      <c r="B364" s="215"/>
      <c r="C364" s="215"/>
      <c r="D364" s="215"/>
      <c r="E364" s="215"/>
      <c r="F364" s="215"/>
      <c r="G364" s="215"/>
      <c r="H364" s="215"/>
      <c r="I364" s="215"/>
      <c r="J364" s="215"/>
      <c r="K364" s="215"/>
      <c r="L364" s="215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215"/>
      <c r="Z364" s="215"/>
      <c r="AA364" s="215"/>
      <c r="AB364" s="215"/>
      <c r="AC364" s="215"/>
      <c r="AD364" s="215"/>
      <c r="AE364" s="215"/>
      <c r="AF364" s="215"/>
      <c r="AG364" s="215"/>
    </row>
    <row r="365" spans="1:33" ht="13.2">
      <c r="A365" s="215"/>
      <c r="B365" s="215"/>
      <c r="C365" s="215"/>
      <c r="D365" s="215"/>
      <c r="E365" s="215"/>
      <c r="F365" s="215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215"/>
      <c r="Z365" s="215"/>
      <c r="AA365" s="215"/>
      <c r="AB365" s="215"/>
      <c r="AC365" s="215"/>
      <c r="AD365" s="215"/>
      <c r="AE365" s="215"/>
      <c r="AF365" s="215"/>
      <c r="AG365" s="215"/>
    </row>
    <row r="366" spans="1:33" ht="13.2">
      <c r="A366" s="215"/>
      <c r="B366" s="215"/>
      <c r="C366" s="215"/>
      <c r="D366" s="215"/>
      <c r="E366" s="215"/>
      <c r="F366" s="215"/>
      <c r="G366" s="215"/>
      <c r="H366" s="215"/>
      <c r="I366" s="215"/>
      <c r="J366" s="215"/>
      <c r="K366" s="215"/>
      <c r="L366" s="215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215"/>
      <c r="Z366" s="215"/>
      <c r="AA366" s="215"/>
      <c r="AB366" s="215"/>
      <c r="AC366" s="215"/>
      <c r="AD366" s="215"/>
      <c r="AE366" s="215"/>
      <c r="AF366" s="215"/>
      <c r="AG366" s="215"/>
    </row>
    <row r="367" spans="1:33" ht="13.2">
      <c r="A367" s="215"/>
      <c r="B367" s="215"/>
      <c r="C367" s="215"/>
      <c r="D367" s="215"/>
      <c r="E367" s="215"/>
      <c r="F367" s="21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215"/>
      <c r="Z367" s="215"/>
      <c r="AA367" s="215"/>
      <c r="AB367" s="215"/>
      <c r="AC367" s="215"/>
      <c r="AD367" s="215"/>
      <c r="AE367" s="215"/>
      <c r="AF367" s="215"/>
      <c r="AG367" s="215"/>
    </row>
    <row r="368" spans="1:33" ht="13.2">
      <c r="A368" s="215"/>
      <c r="B368" s="215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  <c r="AA368" s="215"/>
      <c r="AB368" s="215"/>
      <c r="AC368" s="215"/>
      <c r="AD368" s="215"/>
      <c r="AE368" s="215"/>
      <c r="AF368" s="215"/>
      <c r="AG368" s="215"/>
    </row>
    <row r="369" spans="1:33" ht="13.2">
      <c r="A369" s="215"/>
      <c r="B369" s="215"/>
      <c r="C369" s="215"/>
      <c r="D369" s="215"/>
      <c r="E369" s="21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215"/>
      <c r="Z369" s="215"/>
      <c r="AA369" s="215"/>
      <c r="AB369" s="215"/>
      <c r="AC369" s="215"/>
      <c r="AD369" s="215"/>
      <c r="AE369" s="215"/>
      <c r="AF369" s="215"/>
      <c r="AG369" s="215"/>
    </row>
    <row r="370" spans="1:33" ht="13.2">
      <c r="A370" s="215"/>
      <c r="B370" s="215"/>
      <c r="C370" s="215"/>
      <c r="D370" s="215"/>
      <c r="E370" s="215"/>
      <c r="F370" s="21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215"/>
      <c r="Z370" s="215"/>
      <c r="AA370" s="215"/>
      <c r="AB370" s="215"/>
      <c r="AC370" s="215"/>
      <c r="AD370" s="215"/>
      <c r="AE370" s="215"/>
      <c r="AF370" s="215"/>
      <c r="AG370" s="215"/>
    </row>
    <row r="371" spans="1:33" ht="13.2">
      <c r="A371" s="215"/>
      <c r="B371" s="215"/>
      <c r="C371" s="215"/>
      <c r="D371" s="215"/>
      <c r="E371" s="215"/>
      <c r="F371" s="21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215"/>
      <c r="Z371" s="215"/>
      <c r="AA371" s="215"/>
      <c r="AB371" s="215"/>
      <c r="AC371" s="215"/>
      <c r="AD371" s="215"/>
      <c r="AE371" s="215"/>
      <c r="AF371" s="215"/>
      <c r="AG371" s="215"/>
    </row>
    <row r="372" spans="1:33" ht="13.2">
      <c r="A372" s="215"/>
      <c r="B372" s="215"/>
      <c r="C372" s="215"/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215"/>
      <c r="Z372" s="215"/>
      <c r="AA372" s="215"/>
      <c r="AB372" s="215"/>
      <c r="AC372" s="215"/>
      <c r="AD372" s="215"/>
      <c r="AE372" s="215"/>
      <c r="AF372" s="215"/>
      <c r="AG372" s="215"/>
    </row>
    <row r="373" spans="1:33" ht="13.2">
      <c r="A373" s="215"/>
      <c r="B373" s="215"/>
      <c r="C373" s="215"/>
      <c r="D373" s="215"/>
      <c r="E373" s="215"/>
      <c r="F373" s="21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215"/>
      <c r="Z373" s="215"/>
      <c r="AA373" s="215"/>
      <c r="AB373" s="215"/>
      <c r="AC373" s="215"/>
      <c r="AD373" s="215"/>
      <c r="AE373" s="215"/>
      <c r="AF373" s="215"/>
      <c r="AG373" s="215"/>
    </row>
    <row r="374" spans="1:33" ht="13.2">
      <c r="A374" s="215"/>
      <c r="B374" s="215"/>
      <c r="C374" s="215"/>
      <c r="D374" s="215"/>
      <c r="E374" s="215"/>
      <c r="F374" s="21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215"/>
      <c r="Z374" s="215"/>
      <c r="AA374" s="215"/>
      <c r="AB374" s="215"/>
      <c r="AC374" s="215"/>
      <c r="AD374" s="215"/>
      <c r="AE374" s="215"/>
      <c r="AF374" s="215"/>
      <c r="AG374" s="215"/>
    </row>
    <row r="375" spans="1:33" ht="13.2">
      <c r="A375" s="215"/>
      <c r="B375" s="215"/>
      <c r="C375" s="215"/>
      <c r="D375" s="215"/>
      <c r="E375" s="21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215"/>
      <c r="Z375" s="215"/>
      <c r="AA375" s="215"/>
      <c r="AB375" s="215"/>
      <c r="AC375" s="215"/>
      <c r="AD375" s="215"/>
      <c r="AE375" s="215"/>
      <c r="AF375" s="215"/>
      <c r="AG375" s="215"/>
    </row>
    <row r="376" spans="1:33" ht="13.2">
      <c r="A376" s="215"/>
      <c r="B376" s="215"/>
      <c r="C376" s="215"/>
      <c r="D376" s="215"/>
      <c r="E376" s="215"/>
      <c r="F376" s="21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215"/>
      <c r="Z376" s="215"/>
      <c r="AA376" s="215"/>
      <c r="AB376" s="215"/>
      <c r="AC376" s="215"/>
      <c r="AD376" s="215"/>
      <c r="AE376" s="215"/>
      <c r="AF376" s="215"/>
      <c r="AG376" s="215"/>
    </row>
    <row r="377" spans="1:33" ht="13.2">
      <c r="A377" s="215"/>
      <c r="B377" s="215"/>
      <c r="C377" s="215"/>
      <c r="D377" s="215"/>
      <c r="E377" s="215"/>
      <c r="F377" s="21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215"/>
      <c r="Z377" s="215"/>
      <c r="AA377" s="215"/>
      <c r="AB377" s="215"/>
      <c r="AC377" s="215"/>
      <c r="AD377" s="215"/>
      <c r="AE377" s="215"/>
      <c r="AF377" s="215"/>
      <c r="AG377" s="215"/>
    </row>
    <row r="378" spans="1:33" ht="13.2">
      <c r="A378" s="215"/>
      <c r="B378" s="215"/>
      <c r="C378" s="215"/>
      <c r="D378" s="215"/>
      <c r="E378" s="215"/>
      <c r="F378" s="21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215"/>
      <c r="Z378" s="215"/>
      <c r="AA378" s="215"/>
      <c r="AB378" s="215"/>
      <c r="AC378" s="215"/>
      <c r="AD378" s="215"/>
      <c r="AE378" s="215"/>
      <c r="AF378" s="215"/>
      <c r="AG378" s="215"/>
    </row>
    <row r="379" spans="1:33" ht="13.2">
      <c r="A379" s="215"/>
      <c r="B379" s="215"/>
      <c r="C379" s="215"/>
      <c r="D379" s="215"/>
      <c r="E379" s="215"/>
      <c r="F379" s="21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215"/>
      <c r="Z379" s="215"/>
      <c r="AA379" s="215"/>
      <c r="AB379" s="215"/>
      <c r="AC379" s="215"/>
      <c r="AD379" s="215"/>
      <c r="AE379" s="215"/>
      <c r="AF379" s="215"/>
      <c r="AG379" s="215"/>
    </row>
    <row r="380" spans="1:33" ht="13.2">
      <c r="A380" s="215"/>
      <c r="B380" s="215"/>
      <c r="C380" s="215"/>
      <c r="D380" s="215"/>
      <c r="E380" s="215"/>
      <c r="F380" s="21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215"/>
      <c r="Z380" s="215"/>
      <c r="AA380" s="215"/>
      <c r="AB380" s="215"/>
      <c r="AC380" s="215"/>
      <c r="AD380" s="215"/>
      <c r="AE380" s="215"/>
      <c r="AF380" s="215"/>
      <c r="AG380" s="215"/>
    </row>
    <row r="381" spans="1:33" ht="13.2">
      <c r="A381" s="215"/>
      <c r="B381" s="215"/>
      <c r="C381" s="215"/>
      <c r="D381" s="215"/>
      <c r="E381" s="215"/>
      <c r="F381" s="21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215"/>
      <c r="Z381" s="215"/>
      <c r="AA381" s="215"/>
      <c r="AB381" s="215"/>
      <c r="AC381" s="215"/>
      <c r="AD381" s="215"/>
      <c r="AE381" s="215"/>
      <c r="AF381" s="215"/>
      <c r="AG381" s="215"/>
    </row>
    <row r="382" spans="1:33" ht="13.2">
      <c r="A382" s="215"/>
      <c r="B382" s="215"/>
      <c r="C382" s="215"/>
      <c r="D382" s="215"/>
      <c r="E382" s="215"/>
      <c r="F382" s="21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215"/>
      <c r="Z382" s="215"/>
      <c r="AA382" s="215"/>
      <c r="AB382" s="215"/>
      <c r="AC382" s="215"/>
      <c r="AD382" s="215"/>
      <c r="AE382" s="215"/>
      <c r="AF382" s="215"/>
      <c r="AG382" s="215"/>
    </row>
    <row r="383" spans="1:33" ht="13.2">
      <c r="A383" s="215"/>
      <c r="B383" s="215"/>
      <c r="C383" s="215"/>
      <c r="D383" s="215"/>
      <c r="E383" s="215"/>
      <c r="F383" s="21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215"/>
      <c r="Z383" s="215"/>
      <c r="AA383" s="215"/>
      <c r="AB383" s="215"/>
      <c r="AC383" s="215"/>
      <c r="AD383" s="215"/>
      <c r="AE383" s="215"/>
      <c r="AF383" s="215"/>
      <c r="AG383" s="215"/>
    </row>
    <row r="384" spans="1:33" ht="13.2">
      <c r="A384" s="215"/>
      <c r="B384" s="215"/>
      <c r="C384" s="215"/>
      <c r="D384" s="215"/>
      <c r="E384" s="215"/>
      <c r="F384" s="21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215"/>
      <c r="Z384" s="215"/>
      <c r="AA384" s="215"/>
      <c r="AB384" s="215"/>
      <c r="AC384" s="215"/>
      <c r="AD384" s="215"/>
      <c r="AE384" s="215"/>
      <c r="AF384" s="215"/>
      <c r="AG384" s="215"/>
    </row>
    <row r="385" spans="1:33" ht="13.2">
      <c r="A385" s="215"/>
      <c r="B385" s="215"/>
      <c r="C385" s="215"/>
      <c r="D385" s="215"/>
      <c r="E385" s="215"/>
      <c r="F385" s="21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215"/>
      <c r="Z385" s="215"/>
      <c r="AA385" s="215"/>
      <c r="AB385" s="215"/>
      <c r="AC385" s="215"/>
      <c r="AD385" s="215"/>
      <c r="AE385" s="215"/>
      <c r="AF385" s="215"/>
      <c r="AG385" s="215"/>
    </row>
    <row r="386" spans="1:33" ht="13.2">
      <c r="A386" s="215"/>
      <c r="B386" s="215"/>
      <c r="C386" s="215"/>
      <c r="D386" s="215"/>
      <c r="E386" s="215"/>
      <c r="F386" s="215"/>
      <c r="G386" s="215"/>
      <c r="H386" s="215"/>
      <c r="I386" s="215"/>
      <c r="J386" s="215"/>
      <c r="K386" s="215"/>
      <c r="L386" s="215"/>
      <c r="M386" s="215"/>
      <c r="N386" s="215"/>
      <c r="O386" s="215"/>
      <c r="P386" s="215"/>
      <c r="Q386" s="215"/>
      <c r="R386" s="215"/>
      <c r="S386" s="215"/>
      <c r="T386" s="215"/>
      <c r="U386" s="215"/>
      <c r="V386" s="215"/>
      <c r="W386" s="215"/>
      <c r="X386" s="215"/>
      <c r="Y386" s="215"/>
      <c r="Z386" s="215"/>
      <c r="AA386" s="215"/>
      <c r="AB386" s="215"/>
      <c r="AC386" s="215"/>
      <c r="AD386" s="215"/>
      <c r="AE386" s="215"/>
      <c r="AF386" s="215"/>
      <c r="AG386" s="215"/>
    </row>
    <row r="387" spans="1:33" ht="13.2">
      <c r="A387" s="215"/>
      <c r="B387" s="215"/>
      <c r="C387" s="215"/>
      <c r="D387" s="215"/>
      <c r="E387" s="215"/>
      <c r="F387" s="215"/>
      <c r="G387" s="215"/>
      <c r="H387" s="215"/>
      <c r="I387" s="215"/>
      <c r="J387" s="215"/>
      <c r="K387" s="215"/>
      <c r="L387" s="215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215"/>
      <c r="Z387" s="215"/>
      <c r="AA387" s="215"/>
      <c r="AB387" s="215"/>
      <c r="AC387" s="215"/>
      <c r="AD387" s="215"/>
      <c r="AE387" s="215"/>
      <c r="AF387" s="215"/>
      <c r="AG387" s="215"/>
    </row>
    <row r="388" spans="1:33" ht="13.2">
      <c r="A388" s="215"/>
      <c r="B388" s="215"/>
      <c r="C388" s="215"/>
      <c r="D388" s="215"/>
      <c r="E388" s="215"/>
      <c r="F388" s="215"/>
      <c r="G388" s="215"/>
      <c r="H388" s="215"/>
      <c r="I388" s="215"/>
      <c r="J388" s="215"/>
      <c r="K388" s="215"/>
      <c r="L388" s="215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215"/>
      <c r="Z388" s="215"/>
      <c r="AA388" s="215"/>
      <c r="AB388" s="215"/>
      <c r="AC388" s="215"/>
      <c r="AD388" s="215"/>
      <c r="AE388" s="215"/>
      <c r="AF388" s="215"/>
      <c r="AG388" s="215"/>
    </row>
    <row r="389" spans="1:33" ht="13.2">
      <c r="A389" s="215"/>
      <c r="B389" s="215"/>
      <c r="C389" s="215"/>
      <c r="D389" s="215"/>
      <c r="E389" s="215"/>
      <c r="F389" s="215"/>
      <c r="G389" s="215"/>
      <c r="H389" s="215"/>
      <c r="I389" s="215"/>
      <c r="J389" s="215"/>
      <c r="K389" s="215"/>
      <c r="L389" s="215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215"/>
      <c r="Z389" s="215"/>
      <c r="AA389" s="215"/>
      <c r="AB389" s="215"/>
      <c r="AC389" s="215"/>
      <c r="AD389" s="215"/>
      <c r="AE389" s="215"/>
      <c r="AF389" s="215"/>
      <c r="AG389" s="215"/>
    </row>
    <row r="390" spans="1:33" ht="13.2">
      <c r="A390" s="215"/>
      <c r="B390" s="215"/>
      <c r="C390" s="215"/>
      <c r="D390" s="215"/>
      <c r="E390" s="215"/>
      <c r="F390" s="215"/>
      <c r="G390" s="215"/>
      <c r="H390" s="215"/>
      <c r="I390" s="215"/>
      <c r="J390" s="215"/>
      <c r="K390" s="215"/>
      <c r="L390" s="215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215"/>
      <c r="Z390" s="215"/>
      <c r="AA390" s="215"/>
      <c r="AB390" s="215"/>
      <c r="AC390" s="215"/>
      <c r="AD390" s="215"/>
      <c r="AE390" s="215"/>
      <c r="AF390" s="215"/>
      <c r="AG390" s="215"/>
    </row>
    <row r="391" spans="1:33" ht="13.2">
      <c r="A391" s="215"/>
      <c r="B391" s="215"/>
      <c r="C391" s="215"/>
      <c r="D391" s="215"/>
      <c r="E391" s="215"/>
      <c r="F391" s="215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215"/>
      <c r="Z391" s="215"/>
      <c r="AA391" s="215"/>
      <c r="AB391" s="215"/>
      <c r="AC391" s="215"/>
      <c r="AD391" s="215"/>
      <c r="AE391" s="215"/>
      <c r="AF391" s="215"/>
      <c r="AG391" s="215"/>
    </row>
    <row r="392" spans="1:33" ht="13.2">
      <c r="A392" s="215"/>
      <c r="B392" s="215"/>
      <c r="C392" s="215"/>
      <c r="D392" s="215"/>
      <c r="E392" s="215"/>
      <c r="F392" s="215"/>
      <c r="G392" s="215"/>
      <c r="H392" s="215"/>
      <c r="I392" s="215"/>
      <c r="J392" s="215"/>
      <c r="K392" s="215"/>
      <c r="L392" s="215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215"/>
      <c r="Z392" s="215"/>
      <c r="AA392" s="215"/>
      <c r="AB392" s="215"/>
      <c r="AC392" s="215"/>
      <c r="AD392" s="215"/>
      <c r="AE392" s="215"/>
      <c r="AF392" s="215"/>
      <c r="AG392" s="215"/>
    </row>
    <row r="393" spans="1:33" ht="13.2">
      <c r="A393" s="215"/>
      <c r="B393" s="215"/>
      <c r="C393" s="215"/>
      <c r="D393" s="215"/>
      <c r="E393" s="215"/>
      <c r="F393" s="21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215"/>
      <c r="Z393" s="215"/>
      <c r="AA393" s="215"/>
      <c r="AB393" s="215"/>
      <c r="AC393" s="215"/>
      <c r="AD393" s="215"/>
      <c r="AE393" s="215"/>
      <c r="AF393" s="215"/>
      <c r="AG393" s="215"/>
    </row>
    <row r="394" spans="1:33" ht="13.2">
      <c r="A394" s="215"/>
      <c r="B394" s="215"/>
      <c r="C394" s="215"/>
      <c r="D394" s="215"/>
      <c r="E394" s="215"/>
      <c r="F394" s="21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215"/>
      <c r="Z394" s="215"/>
      <c r="AA394" s="215"/>
      <c r="AB394" s="215"/>
      <c r="AC394" s="215"/>
      <c r="AD394" s="215"/>
      <c r="AE394" s="215"/>
      <c r="AF394" s="215"/>
      <c r="AG394" s="215"/>
    </row>
    <row r="395" spans="1:33" ht="13.2">
      <c r="A395" s="215"/>
      <c r="B395" s="215"/>
      <c r="C395" s="215"/>
      <c r="D395" s="215"/>
      <c r="E395" s="215"/>
      <c r="F395" s="21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215"/>
      <c r="Z395" s="215"/>
      <c r="AA395" s="215"/>
      <c r="AB395" s="215"/>
      <c r="AC395" s="215"/>
      <c r="AD395" s="215"/>
      <c r="AE395" s="215"/>
      <c r="AF395" s="215"/>
      <c r="AG395" s="215"/>
    </row>
    <row r="396" spans="1:33" ht="13.2">
      <c r="A396" s="215"/>
      <c r="B396" s="215"/>
      <c r="C396" s="215"/>
      <c r="D396" s="215"/>
      <c r="E396" s="215"/>
      <c r="F396" s="21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215"/>
      <c r="Z396" s="215"/>
      <c r="AA396" s="215"/>
      <c r="AB396" s="215"/>
      <c r="AC396" s="215"/>
      <c r="AD396" s="215"/>
      <c r="AE396" s="215"/>
      <c r="AF396" s="215"/>
      <c r="AG396" s="215"/>
    </row>
    <row r="397" spans="1:33" ht="13.2">
      <c r="A397" s="215"/>
      <c r="B397" s="215"/>
      <c r="C397" s="215"/>
      <c r="D397" s="215"/>
      <c r="E397" s="215"/>
      <c r="F397" s="21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215"/>
      <c r="Z397" s="215"/>
      <c r="AA397" s="215"/>
      <c r="AB397" s="215"/>
      <c r="AC397" s="215"/>
      <c r="AD397" s="215"/>
      <c r="AE397" s="215"/>
      <c r="AF397" s="215"/>
      <c r="AG397" s="215"/>
    </row>
    <row r="398" spans="1:33" ht="13.2">
      <c r="A398" s="215"/>
      <c r="B398" s="215"/>
      <c r="C398" s="215"/>
      <c r="D398" s="215"/>
      <c r="E398" s="215"/>
      <c r="F398" s="21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215"/>
      <c r="Z398" s="215"/>
      <c r="AA398" s="215"/>
      <c r="AB398" s="215"/>
      <c r="AC398" s="215"/>
      <c r="AD398" s="215"/>
      <c r="AE398" s="215"/>
      <c r="AF398" s="215"/>
      <c r="AG398" s="215"/>
    </row>
    <row r="399" spans="1:33" ht="13.2">
      <c r="A399" s="215"/>
      <c r="B399" s="215"/>
      <c r="C399" s="215"/>
      <c r="D399" s="215"/>
      <c r="E399" s="215"/>
      <c r="F399" s="21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215"/>
      <c r="Z399" s="215"/>
      <c r="AA399" s="215"/>
      <c r="AB399" s="215"/>
      <c r="AC399" s="215"/>
      <c r="AD399" s="215"/>
      <c r="AE399" s="215"/>
      <c r="AF399" s="215"/>
      <c r="AG399" s="215"/>
    </row>
    <row r="400" spans="1:33" ht="13.2">
      <c r="A400" s="215"/>
      <c r="B400" s="215"/>
      <c r="C400" s="215"/>
      <c r="D400" s="215"/>
      <c r="E400" s="215"/>
      <c r="F400" s="21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215"/>
      <c r="Z400" s="215"/>
      <c r="AA400" s="215"/>
      <c r="AB400" s="215"/>
      <c r="AC400" s="215"/>
      <c r="AD400" s="215"/>
      <c r="AE400" s="215"/>
      <c r="AF400" s="215"/>
      <c r="AG400" s="215"/>
    </row>
    <row r="401" spans="1:33" ht="13.2">
      <c r="A401" s="215"/>
      <c r="B401" s="215"/>
      <c r="C401" s="215"/>
      <c r="D401" s="215"/>
      <c r="E401" s="215"/>
      <c r="F401" s="21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215"/>
      <c r="Z401" s="215"/>
      <c r="AA401" s="215"/>
      <c r="AB401" s="215"/>
      <c r="AC401" s="215"/>
      <c r="AD401" s="215"/>
      <c r="AE401" s="215"/>
      <c r="AF401" s="215"/>
      <c r="AG401" s="215"/>
    </row>
    <row r="402" spans="1:33" ht="13.2">
      <c r="A402" s="215"/>
      <c r="B402" s="215"/>
      <c r="C402" s="215"/>
      <c r="D402" s="215"/>
      <c r="E402" s="215"/>
      <c r="F402" s="21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215"/>
      <c r="Z402" s="215"/>
      <c r="AA402" s="215"/>
      <c r="AB402" s="215"/>
      <c r="AC402" s="215"/>
      <c r="AD402" s="215"/>
      <c r="AE402" s="215"/>
      <c r="AF402" s="215"/>
      <c r="AG402" s="215"/>
    </row>
    <row r="403" spans="1:33" ht="13.2">
      <c r="A403" s="215"/>
      <c r="B403" s="215"/>
      <c r="C403" s="215"/>
      <c r="D403" s="215"/>
      <c r="E403" s="215"/>
      <c r="F403" s="21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215"/>
      <c r="Z403" s="215"/>
      <c r="AA403" s="215"/>
      <c r="AB403" s="215"/>
      <c r="AC403" s="215"/>
      <c r="AD403" s="215"/>
      <c r="AE403" s="215"/>
      <c r="AF403" s="215"/>
      <c r="AG403" s="215"/>
    </row>
    <row r="404" spans="1:33" ht="13.2">
      <c r="A404" s="215"/>
      <c r="B404" s="215"/>
      <c r="C404" s="215"/>
      <c r="D404" s="215"/>
      <c r="E404" s="215"/>
      <c r="F404" s="21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215"/>
      <c r="Z404" s="215"/>
      <c r="AA404" s="215"/>
      <c r="AB404" s="215"/>
      <c r="AC404" s="215"/>
      <c r="AD404" s="215"/>
      <c r="AE404" s="215"/>
      <c r="AF404" s="215"/>
      <c r="AG404" s="215"/>
    </row>
    <row r="405" spans="1:33" ht="13.2">
      <c r="A405" s="215"/>
      <c r="B405" s="215"/>
      <c r="C405" s="215"/>
      <c r="D405" s="215"/>
      <c r="E405" s="215"/>
      <c r="F405" s="21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215"/>
      <c r="Z405" s="215"/>
      <c r="AA405" s="215"/>
      <c r="AB405" s="215"/>
      <c r="AC405" s="215"/>
      <c r="AD405" s="215"/>
      <c r="AE405" s="215"/>
      <c r="AF405" s="215"/>
      <c r="AG405" s="215"/>
    </row>
    <row r="406" spans="1:33" ht="13.2">
      <c r="A406" s="215"/>
      <c r="B406" s="215"/>
      <c r="C406" s="215"/>
      <c r="D406" s="215"/>
      <c r="E406" s="215"/>
      <c r="F406" s="21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215"/>
      <c r="Z406" s="215"/>
      <c r="AA406" s="215"/>
      <c r="AB406" s="215"/>
      <c r="AC406" s="215"/>
      <c r="AD406" s="215"/>
      <c r="AE406" s="215"/>
      <c r="AF406" s="215"/>
      <c r="AG406" s="215"/>
    </row>
    <row r="407" spans="1:33" ht="13.2">
      <c r="A407" s="215"/>
      <c r="B407" s="215"/>
      <c r="C407" s="215"/>
      <c r="D407" s="215"/>
      <c r="E407" s="215"/>
      <c r="F407" s="21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  <c r="Z407" s="215"/>
      <c r="AA407" s="215"/>
      <c r="AB407" s="215"/>
      <c r="AC407" s="215"/>
      <c r="AD407" s="215"/>
      <c r="AE407" s="215"/>
      <c r="AF407" s="215"/>
      <c r="AG407" s="215"/>
    </row>
    <row r="408" spans="1:33" ht="13.2">
      <c r="A408" s="215"/>
      <c r="B408" s="215"/>
      <c r="C408" s="215"/>
      <c r="D408" s="215"/>
      <c r="E408" s="21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215"/>
      <c r="Z408" s="215"/>
      <c r="AA408" s="215"/>
      <c r="AB408" s="215"/>
      <c r="AC408" s="215"/>
      <c r="AD408" s="215"/>
      <c r="AE408" s="215"/>
      <c r="AF408" s="215"/>
      <c r="AG408" s="215"/>
    </row>
    <row r="409" spans="1:33" ht="13.2">
      <c r="A409" s="215"/>
      <c r="B409" s="215"/>
      <c r="C409" s="215"/>
      <c r="D409" s="215"/>
      <c r="E409" s="215"/>
      <c r="F409" s="21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215"/>
      <c r="Z409" s="215"/>
      <c r="AA409" s="215"/>
      <c r="AB409" s="215"/>
      <c r="AC409" s="215"/>
      <c r="AD409" s="215"/>
      <c r="AE409" s="215"/>
      <c r="AF409" s="215"/>
      <c r="AG409" s="215"/>
    </row>
    <row r="410" spans="1:33" ht="13.2">
      <c r="A410" s="215"/>
      <c r="B410" s="215"/>
      <c r="C410" s="215"/>
      <c r="D410" s="215"/>
      <c r="E410" s="215"/>
      <c r="F410" s="21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215"/>
      <c r="Z410" s="215"/>
      <c r="AA410" s="215"/>
      <c r="AB410" s="215"/>
      <c r="AC410" s="215"/>
      <c r="AD410" s="215"/>
      <c r="AE410" s="215"/>
      <c r="AF410" s="215"/>
      <c r="AG410" s="215"/>
    </row>
    <row r="411" spans="1:33" ht="13.2">
      <c r="A411" s="215"/>
      <c r="B411" s="215"/>
      <c r="C411" s="215"/>
      <c r="D411" s="215"/>
      <c r="E411" s="215"/>
      <c r="F411" s="21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  <c r="Z411" s="215"/>
      <c r="AA411" s="215"/>
      <c r="AB411" s="215"/>
      <c r="AC411" s="215"/>
      <c r="AD411" s="215"/>
      <c r="AE411" s="215"/>
      <c r="AF411" s="215"/>
      <c r="AG411" s="215"/>
    </row>
    <row r="412" spans="1:33" ht="13.2">
      <c r="A412" s="215"/>
      <c r="B412" s="215"/>
      <c r="C412" s="215"/>
      <c r="D412" s="215"/>
      <c r="E412" s="215"/>
      <c r="F412" s="215"/>
      <c r="G412" s="215"/>
      <c r="H412" s="215"/>
      <c r="I412" s="215"/>
      <c r="J412" s="215"/>
      <c r="K412" s="215"/>
      <c r="L412" s="215"/>
      <c r="M412" s="215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  <c r="X412" s="215"/>
      <c r="Y412" s="215"/>
      <c r="Z412" s="215"/>
      <c r="AA412" s="215"/>
      <c r="AB412" s="215"/>
      <c r="AC412" s="215"/>
      <c r="AD412" s="215"/>
      <c r="AE412" s="215"/>
      <c r="AF412" s="215"/>
      <c r="AG412" s="215"/>
    </row>
    <row r="413" spans="1:33" ht="13.2">
      <c r="A413" s="215"/>
      <c r="B413" s="215"/>
      <c r="C413" s="215"/>
      <c r="D413" s="215"/>
      <c r="E413" s="215"/>
      <c r="F413" s="215"/>
      <c r="G413" s="215"/>
      <c r="H413" s="215"/>
      <c r="I413" s="215"/>
      <c r="J413" s="215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215"/>
      <c r="Z413" s="215"/>
      <c r="AA413" s="215"/>
      <c r="AB413" s="215"/>
      <c r="AC413" s="215"/>
      <c r="AD413" s="215"/>
      <c r="AE413" s="215"/>
      <c r="AF413" s="215"/>
      <c r="AG413" s="215"/>
    </row>
    <row r="414" spans="1:33" ht="13.2">
      <c r="A414" s="215"/>
      <c r="B414" s="215"/>
      <c r="C414" s="215"/>
      <c r="D414" s="215"/>
      <c r="E414" s="215"/>
      <c r="F414" s="215"/>
      <c r="G414" s="215"/>
      <c r="H414" s="215"/>
      <c r="I414" s="215"/>
      <c r="J414" s="215"/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215"/>
      <c r="Z414" s="215"/>
      <c r="AA414" s="215"/>
      <c r="AB414" s="215"/>
      <c r="AC414" s="215"/>
      <c r="AD414" s="215"/>
      <c r="AE414" s="215"/>
      <c r="AF414" s="215"/>
      <c r="AG414" s="215"/>
    </row>
    <row r="415" spans="1:33" ht="13.2">
      <c r="A415" s="215"/>
      <c r="B415" s="215"/>
      <c r="C415" s="215"/>
      <c r="D415" s="215"/>
      <c r="E415" s="215"/>
      <c r="F415" s="215"/>
      <c r="G415" s="215"/>
      <c r="H415" s="215"/>
      <c r="I415" s="215"/>
      <c r="J415" s="215"/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215"/>
      <c r="Z415" s="215"/>
      <c r="AA415" s="215"/>
      <c r="AB415" s="215"/>
      <c r="AC415" s="215"/>
      <c r="AD415" s="215"/>
      <c r="AE415" s="215"/>
      <c r="AF415" s="215"/>
      <c r="AG415" s="215"/>
    </row>
    <row r="416" spans="1:33" ht="13.2">
      <c r="A416" s="215"/>
      <c r="B416" s="215"/>
      <c r="C416" s="215"/>
      <c r="D416" s="215"/>
      <c r="E416" s="215"/>
      <c r="F416" s="215"/>
      <c r="G416" s="215"/>
      <c r="H416" s="215"/>
      <c r="I416" s="215"/>
      <c r="J416" s="215"/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215"/>
      <c r="Z416" s="215"/>
      <c r="AA416" s="215"/>
      <c r="AB416" s="215"/>
      <c r="AC416" s="215"/>
      <c r="AD416" s="215"/>
      <c r="AE416" s="215"/>
      <c r="AF416" s="215"/>
      <c r="AG416" s="215"/>
    </row>
    <row r="417" spans="1:33" ht="13.2">
      <c r="A417" s="215"/>
      <c r="B417" s="215"/>
      <c r="C417" s="215"/>
      <c r="D417" s="215"/>
      <c r="E417" s="215"/>
      <c r="F417" s="215"/>
      <c r="G417" s="215"/>
      <c r="H417" s="215"/>
      <c r="I417" s="215"/>
      <c r="J417" s="215"/>
      <c r="K417" s="215"/>
      <c r="L417" s="215"/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215"/>
      <c r="Z417" s="215"/>
      <c r="AA417" s="215"/>
      <c r="AB417" s="215"/>
      <c r="AC417" s="215"/>
      <c r="AD417" s="215"/>
      <c r="AE417" s="215"/>
      <c r="AF417" s="215"/>
      <c r="AG417" s="215"/>
    </row>
    <row r="418" spans="1:33" ht="13.2">
      <c r="A418" s="215"/>
      <c r="B418" s="215"/>
      <c r="C418" s="215"/>
      <c r="D418" s="215"/>
      <c r="E418" s="215"/>
      <c r="F418" s="215"/>
      <c r="G418" s="215"/>
      <c r="H418" s="215"/>
      <c r="I418" s="215"/>
      <c r="J418" s="215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215"/>
      <c r="Z418" s="215"/>
      <c r="AA418" s="215"/>
      <c r="AB418" s="215"/>
      <c r="AC418" s="215"/>
      <c r="AD418" s="215"/>
      <c r="AE418" s="215"/>
      <c r="AF418" s="215"/>
      <c r="AG418" s="215"/>
    </row>
    <row r="419" spans="1:33" ht="13.2">
      <c r="A419" s="215"/>
      <c r="B419" s="215"/>
      <c r="C419" s="215"/>
      <c r="D419" s="215"/>
      <c r="E419" s="215"/>
      <c r="F419" s="21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215"/>
      <c r="Z419" s="215"/>
      <c r="AA419" s="215"/>
      <c r="AB419" s="215"/>
      <c r="AC419" s="215"/>
      <c r="AD419" s="215"/>
      <c r="AE419" s="215"/>
      <c r="AF419" s="215"/>
      <c r="AG419" s="215"/>
    </row>
    <row r="420" spans="1:33" ht="13.2">
      <c r="A420" s="215"/>
      <c r="B420" s="215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215"/>
      <c r="Z420" s="215"/>
      <c r="AA420" s="215"/>
      <c r="AB420" s="215"/>
      <c r="AC420" s="215"/>
      <c r="AD420" s="215"/>
      <c r="AE420" s="215"/>
      <c r="AF420" s="215"/>
      <c r="AG420" s="215"/>
    </row>
    <row r="421" spans="1:33" ht="13.2">
      <c r="A421" s="215"/>
      <c r="B421" s="215"/>
      <c r="C421" s="215"/>
      <c r="D421" s="215"/>
      <c r="E421" s="215"/>
      <c r="F421" s="21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215"/>
      <c r="Z421" s="215"/>
      <c r="AA421" s="215"/>
      <c r="AB421" s="215"/>
      <c r="AC421" s="215"/>
      <c r="AD421" s="215"/>
      <c r="AE421" s="215"/>
      <c r="AF421" s="215"/>
      <c r="AG421" s="215"/>
    </row>
    <row r="422" spans="1:33" ht="13.2">
      <c r="A422" s="215"/>
      <c r="B422" s="215"/>
      <c r="C422" s="215"/>
      <c r="D422" s="215"/>
      <c r="E422" s="215"/>
      <c r="F422" s="21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215"/>
      <c r="Z422" s="215"/>
      <c r="AA422" s="215"/>
      <c r="AB422" s="215"/>
      <c r="AC422" s="215"/>
      <c r="AD422" s="215"/>
      <c r="AE422" s="215"/>
      <c r="AF422" s="215"/>
      <c r="AG422" s="215"/>
    </row>
    <row r="423" spans="1:33" ht="13.2">
      <c r="A423" s="215"/>
      <c r="B423" s="215"/>
      <c r="C423" s="215"/>
      <c r="D423" s="215"/>
      <c r="E423" s="21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215"/>
      <c r="Z423" s="215"/>
      <c r="AA423" s="215"/>
      <c r="AB423" s="215"/>
      <c r="AC423" s="215"/>
      <c r="AD423" s="215"/>
      <c r="AE423" s="215"/>
      <c r="AF423" s="215"/>
      <c r="AG423" s="215"/>
    </row>
    <row r="424" spans="1:33" ht="13.2">
      <c r="A424" s="215"/>
      <c r="B424" s="215"/>
      <c r="C424" s="215"/>
      <c r="D424" s="215"/>
      <c r="E424" s="21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215"/>
      <c r="Z424" s="215"/>
      <c r="AA424" s="215"/>
      <c r="AB424" s="215"/>
      <c r="AC424" s="215"/>
      <c r="AD424" s="215"/>
      <c r="AE424" s="215"/>
      <c r="AF424" s="215"/>
      <c r="AG424" s="215"/>
    </row>
    <row r="425" spans="1:33" ht="13.2">
      <c r="A425" s="215"/>
      <c r="B425" s="215"/>
      <c r="C425" s="215"/>
      <c r="D425" s="215"/>
      <c r="E425" s="215"/>
      <c r="F425" s="21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215"/>
      <c r="Z425" s="215"/>
      <c r="AA425" s="215"/>
      <c r="AB425" s="215"/>
      <c r="AC425" s="215"/>
      <c r="AD425" s="215"/>
      <c r="AE425" s="215"/>
      <c r="AF425" s="215"/>
      <c r="AG425" s="215"/>
    </row>
    <row r="426" spans="1:33" ht="13.2">
      <c r="A426" s="215"/>
      <c r="B426" s="215"/>
      <c r="C426" s="215"/>
      <c r="D426" s="215"/>
      <c r="E426" s="215"/>
      <c r="F426" s="21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215"/>
      <c r="Z426" s="215"/>
      <c r="AA426" s="215"/>
      <c r="AB426" s="215"/>
      <c r="AC426" s="215"/>
      <c r="AD426" s="215"/>
      <c r="AE426" s="215"/>
      <c r="AF426" s="215"/>
      <c r="AG426" s="215"/>
    </row>
    <row r="427" spans="1:33" ht="13.2">
      <c r="A427" s="215"/>
      <c r="B427" s="215"/>
      <c r="C427" s="215"/>
      <c r="D427" s="215"/>
      <c r="E427" s="215"/>
      <c r="F427" s="21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215"/>
      <c r="Z427" s="215"/>
      <c r="AA427" s="215"/>
      <c r="AB427" s="215"/>
      <c r="AC427" s="215"/>
      <c r="AD427" s="215"/>
      <c r="AE427" s="215"/>
      <c r="AF427" s="215"/>
      <c r="AG427" s="215"/>
    </row>
    <row r="428" spans="1:33" ht="13.2">
      <c r="A428" s="215"/>
      <c r="B428" s="215"/>
      <c r="C428" s="215"/>
      <c r="D428" s="215"/>
      <c r="E428" s="215"/>
      <c r="F428" s="21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215"/>
      <c r="Z428" s="215"/>
      <c r="AA428" s="215"/>
      <c r="AB428" s="215"/>
      <c r="AC428" s="215"/>
      <c r="AD428" s="215"/>
      <c r="AE428" s="215"/>
      <c r="AF428" s="215"/>
      <c r="AG428" s="215"/>
    </row>
    <row r="429" spans="1:33" ht="13.2">
      <c r="A429" s="215"/>
      <c r="B429" s="215"/>
      <c r="C429" s="215"/>
      <c r="D429" s="215"/>
      <c r="E429" s="215"/>
      <c r="F429" s="21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215"/>
      <c r="Z429" s="215"/>
      <c r="AA429" s="215"/>
      <c r="AB429" s="215"/>
      <c r="AC429" s="215"/>
      <c r="AD429" s="215"/>
      <c r="AE429" s="215"/>
      <c r="AF429" s="215"/>
      <c r="AG429" s="215"/>
    </row>
    <row r="430" spans="1:33" ht="13.2">
      <c r="A430" s="215"/>
      <c r="B430" s="215"/>
      <c r="C430" s="215"/>
      <c r="D430" s="215"/>
      <c r="E430" s="215"/>
      <c r="F430" s="21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215"/>
      <c r="Z430" s="215"/>
      <c r="AA430" s="215"/>
      <c r="AB430" s="215"/>
      <c r="AC430" s="215"/>
      <c r="AD430" s="215"/>
      <c r="AE430" s="215"/>
      <c r="AF430" s="215"/>
      <c r="AG430" s="215"/>
    </row>
    <row r="431" spans="1:33" ht="13.2">
      <c r="A431" s="215"/>
      <c r="B431" s="215"/>
      <c r="C431" s="215"/>
      <c r="D431" s="215"/>
      <c r="E431" s="215"/>
      <c r="F431" s="21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215"/>
      <c r="Z431" s="215"/>
      <c r="AA431" s="215"/>
      <c r="AB431" s="215"/>
      <c r="AC431" s="215"/>
      <c r="AD431" s="215"/>
      <c r="AE431" s="215"/>
      <c r="AF431" s="215"/>
      <c r="AG431" s="215"/>
    </row>
    <row r="432" spans="1:33" ht="13.2">
      <c r="A432" s="215"/>
      <c r="B432" s="215"/>
      <c r="C432" s="215"/>
      <c r="D432" s="215"/>
      <c r="E432" s="215"/>
      <c r="F432" s="21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215"/>
      <c r="Z432" s="215"/>
      <c r="AA432" s="215"/>
      <c r="AB432" s="215"/>
      <c r="AC432" s="215"/>
      <c r="AD432" s="215"/>
      <c r="AE432" s="215"/>
      <c r="AF432" s="215"/>
      <c r="AG432" s="215"/>
    </row>
    <row r="433" spans="1:33" ht="13.2">
      <c r="A433" s="215"/>
      <c r="B433" s="215"/>
      <c r="C433" s="215"/>
      <c r="D433" s="215"/>
      <c r="E433" s="215"/>
      <c r="F433" s="21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215"/>
      <c r="Z433" s="215"/>
      <c r="AA433" s="215"/>
      <c r="AB433" s="215"/>
      <c r="AC433" s="215"/>
      <c r="AD433" s="215"/>
      <c r="AE433" s="215"/>
      <c r="AF433" s="215"/>
      <c r="AG433" s="215"/>
    </row>
    <row r="434" spans="1:33" ht="13.2">
      <c r="A434" s="215"/>
      <c r="B434" s="215"/>
      <c r="C434" s="215"/>
      <c r="D434" s="215"/>
      <c r="E434" s="215"/>
      <c r="F434" s="21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215"/>
      <c r="Z434" s="215"/>
      <c r="AA434" s="215"/>
      <c r="AB434" s="215"/>
      <c r="AC434" s="215"/>
      <c r="AD434" s="215"/>
      <c r="AE434" s="215"/>
      <c r="AF434" s="215"/>
      <c r="AG434" s="215"/>
    </row>
    <row r="435" spans="1:33" ht="13.2">
      <c r="A435" s="215"/>
      <c r="B435" s="215"/>
      <c r="C435" s="215"/>
      <c r="D435" s="215"/>
      <c r="E435" s="215"/>
      <c r="F435" s="21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215"/>
      <c r="Z435" s="215"/>
      <c r="AA435" s="215"/>
      <c r="AB435" s="215"/>
      <c r="AC435" s="215"/>
      <c r="AD435" s="215"/>
      <c r="AE435" s="215"/>
      <c r="AF435" s="215"/>
      <c r="AG435" s="215"/>
    </row>
    <row r="436" spans="1:33" ht="13.2">
      <c r="A436" s="215"/>
      <c r="B436" s="215"/>
      <c r="C436" s="215"/>
      <c r="D436" s="215"/>
      <c r="E436" s="215"/>
      <c r="F436" s="21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215"/>
      <c r="Z436" s="215"/>
      <c r="AA436" s="215"/>
      <c r="AB436" s="215"/>
      <c r="AC436" s="215"/>
      <c r="AD436" s="215"/>
      <c r="AE436" s="215"/>
      <c r="AF436" s="215"/>
      <c r="AG436" s="215"/>
    </row>
    <row r="437" spans="1:33" ht="13.2">
      <c r="A437" s="215"/>
      <c r="B437" s="215"/>
      <c r="C437" s="215"/>
      <c r="D437" s="215"/>
      <c r="E437" s="215"/>
      <c r="F437" s="21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215"/>
      <c r="Z437" s="215"/>
      <c r="AA437" s="215"/>
      <c r="AB437" s="215"/>
      <c r="AC437" s="215"/>
      <c r="AD437" s="215"/>
      <c r="AE437" s="215"/>
      <c r="AF437" s="215"/>
      <c r="AG437" s="215"/>
    </row>
    <row r="438" spans="1:33" ht="13.2">
      <c r="A438" s="215"/>
      <c r="B438" s="215"/>
      <c r="C438" s="215"/>
      <c r="D438" s="215"/>
      <c r="E438" s="215"/>
      <c r="F438" s="215"/>
      <c r="G438" s="215"/>
      <c r="H438" s="215"/>
      <c r="I438" s="215"/>
      <c r="J438" s="215"/>
      <c r="K438" s="215"/>
      <c r="L438" s="215"/>
      <c r="M438" s="215"/>
      <c r="N438" s="215"/>
      <c r="O438" s="215"/>
      <c r="P438" s="215"/>
      <c r="Q438" s="215"/>
      <c r="R438" s="215"/>
      <c r="S438" s="215"/>
      <c r="T438" s="215"/>
      <c r="U438" s="215"/>
      <c r="V438" s="215"/>
      <c r="W438" s="215"/>
      <c r="X438" s="215"/>
      <c r="Y438" s="215"/>
      <c r="Z438" s="215"/>
      <c r="AA438" s="215"/>
      <c r="AB438" s="215"/>
      <c r="AC438" s="215"/>
      <c r="AD438" s="215"/>
      <c r="AE438" s="215"/>
      <c r="AF438" s="215"/>
      <c r="AG438" s="215"/>
    </row>
    <row r="439" spans="1:33" ht="13.2">
      <c r="A439" s="215"/>
      <c r="B439" s="215"/>
      <c r="C439" s="215"/>
      <c r="D439" s="215"/>
      <c r="E439" s="215"/>
      <c r="F439" s="215"/>
      <c r="G439" s="215"/>
      <c r="H439" s="215"/>
      <c r="I439" s="215"/>
      <c r="J439" s="215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215"/>
      <c r="Z439" s="215"/>
      <c r="AA439" s="215"/>
      <c r="AB439" s="215"/>
      <c r="AC439" s="215"/>
      <c r="AD439" s="215"/>
      <c r="AE439" s="215"/>
      <c r="AF439" s="215"/>
      <c r="AG439" s="215"/>
    </row>
    <row r="440" spans="1:33" ht="13.2">
      <c r="A440" s="215"/>
      <c r="B440" s="215"/>
      <c r="C440" s="215"/>
      <c r="D440" s="215"/>
      <c r="E440" s="215"/>
      <c r="F440" s="215"/>
      <c r="G440" s="215"/>
      <c r="H440" s="215"/>
      <c r="I440" s="215"/>
      <c r="J440" s="215"/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215"/>
      <c r="Z440" s="215"/>
      <c r="AA440" s="215"/>
      <c r="AB440" s="215"/>
      <c r="AC440" s="215"/>
      <c r="AD440" s="215"/>
      <c r="AE440" s="215"/>
      <c r="AF440" s="215"/>
      <c r="AG440" s="215"/>
    </row>
    <row r="441" spans="1:33" ht="13.2">
      <c r="A441" s="215"/>
      <c r="B441" s="215"/>
      <c r="C441" s="215"/>
      <c r="D441" s="215"/>
      <c r="E441" s="215"/>
      <c r="F441" s="215"/>
      <c r="G441" s="215"/>
      <c r="H441" s="215"/>
      <c r="I441" s="215"/>
      <c r="J441" s="215"/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215"/>
      <c r="Z441" s="215"/>
      <c r="AA441" s="215"/>
      <c r="AB441" s="215"/>
      <c r="AC441" s="215"/>
      <c r="AD441" s="215"/>
      <c r="AE441" s="215"/>
      <c r="AF441" s="215"/>
      <c r="AG441" s="215"/>
    </row>
    <row r="442" spans="1:33" ht="13.2">
      <c r="A442" s="215"/>
      <c r="B442" s="215"/>
      <c r="C442" s="215"/>
      <c r="D442" s="215"/>
      <c r="E442" s="215"/>
      <c r="F442" s="215"/>
      <c r="G442" s="215"/>
      <c r="H442" s="215"/>
      <c r="I442" s="215"/>
      <c r="J442" s="215"/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215"/>
      <c r="Z442" s="215"/>
      <c r="AA442" s="215"/>
      <c r="AB442" s="215"/>
      <c r="AC442" s="215"/>
      <c r="AD442" s="215"/>
      <c r="AE442" s="215"/>
      <c r="AF442" s="215"/>
      <c r="AG442" s="215"/>
    </row>
    <row r="443" spans="1:33" ht="13.2">
      <c r="A443" s="215"/>
      <c r="B443" s="215"/>
      <c r="C443" s="215"/>
      <c r="D443" s="215"/>
      <c r="E443" s="215"/>
      <c r="F443" s="215"/>
      <c r="G443" s="215"/>
      <c r="H443" s="215"/>
      <c r="I443" s="215"/>
      <c r="J443" s="215"/>
      <c r="K443" s="215"/>
      <c r="L443" s="215"/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215"/>
      <c r="Z443" s="215"/>
      <c r="AA443" s="215"/>
      <c r="AB443" s="215"/>
      <c r="AC443" s="215"/>
      <c r="AD443" s="215"/>
      <c r="AE443" s="215"/>
      <c r="AF443" s="215"/>
      <c r="AG443" s="215"/>
    </row>
    <row r="444" spans="1:33" ht="13.2">
      <c r="A444" s="215"/>
      <c r="B444" s="215"/>
      <c r="C444" s="215"/>
      <c r="D444" s="215"/>
      <c r="E444" s="215"/>
      <c r="F444" s="215"/>
      <c r="G444" s="215"/>
      <c r="H444" s="215"/>
      <c r="I444" s="215"/>
      <c r="J444" s="215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215"/>
      <c r="Z444" s="215"/>
      <c r="AA444" s="215"/>
      <c r="AB444" s="215"/>
      <c r="AC444" s="215"/>
      <c r="AD444" s="215"/>
      <c r="AE444" s="215"/>
      <c r="AF444" s="215"/>
      <c r="AG444" s="215"/>
    </row>
    <row r="445" spans="1:33" ht="13.2">
      <c r="A445" s="215"/>
      <c r="B445" s="215"/>
      <c r="C445" s="215"/>
      <c r="D445" s="215"/>
      <c r="E445" s="215"/>
      <c r="F445" s="21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215"/>
      <c r="Z445" s="215"/>
      <c r="AA445" s="215"/>
      <c r="AB445" s="215"/>
      <c r="AC445" s="215"/>
      <c r="AD445" s="215"/>
      <c r="AE445" s="215"/>
      <c r="AF445" s="215"/>
      <c r="AG445" s="215"/>
    </row>
    <row r="446" spans="1:33" ht="13.2">
      <c r="A446" s="215"/>
      <c r="B446" s="215"/>
      <c r="C446" s="215"/>
      <c r="D446" s="215"/>
      <c r="E446" s="215"/>
      <c r="F446" s="21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  <c r="Z446" s="215"/>
      <c r="AA446" s="215"/>
      <c r="AB446" s="215"/>
      <c r="AC446" s="215"/>
      <c r="AD446" s="215"/>
      <c r="AE446" s="215"/>
      <c r="AF446" s="215"/>
      <c r="AG446" s="215"/>
    </row>
    <row r="447" spans="1:33" ht="13.2">
      <c r="A447" s="215"/>
      <c r="B447" s="215"/>
      <c r="C447" s="215"/>
      <c r="D447" s="215"/>
      <c r="E447" s="215"/>
      <c r="F447" s="21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215"/>
      <c r="Z447" s="215"/>
      <c r="AA447" s="215"/>
      <c r="AB447" s="215"/>
      <c r="AC447" s="215"/>
      <c r="AD447" s="215"/>
      <c r="AE447" s="215"/>
      <c r="AF447" s="215"/>
      <c r="AG447" s="215"/>
    </row>
    <row r="448" spans="1:33" ht="13.2">
      <c r="A448" s="215"/>
      <c r="B448" s="215"/>
      <c r="C448" s="215"/>
      <c r="D448" s="215"/>
      <c r="E448" s="215"/>
      <c r="F448" s="21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215"/>
      <c r="Z448" s="215"/>
      <c r="AA448" s="215"/>
      <c r="AB448" s="215"/>
      <c r="AC448" s="215"/>
      <c r="AD448" s="215"/>
      <c r="AE448" s="215"/>
      <c r="AF448" s="215"/>
      <c r="AG448" s="215"/>
    </row>
    <row r="449" spans="1:33" ht="13.2">
      <c r="A449" s="215"/>
      <c r="B449" s="215"/>
      <c r="C449" s="215"/>
      <c r="D449" s="215"/>
      <c r="E449" s="215"/>
      <c r="F449" s="21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  <c r="Z449" s="215"/>
      <c r="AA449" s="215"/>
      <c r="AB449" s="215"/>
      <c r="AC449" s="215"/>
      <c r="AD449" s="215"/>
      <c r="AE449" s="215"/>
      <c r="AF449" s="215"/>
      <c r="AG449" s="215"/>
    </row>
    <row r="450" spans="1:33" ht="13.2">
      <c r="A450" s="215"/>
      <c r="B450" s="215"/>
      <c r="C450" s="215"/>
      <c r="D450" s="215"/>
      <c r="E450" s="215"/>
      <c r="F450" s="21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  <c r="Z450" s="215"/>
      <c r="AA450" s="215"/>
      <c r="AB450" s="215"/>
      <c r="AC450" s="215"/>
      <c r="AD450" s="215"/>
      <c r="AE450" s="215"/>
      <c r="AF450" s="215"/>
      <c r="AG450" s="215"/>
    </row>
    <row r="451" spans="1:33" ht="13.2">
      <c r="A451" s="215"/>
      <c r="B451" s="215"/>
      <c r="C451" s="215"/>
      <c r="D451" s="215"/>
      <c r="E451" s="215"/>
      <c r="F451" s="21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  <c r="Z451" s="215"/>
      <c r="AA451" s="215"/>
      <c r="AB451" s="215"/>
      <c r="AC451" s="215"/>
      <c r="AD451" s="215"/>
      <c r="AE451" s="215"/>
      <c r="AF451" s="215"/>
      <c r="AG451" s="215"/>
    </row>
    <row r="452" spans="1:33" ht="13.2">
      <c r="A452" s="215"/>
      <c r="B452" s="215"/>
      <c r="C452" s="215"/>
      <c r="D452" s="215"/>
      <c r="E452" s="215"/>
      <c r="F452" s="21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215"/>
      <c r="Z452" s="215"/>
      <c r="AA452" s="215"/>
      <c r="AB452" s="215"/>
      <c r="AC452" s="215"/>
      <c r="AD452" s="215"/>
      <c r="AE452" s="215"/>
      <c r="AF452" s="215"/>
      <c r="AG452" s="215"/>
    </row>
    <row r="453" spans="1:33" ht="13.2">
      <c r="A453" s="215"/>
      <c r="B453" s="215"/>
      <c r="C453" s="215"/>
      <c r="D453" s="215"/>
      <c r="E453" s="215"/>
      <c r="F453" s="21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215"/>
      <c r="Z453" s="215"/>
      <c r="AA453" s="215"/>
      <c r="AB453" s="215"/>
      <c r="AC453" s="215"/>
      <c r="AD453" s="215"/>
      <c r="AE453" s="215"/>
      <c r="AF453" s="215"/>
      <c r="AG453" s="215"/>
    </row>
    <row r="454" spans="1:33" ht="13.2">
      <c r="A454" s="215"/>
      <c r="B454" s="215"/>
      <c r="C454" s="215"/>
      <c r="D454" s="215"/>
      <c r="E454" s="21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  <c r="AA454" s="215"/>
      <c r="AB454" s="215"/>
      <c r="AC454" s="215"/>
      <c r="AD454" s="215"/>
      <c r="AE454" s="215"/>
      <c r="AF454" s="215"/>
      <c r="AG454" s="215"/>
    </row>
    <row r="455" spans="1:33" ht="13.2">
      <c r="A455" s="215"/>
      <c r="B455" s="215"/>
      <c r="C455" s="215"/>
      <c r="D455" s="215"/>
      <c r="E455" s="21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  <c r="AA455" s="215"/>
      <c r="AB455" s="215"/>
      <c r="AC455" s="215"/>
      <c r="AD455" s="215"/>
      <c r="AE455" s="215"/>
      <c r="AF455" s="215"/>
      <c r="AG455" s="215"/>
    </row>
    <row r="456" spans="1:33" ht="13.2">
      <c r="A456" s="215"/>
      <c r="B456" s="215"/>
      <c r="C456" s="215"/>
      <c r="D456" s="215"/>
      <c r="E456" s="21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  <c r="AA456" s="215"/>
      <c r="AB456" s="215"/>
      <c r="AC456" s="215"/>
      <c r="AD456" s="215"/>
      <c r="AE456" s="215"/>
      <c r="AF456" s="215"/>
      <c r="AG456" s="215"/>
    </row>
    <row r="457" spans="1:33" ht="13.2">
      <c r="A457" s="215"/>
      <c r="B457" s="215"/>
      <c r="C457" s="215"/>
      <c r="D457" s="215"/>
      <c r="E457" s="21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  <c r="AA457" s="215"/>
      <c r="AB457" s="215"/>
      <c r="AC457" s="215"/>
      <c r="AD457" s="215"/>
      <c r="AE457" s="215"/>
      <c r="AF457" s="215"/>
      <c r="AG457" s="215"/>
    </row>
    <row r="458" spans="1:33" ht="13.2">
      <c r="A458" s="215"/>
      <c r="B458" s="215"/>
      <c r="C458" s="215"/>
      <c r="D458" s="215"/>
      <c r="E458" s="21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  <c r="AA458" s="215"/>
      <c r="AB458" s="215"/>
      <c r="AC458" s="215"/>
      <c r="AD458" s="215"/>
      <c r="AE458" s="215"/>
      <c r="AF458" s="215"/>
      <c r="AG458" s="215"/>
    </row>
    <row r="459" spans="1:33" ht="13.2">
      <c r="A459" s="215"/>
      <c r="B459" s="215"/>
      <c r="C459" s="215"/>
      <c r="D459" s="215"/>
      <c r="E459" s="21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  <c r="Z459" s="215"/>
      <c r="AA459" s="215"/>
      <c r="AB459" s="215"/>
      <c r="AC459" s="215"/>
      <c r="AD459" s="215"/>
      <c r="AE459" s="215"/>
      <c r="AF459" s="215"/>
      <c r="AG459" s="215"/>
    </row>
    <row r="460" spans="1:33" ht="13.2">
      <c r="A460" s="215"/>
      <c r="B460" s="215"/>
      <c r="C460" s="215"/>
      <c r="D460" s="215"/>
      <c r="E460" s="215"/>
      <c r="F460" s="21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215"/>
      <c r="Z460" s="215"/>
      <c r="AA460" s="215"/>
      <c r="AB460" s="215"/>
      <c r="AC460" s="215"/>
      <c r="AD460" s="215"/>
      <c r="AE460" s="215"/>
      <c r="AF460" s="215"/>
      <c r="AG460" s="215"/>
    </row>
    <row r="461" spans="1:33" ht="13.2">
      <c r="A461" s="215"/>
      <c r="B461" s="215"/>
      <c r="C461" s="215"/>
      <c r="D461" s="215"/>
      <c r="E461" s="215"/>
      <c r="F461" s="21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215"/>
      <c r="Z461" s="215"/>
      <c r="AA461" s="215"/>
      <c r="AB461" s="215"/>
      <c r="AC461" s="215"/>
      <c r="AD461" s="215"/>
      <c r="AE461" s="215"/>
      <c r="AF461" s="215"/>
      <c r="AG461" s="215"/>
    </row>
    <row r="462" spans="1:33" ht="13.2">
      <c r="A462" s="215"/>
      <c r="B462" s="215"/>
      <c r="C462" s="215"/>
      <c r="D462" s="215"/>
      <c r="E462" s="215"/>
      <c r="F462" s="21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  <c r="Z462" s="215"/>
      <c r="AA462" s="215"/>
      <c r="AB462" s="215"/>
      <c r="AC462" s="215"/>
      <c r="AD462" s="215"/>
      <c r="AE462" s="215"/>
      <c r="AF462" s="215"/>
      <c r="AG462" s="215"/>
    </row>
    <row r="463" spans="1:33" ht="13.2">
      <c r="A463" s="215"/>
      <c r="B463" s="215"/>
      <c r="C463" s="215"/>
      <c r="D463" s="215"/>
      <c r="E463" s="215"/>
      <c r="F463" s="21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  <c r="Z463" s="215"/>
      <c r="AA463" s="215"/>
      <c r="AB463" s="215"/>
      <c r="AC463" s="215"/>
      <c r="AD463" s="215"/>
      <c r="AE463" s="215"/>
      <c r="AF463" s="215"/>
      <c r="AG463" s="215"/>
    </row>
    <row r="464" spans="1:33" ht="13.2">
      <c r="A464" s="215"/>
      <c r="B464" s="215"/>
      <c r="C464" s="215"/>
      <c r="D464" s="215"/>
      <c r="E464" s="215"/>
      <c r="F464" s="215"/>
      <c r="G464" s="215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  <c r="X464" s="215"/>
      <c r="Y464" s="215"/>
      <c r="Z464" s="215"/>
      <c r="AA464" s="215"/>
      <c r="AB464" s="215"/>
      <c r="AC464" s="215"/>
      <c r="AD464" s="215"/>
      <c r="AE464" s="215"/>
      <c r="AF464" s="215"/>
      <c r="AG464" s="215"/>
    </row>
    <row r="465" spans="1:33" ht="13.2">
      <c r="A465" s="215"/>
      <c r="B465" s="215"/>
      <c r="C465" s="215"/>
      <c r="D465" s="215"/>
      <c r="E465" s="215"/>
      <c r="F465" s="215"/>
      <c r="G465" s="215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  <c r="Z465" s="215"/>
      <c r="AA465" s="215"/>
      <c r="AB465" s="215"/>
      <c r="AC465" s="215"/>
      <c r="AD465" s="215"/>
      <c r="AE465" s="215"/>
      <c r="AF465" s="215"/>
      <c r="AG465" s="215"/>
    </row>
    <row r="466" spans="1:33" ht="13.2">
      <c r="A466" s="215"/>
      <c r="B466" s="215"/>
      <c r="C466" s="215"/>
      <c r="D466" s="215"/>
      <c r="E466" s="215"/>
      <c r="F466" s="215"/>
      <c r="G466" s="215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  <c r="Z466" s="215"/>
      <c r="AA466" s="215"/>
      <c r="AB466" s="215"/>
      <c r="AC466" s="215"/>
      <c r="AD466" s="215"/>
      <c r="AE466" s="215"/>
      <c r="AF466" s="215"/>
      <c r="AG466" s="215"/>
    </row>
    <row r="467" spans="1:33" ht="13.2">
      <c r="A467" s="215"/>
      <c r="B467" s="215"/>
      <c r="C467" s="215"/>
      <c r="D467" s="215"/>
      <c r="E467" s="215"/>
      <c r="F467" s="215"/>
      <c r="G467" s="215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  <c r="Z467" s="215"/>
      <c r="AA467" s="215"/>
      <c r="AB467" s="215"/>
      <c r="AC467" s="215"/>
      <c r="AD467" s="215"/>
      <c r="AE467" s="215"/>
      <c r="AF467" s="215"/>
      <c r="AG467" s="215"/>
    </row>
    <row r="468" spans="1:33" ht="13.2">
      <c r="A468" s="215"/>
      <c r="B468" s="215"/>
      <c r="C468" s="215"/>
      <c r="D468" s="215"/>
      <c r="E468" s="215"/>
      <c r="F468" s="215"/>
      <c r="G468" s="215"/>
      <c r="H468" s="215"/>
      <c r="I468" s="215"/>
      <c r="J468" s="215"/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215"/>
      <c r="Z468" s="215"/>
      <c r="AA468" s="215"/>
      <c r="AB468" s="215"/>
      <c r="AC468" s="215"/>
      <c r="AD468" s="215"/>
      <c r="AE468" s="215"/>
      <c r="AF468" s="215"/>
      <c r="AG468" s="215"/>
    </row>
    <row r="469" spans="1:33" ht="13.2">
      <c r="A469" s="215"/>
      <c r="B469" s="215"/>
      <c r="C469" s="215"/>
      <c r="D469" s="215"/>
      <c r="E469" s="215"/>
      <c r="F469" s="21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215"/>
      <c r="Z469" s="215"/>
      <c r="AA469" s="215"/>
      <c r="AB469" s="215"/>
      <c r="AC469" s="215"/>
      <c r="AD469" s="215"/>
      <c r="AE469" s="215"/>
      <c r="AF469" s="215"/>
      <c r="AG469" s="215"/>
    </row>
    <row r="470" spans="1:33" ht="13.2">
      <c r="A470" s="215"/>
      <c r="B470" s="215"/>
      <c r="C470" s="215"/>
      <c r="D470" s="215"/>
      <c r="E470" s="215"/>
      <c r="F470" s="215"/>
      <c r="G470" s="215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  <c r="Z470" s="215"/>
      <c r="AA470" s="215"/>
      <c r="AB470" s="215"/>
      <c r="AC470" s="215"/>
      <c r="AD470" s="215"/>
      <c r="AE470" s="215"/>
      <c r="AF470" s="215"/>
      <c r="AG470" s="215"/>
    </row>
    <row r="471" spans="1:33" ht="13.2">
      <c r="A471" s="215"/>
      <c r="B471" s="215"/>
      <c r="C471" s="215"/>
      <c r="D471" s="215"/>
      <c r="E471" s="215"/>
      <c r="F471" s="215"/>
      <c r="G471" s="215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  <c r="Z471" s="215"/>
      <c r="AA471" s="215"/>
      <c r="AB471" s="215"/>
      <c r="AC471" s="215"/>
      <c r="AD471" s="215"/>
      <c r="AE471" s="215"/>
      <c r="AF471" s="215"/>
      <c r="AG471" s="215"/>
    </row>
    <row r="472" spans="1:33" ht="13.2">
      <c r="A472" s="215"/>
      <c r="B472" s="215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  <c r="Z472" s="215"/>
      <c r="AA472" s="215"/>
      <c r="AB472" s="215"/>
      <c r="AC472" s="215"/>
      <c r="AD472" s="215"/>
      <c r="AE472" s="215"/>
      <c r="AF472" s="215"/>
      <c r="AG472" s="215"/>
    </row>
    <row r="473" spans="1:33" ht="13.2">
      <c r="A473" s="215"/>
      <c r="B473" s="215"/>
      <c r="C473" s="215"/>
      <c r="D473" s="215"/>
      <c r="E473" s="215"/>
      <c r="F473" s="21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  <c r="Z473" s="215"/>
      <c r="AA473" s="215"/>
      <c r="AB473" s="215"/>
      <c r="AC473" s="215"/>
      <c r="AD473" s="215"/>
      <c r="AE473" s="215"/>
      <c r="AF473" s="215"/>
      <c r="AG473" s="215"/>
    </row>
    <row r="474" spans="1:33" ht="13.2">
      <c r="A474" s="215"/>
      <c r="B474" s="215"/>
      <c r="C474" s="215"/>
      <c r="D474" s="215"/>
      <c r="E474" s="215"/>
      <c r="F474" s="21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  <c r="Z474" s="215"/>
      <c r="AA474" s="215"/>
      <c r="AB474" s="215"/>
      <c r="AC474" s="215"/>
      <c r="AD474" s="215"/>
      <c r="AE474" s="215"/>
      <c r="AF474" s="215"/>
      <c r="AG474" s="215"/>
    </row>
    <row r="475" spans="1:33" ht="13.2">
      <c r="A475" s="215"/>
      <c r="B475" s="215"/>
      <c r="C475" s="215"/>
      <c r="D475" s="215"/>
      <c r="E475" s="21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  <c r="Z475" s="215"/>
      <c r="AA475" s="215"/>
      <c r="AB475" s="215"/>
      <c r="AC475" s="215"/>
      <c r="AD475" s="215"/>
      <c r="AE475" s="215"/>
      <c r="AF475" s="215"/>
      <c r="AG475" s="215"/>
    </row>
    <row r="476" spans="1:33" ht="13.2">
      <c r="A476" s="215"/>
      <c r="B476" s="215"/>
      <c r="C476" s="215"/>
      <c r="D476" s="215"/>
      <c r="E476" s="215"/>
      <c r="F476" s="21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215"/>
      <c r="Z476" s="215"/>
      <c r="AA476" s="215"/>
      <c r="AB476" s="215"/>
      <c r="AC476" s="215"/>
      <c r="AD476" s="215"/>
      <c r="AE476" s="215"/>
      <c r="AF476" s="215"/>
      <c r="AG476" s="215"/>
    </row>
    <row r="477" spans="1:33" ht="13.2">
      <c r="A477" s="215"/>
      <c r="B477" s="215"/>
      <c r="C477" s="215"/>
      <c r="D477" s="215"/>
      <c r="E477" s="215"/>
      <c r="F477" s="21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215"/>
      <c r="Z477" s="215"/>
      <c r="AA477" s="215"/>
      <c r="AB477" s="215"/>
      <c r="AC477" s="215"/>
      <c r="AD477" s="215"/>
      <c r="AE477" s="215"/>
      <c r="AF477" s="215"/>
      <c r="AG477" s="215"/>
    </row>
    <row r="478" spans="1:33" ht="13.2">
      <c r="A478" s="215"/>
      <c r="B478" s="215"/>
      <c r="C478" s="215"/>
      <c r="D478" s="215"/>
      <c r="E478" s="215"/>
      <c r="F478" s="21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  <c r="Z478" s="215"/>
      <c r="AA478" s="215"/>
      <c r="AB478" s="215"/>
      <c r="AC478" s="215"/>
      <c r="AD478" s="215"/>
      <c r="AE478" s="215"/>
      <c r="AF478" s="215"/>
      <c r="AG478" s="215"/>
    </row>
    <row r="479" spans="1:33" ht="13.2">
      <c r="A479" s="215"/>
      <c r="B479" s="215"/>
      <c r="C479" s="215"/>
      <c r="D479" s="215"/>
      <c r="E479" s="21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  <c r="Z479" s="215"/>
      <c r="AA479" s="215"/>
      <c r="AB479" s="215"/>
      <c r="AC479" s="215"/>
      <c r="AD479" s="215"/>
      <c r="AE479" s="215"/>
      <c r="AF479" s="215"/>
      <c r="AG479" s="215"/>
    </row>
    <row r="480" spans="1:33" ht="13.2">
      <c r="A480" s="215"/>
      <c r="B480" s="215"/>
      <c r="C480" s="215"/>
      <c r="D480" s="215"/>
      <c r="E480" s="215"/>
      <c r="F480" s="21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  <c r="Z480" s="215"/>
      <c r="AA480" s="215"/>
      <c r="AB480" s="215"/>
      <c r="AC480" s="215"/>
      <c r="AD480" s="215"/>
      <c r="AE480" s="215"/>
      <c r="AF480" s="215"/>
      <c r="AG480" s="215"/>
    </row>
    <row r="481" spans="1:33" ht="13.2">
      <c r="A481" s="215"/>
      <c r="B481" s="215"/>
      <c r="C481" s="215"/>
      <c r="D481" s="215"/>
      <c r="E481" s="215"/>
      <c r="F481" s="21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  <c r="Z481" s="215"/>
      <c r="AA481" s="215"/>
      <c r="AB481" s="215"/>
      <c r="AC481" s="215"/>
      <c r="AD481" s="215"/>
      <c r="AE481" s="215"/>
      <c r="AF481" s="215"/>
      <c r="AG481" s="215"/>
    </row>
    <row r="482" spans="1:33" ht="13.2">
      <c r="A482" s="215"/>
      <c r="B482" s="215"/>
      <c r="C482" s="215"/>
      <c r="D482" s="215"/>
      <c r="E482" s="215"/>
      <c r="F482" s="21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  <c r="Z482" s="215"/>
      <c r="AA482" s="215"/>
      <c r="AB482" s="215"/>
      <c r="AC482" s="215"/>
      <c r="AD482" s="215"/>
      <c r="AE482" s="215"/>
      <c r="AF482" s="215"/>
      <c r="AG482" s="215"/>
    </row>
    <row r="483" spans="1:33" ht="13.2">
      <c r="A483" s="215"/>
      <c r="B483" s="215"/>
      <c r="C483" s="215"/>
      <c r="D483" s="215"/>
      <c r="E483" s="215"/>
      <c r="F483" s="21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  <c r="Z483" s="215"/>
      <c r="AA483" s="215"/>
      <c r="AB483" s="215"/>
      <c r="AC483" s="215"/>
      <c r="AD483" s="215"/>
      <c r="AE483" s="215"/>
      <c r="AF483" s="215"/>
      <c r="AG483" s="215"/>
    </row>
    <row r="484" spans="1:33" ht="13.2">
      <c r="A484" s="215"/>
      <c r="B484" s="215"/>
      <c r="C484" s="215"/>
      <c r="D484" s="215"/>
      <c r="E484" s="215"/>
      <c r="F484" s="21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215"/>
      <c r="Z484" s="215"/>
      <c r="AA484" s="215"/>
      <c r="AB484" s="215"/>
      <c r="AC484" s="215"/>
      <c r="AD484" s="215"/>
      <c r="AE484" s="215"/>
      <c r="AF484" s="215"/>
      <c r="AG484" s="215"/>
    </row>
    <row r="485" spans="1:33" ht="13.2">
      <c r="A485" s="215"/>
      <c r="B485" s="215"/>
      <c r="C485" s="215"/>
      <c r="D485" s="215"/>
      <c r="E485" s="215"/>
      <c r="F485" s="21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  <c r="Z485" s="215"/>
      <c r="AA485" s="215"/>
      <c r="AB485" s="215"/>
      <c r="AC485" s="215"/>
      <c r="AD485" s="215"/>
      <c r="AE485" s="215"/>
      <c r="AF485" s="215"/>
      <c r="AG485" s="215"/>
    </row>
    <row r="486" spans="1:33" ht="13.2">
      <c r="A486" s="215"/>
      <c r="B486" s="215"/>
      <c r="C486" s="215"/>
      <c r="D486" s="215"/>
      <c r="E486" s="215"/>
      <c r="F486" s="21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  <c r="Z486" s="215"/>
      <c r="AA486" s="215"/>
      <c r="AB486" s="215"/>
      <c r="AC486" s="215"/>
      <c r="AD486" s="215"/>
      <c r="AE486" s="215"/>
      <c r="AF486" s="215"/>
      <c r="AG486" s="215"/>
    </row>
    <row r="487" spans="1:33" ht="13.2">
      <c r="A487" s="215"/>
      <c r="B487" s="215"/>
      <c r="C487" s="215"/>
      <c r="D487" s="215"/>
      <c r="E487" s="215"/>
      <c r="F487" s="21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  <c r="Z487" s="215"/>
      <c r="AA487" s="215"/>
      <c r="AB487" s="215"/>
      <c r="AC487" s="215"/>
      <c r="AD487" s="215"/>
      <c r="AE487" s="215"/>
      <c r="AF487" s="215"/>
      <c r="AG487" s="215"/>
    </row>
    <row r="488" spans="1:33" ht="13.2">
      <c r="A488" s="215"/>
      <c r="B488" s="215"/>
      <c r="C488" s="215"/>
      <c r="D488" s="215"/>
      <c r="E488" s="215"/>
      <c r="F488" s="21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  <c r="Z488" s="215"/>
      <c r="AA488" s="215"/>
      <c r="AB488" s="215"/>
      <c r="AC488" s="215"/>
      <c r="AD488" s="215"/>
      <c r="AE488" s="215"/>
      <c r="AF488" s="215"/>
      <c r="AG488" s="215"/>
    </row>
    <row r="489" spans="1:33" ht="13.2">
      <c r="A489" s="215"/>
      <c r="B489" s="215"/>
      <c r="C489" s="215"/>
      <c r="D489" s="215"/>
      <c r="E489" s="215"/>
      <c r="F489" s="215"/>
      <c r="G489" s="215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  <c r="X489" s="215"/>
      <c r="Y489" s="215"/>
      <c r="Z489" s="215"/>
      <c r="AA489" s="215"/>
      <c r="AB489" s="215"/>
      <c r="AC489" s="215"/>
      <c r="AD489" s="215"/>
      <c r="AE489" s="215"/>
      <c r="AF489" s="215"/>
      <c r="AG489" s="215"/>
    </row>
    <row r="490" spans="1:33" ht="13.2">
      <c r="A490" s="215"/>
      <c r="B490" s="215"/>
      <c r="C490" s="215"/>
      <c r="D490" s="215"/>
      <c r="E490" s="215"/>
      <c r="F490" s="215"/>
      <c r="G490" s="215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  <c r="Z490" s="215"/>
      <c r="AA490" s="215"/>
      <c r="AB490" s="215"/>
      <c r="AC490" s="215"/>
      <c r="AD490" s="215"/>
      <c r="AE490" s="215"/>
      <c r="AF490" s="215"/>
      <c r="AG490" s="215"/>
    </row>
    <row r="491" spans="1:33" ht="13.2">
      <c r="A491" s="215"/>
      <c r="B491" s="215"/>
      <c r="C491" s="215"/>
      <c r="D491" s="215"/>
      <c r="E491" s="215"/>
      <c r="F491" s="215"/>
      <c r="G491" s="215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  <c r="Z491" s="215"/>
      <c r="AA491" s="215"/>
      <c r="AB491" s="215"/>
      <c r="AC491" s="215"/>
      <c r="AD491" s="215"/>
      <c r="AE491" s="215"/>
      <c r="AF491" s="215"/>
      <c r="AG491" s="215"/>
    </row>
    <row r="492" spans="1:33" ht="13.2">
      <c r="A492" s="215"/>
      <c r="B492" s="215"/>
      <c r="C492" s="215"/>
      <c r="D492" s="215"/>
      <c r="E492" s="215"/>
      <c r="F492" s="215"/>
      <c r="G492" s="215"/>
      <c r="H492" s="215"/>
      <c r="I492" s="215"/>
      <c r="J492" s="215"/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215"/>
      <c r="Z492" s="215"/>
      <c r="AA492" s="215"/>
      <c r="AB492" s="215"/>
      <c r="AC492" s="215"/>
      <c r="AD492" s="215"/>
      <c r="AE492" s="215"/>
      <c r="AF492" s="215"/>
      <c r="AG492" s="215"/>
    </row>
    <row r="493" spans="1:33" ht="13.2">
      <c r="A493" s="215"/>
      <c r="B493" s="215"/>
      <c r="C493" s="215"/>
      <c r="D493" s="215"/>
      <c r="E493" s="215"/>
      <c r="F493" s="215"/>
      <c r="G493" s="215"/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  <c r="Z493" s="215"/>
      <c r="AA493" s="215"/>
      <c r="AB493" s="215"/>
      <c r="AC493" s="215"/>
      <c r="AD493" s="215"/>
      <c r="AE493" s="215"/>
      <c r="AF493" s="215"/>
      <c r="AG493" s="215"/>
    </row>
    <row r="494" spans="1:33" ht="13.2">
      <c r="A494" s="215"/>
      <c r="B494" s="215"/>
      <c r="C494" s="215"/>
      <c r="D494" s="215"/>
      <c r="E494" s="215"/>
      <c r="F494" s="21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215"/>
      <c r="Z494" s="215"/>
      <c r="AA494" s="215"/>
      <c r="AB494" s="215"/>
      <c r="AC494" s="215"/>
      <c r="AD494" s="215"/>
      <c r="AE494" s="215"/>
      <c r="AF494" s="215"/>
      <c r="AG494" s="215"/>
    </row>
    <row r="495" spans="1:33" ht="13.2">
      <c r="A495" s="215"/>
      <c r="B495" s="215"/>
      <c r="C495" s="215"/>
      <c r="D495" s="215"/>
      <c r="E495" s="215"/>
      <c r="F495" s="215"/>
      <c r="G495" s="215"/>
      <c r="H495" s="215"/>
      <c r="I495" s="215"/>
      <c r="J495" s="215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215"/>
      <c r="Z495" s="215"/>
      <c r="AA495" s="215"/>
      <c r="AB495" s="215"/>
      <c r="AC495" s="215"/>
      <c r="AD495" s="215"/>
      <c r="AE495" s="215"/>
      <c r="AF495" s="215"/>
      <c r="AG495" s="215"/>
    </row>
    <row r="496" spans="1:33" ht="13.2">
      <c r="A496" s="215"/>
      <c r="B496" s="215"/>
      <c r="C496" s="215"/>
      <c r="D496" s="215"/>
      <c r="E496" s="215"/>
      <c r="F496" s="21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215"/>
      <c r="Z496" s="215"/>
      <c r="AA496" s="215"/>
      <c r="AB496" s="215"/>
      <c r="AC496" s="215"/>
      <c r="AD496" s="215"/>
      <c r="AE496" s="215"/>
      <c r="AF496" s="215"/>
      <c r="AG496" s="215"/>
    </row>
    <row r="497" spans="1:33" ht="13.2">
      <c r="A497" s="215"/>
      <c r="B497" s="215"/>
      <c r="C497" s="215"/>
      <c r="D497" s="215"/>
      <c r="E497" s="21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  <c r="Z497" s="215"/>
      <c r="AA497" s="215"/>
      <c r="AB497" s="215"/>
      <c r="AC497" s="215"/>
      <c r="AD497" s="215"/>
      <c r="AE497" s="215"/>
      <c r="AF497" s="215"/>
      <c r="AG497" s="215"/>
    </row>
    <row r="498" spans="1:33" ht="13.2">
      <c r="A498" s="215"/>
      <c r="B498" s="215"/>
      <c r="C498" s="215"/>
      <c r="D498" s="215"/>
      <c r="E498" s="215"/>
      <c r="F498" s="21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215"/>
      <c r="Z498" s="215"/>
      <c r="AA498" s="215"/>
      <c r="AB498" s="215"/>
      <c r="AC498" s="215"/>
      <c r="AD498" s="215"/>
      <c r="AE498" s="215"/>
      <c r="AF498" s="215"/>
      <c r="AG498" s="215"/>
    </row>
    <row r="499" spans="1:33" ht="13.2">
      <c r="A499" s="215"/>
      <c r="B499" s="215"/>
      <c r="C499" s="215"/>
      <c r="D499" s="215"/>
      <c r="E499" s="215"/>
      <c r="F499" s="21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215"/>
      <c r="Z499" s="215"/>
      <c r="AA499" s="215"/>
      <c r="AB499" s="215"/>
      <c r="AC499" s="215"/>
      <c r="AD499" s="215"/>
      <c r="AE499" s="215"/>
      <c r="AF499" s="215"/>
      <c r="AG499" s="215"/>
    </row>
    <row r="500" spans="1:33" ht="13.2">
      <c r="A500" s="215"/>
      <c r="B500" s="215"/>
      <c r="C500" s="215"/>
      <c r="D500" s="215"/>
      <c r="E500" s="21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215"/>
      <c r="Z500" s="215"/>
      <c r="AA500" s="215"/>
      <c r="AB500" s="215"/>
      <c r="AC500" s="215"/>
      <c r="AD500" s="215"/>
      <c r="AE500" s="215"/>
      <c r="AF500" s="215"/>
      <c r="AG500" s="215"/>
    </row>
    <row r="501" spans="1:33" ht="13.2">
      <c r="A501" s="215"/>
      <c r="B501" s="215"/>
      <c r="C501" s="215"/>
      <c r="D501" s="215"/>
      <c r="E501" s="21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215"/>
      <c r="Z501" s="215"/>
      <c r="AA501" s="215"/>
      <c r="AB501" s="215"/>
      <c r="AC501" s="215"/>
      <c r="AD501" s="215"/>
      <c r="AE501" s="215"/>
      <c r="AF501" s="215"/>
      <c r="AG501" s="215"/>
    </row>
    <row r="502" spans="1:33" ht="13.2">
      <c r="A502" s="215"/>
      <c r="B502" s="215"/>
      <c r="C502" s="215"/>
      <c r="D502" s="215"/>
      <c r="E502" s="21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215"/>
      <c r="Z502" s="215"/>
      <c r="AA502" s="215"/>
      <c r="AB502" s="215"/>
      <c r="AC502" s="215"/>
      <c r="AD502" s="215"/>
      <c r="AE502" s="215"/>
      <c r="AF502" s="215"/>
      <c r="AG502" s="215"/>
    </row>
    <row r="503" spans="1:33" ht="13.2">
      <c r="A503" s="215"/>
      <c r="B503" s="215"/>
      <c r="C503" s="215"/>
      <c r="D503" s="215"/>
      <c r="E503" s="21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215"/>
      <c r="Z503" s="215"/>
      <c r="AA503" s="215"/>
      <c r="AB503" s="215"/>
      <c r="AC503" s="215"/>
      <c r="AD503" s="215"/>
      <c r="AE503" s="215"/>
      <c r="AF503" s="215"/>
      <c r="AG503" s="215"/>
    </row>
    <row r="504" spans="1:33" ht="13.2">
      <c r="A504" s="215"/>
      <c r="B504" s="215"/>
      <c r="C504" s="215"/>
      <c r="D504" s="215"/>
      <c r="E504" s="215"/>
      <c r="F504" s="21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215"/>
      <c r="Z504" s="215"/>
      <c r="AA504" s="215"/>
      <c r="AB504" s="215"/>
      <c r="AC504" s="215"/>
      <c r="AD504" s="215"/>
      <c r="AE504" s="215"/>
      <c r="AF504" s="215"/>
      <c r="AG504" s="215"/>
    </row>
    <row r="505" spans="1:33" ht="13.2">
      <c r="A505" s="215"/>
      <c r="B505" s="215"/>
      <c r="C505" s="215"/>
      <c r="D505" s="215"/>
      <c r="E505" s="215"/>
      <c r="F505" s="21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215"/>
      <c r="Z505" s="215"/>
      <c r="AA505" s="215"/>
      <c r="AB505" s="215"/>
      <c r="AC505" s="215"/>
      <c r="AD505" s="215"/>
      <c r="AE505" s="215"/>
      <c r="AF505" s="215"/>
      <c r="AG505" s="215"/>
    </row>
    <row r="506" spans="1:33" ht="13.2">
      <c r="A506" s="215"/>
      <c r="B506" s="215"/>
      <c r="C506" s="215"/>
      <c r="D506" s="215"/>
      <c r="E506" s="215"/>
      <c r="F506" s="21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215"/>
      <c r="Z506" s="215"/>
      <c r="AA506" s="215"/>
      <c r="AB506" s="215"/>
      <c r="AC506" s="215"/>
      <c r="AD506" s="215"/>
      <c r="AE506" s="215"/>
      <c r="AF506" s="215"/>
      <c r="AG506" s="215"/>
    </row>
    <row r="507" spans="1:33" ht="13.2">
      <c r="A507" s="215"/>
      <c r="B507" s="215"/>
      <c r="C507" s="215"/>
      <c r="D507" s="215"/>
      <c r="E507" s="215"/>
      <c r="F507" s="21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215"/>
      <c r="Z507" s="215"/>
      <c r="AA507" s="215"/>
      <c r="AB507" s="215"/>
      <c r="AC507" s="215"/>
      <c r="AD507" s="215"/>
      <c r="AE507" s="215"/>
      <c r="AF507" s="215"/>
      <c r="AG507" s="215"/>
    </row>
    <row r="508" spans="1:33" ht="13.2">
      <c r="A508" s="215"/>
      <c r="B508" s="215"/>
      <c r="C508" s="215"/>
      <c r="D508" s="215"/>
      <c r="E508" s="215"/>
      <c r="F508" s="21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215"/>
      <c r="Z508" s="215"/>
      <c r="AA508" s="215"/>
      <c r="AB508" s="215"/>
      <c r="AC508" s="215"/>
      <c r="AD508" s="215"/>
      <c r="AE508" s="215"/>
      <c r="AF508" s="215"/>
      <c r="AG508" s="215"/>
    </row>
    <row r="509" spans="1:33" ht="13.2">
      <c r="A509" s="215"/>
      <c r="B509" s="215"/>
      <c r="C509" s="215"/>
      <c r="D509" s="215"/>
      <c r="E509" s="215"/>
      <c r="F509" s="21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215"/>
      <c r="Z509" s="215"/>
      <c r="AA509" s="215"/>
      <c r="AB509" s="215"/>
      <c r="AC509" s="215"/>
      <c r="AD509" s="215"/>
      <c r="AE509" s="215"/>
      <c r="AF509" s="215"/>
      <c r="AG509" s="215"/>
    </row>
    <row r="510" spans="1:33" ht="13.2">
      <c r="A510" s="215"/>
      <c r="B510" s="215"/>
      <c r="C510" s="215"/>
      <c r="D510" s="215"/>
      <c r="E510" s="215"/>
      <c r="F510" s="21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215"/>
      <c r="Z510" s="215"/>
      <c r="AA510" s="215"/>
      <c r="AB510" s="215"/>
      <c r="AC510" s="215"/>
      <c r="AD510" s="215"/>
      <c r="AE510" s="215"/>
      <c r="AF510" s="215"/>
      <c r="AG510" s="215"/>
    </row>
    <row r="511" spans="1:33" ht="13.2">
      <c r="A511" s="215"/>
      <c r="B511" s="215"/>
      <c r="C511" s="215"/>
      <c r="D511" s="215"/>
      <c r="E511" s="215"/>
      <c r="F511" s="21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215"/>
      <c r="Z511" s="215"/>
      <c r="AA511" s="215"/>
      <c r="AB511" s="215"/>
      <c r="AC511" s="215"/>
      <c r="AD511" s="215"/>
      <c r="AE511" s="215"/>
      <c r="AF511" s="215"/>
      <c r="AG511" s="215"/>
    </row>
    <row r="512" spans="1:33" ht="13.2">
      <c r="A512" s="215"/>
      <c r="B512" s="215"/>
      <c r="C512" s="215"/>
      <c r="D512" s="215"/>
      <c r="E512" s="215"/>
      <c r="F512" s="21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215"/>
      <c r="Z512" s="215"/>
      <c r="AA512" s="215"/>
      <c r="AB512" s="215"/>
      <c r="AC512" s="215"/>
      <c r="AD512" s="215"/>
      <c r="AE512" s="215"/>
      <c r="AF512" s="215"/>
      <c r="AG512" s="215"/>
    </row>
    <row r="513" spans="1:33" ht="13.2">
      <c r="A513" s="215"/>
      <c r="B513" s="215"/>
      <c r="C513" s="215"/>
      <c r="D513" s="215"/>
      <c r="E513" s="215"/>
      <c r="F513" s="21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215"/>
      <c r="Z513" s="215"/>
      <c r="AA513" s="215"/>
      <c r="AB513" s="215"/>
      <c r="AC513" s="215"/>
      <c r="AD513" s="215"/>
      <c r="AE513" s="215"/>
      <c r="AF513" s="215"/>
      <c r="AG513" s="215"/>
    </row>
    <row r="514" spans="1:33" ht="13.2">
      <c r="A514" s="215"/>
      <c r="B514" s="215"/>
      <c r="C514" s="215"/>
      <c r="D514" s="215"/>
      <c r="E514" s="215"/>
      <c r="F514" s="21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215"/>
      <c r="Z514" s="215"/>
      <c r="AA514" s="215"/>
      <c r="AB514" s="215"/>
      <c r="AC514" s="215"/>
      <c r="AD514" s="215"/>
      <c r="AE514" s="215"/>
      <c r="AF514" s="215"/>
      <c r="AG514" s="215"/>
    </row>
    <row r="515" spans="1:33" ht="13.2">
      <c r="A515" s="215"/>
      <c r="B515" s="215"/>
      <c r="C515" s="215"/>
      <c r="D515" s="215"/>
      <c r="E515" s="215"/>
      <c r="F515" s="215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  <c r="S515" s="215"/>
      <c r="T515" s="215"/>
      <c r="U515" s="215"/>
      <c r="V515" s="215"/>
      <c r="W515" s="215"/>
      <c r="X515" s="215"/>
      <c r="Y515" s="215"/>
      <c r="Z515" s="215"/>
      <c r="AA515" s="215"/>
      <c r="AB515" s="215"/>
      <c r="AC515" s="215"/>
      <c r="AD515" s="215"/>
      <c r="AE515" s="215"/>
      <c r="AF515" s="215"/>
      <c r="AG515" s="215"/>
    </row>
    <row r="516" spans="1:33" ht="13.2">
      <c r="A516" s="215"/>
      <c r="B516" s="215"/>
      <c r="C516" s="215"/>
      <c r="D516" s="215"/>
      <c r="E516" s="215"/>
      <c r="F516" s="215"/>
      <c r="G516" s="215"/>
      <c r="H516" s="215"/>
      <c r="I516" s="215"/>
      <c r="J516" s="215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215"/>
      <c r="Z516" s="215"/>
      <c r="AA516" s="215"/>
      <c r="AB516" s="215"/>
      <c r="AC516" s="215"/>
      <c r="AD516" s="215"/>
      <c r="AE516" s="215"/>
      <c r="AF516" s="215"/>
      <c r="AG516" s="215"/>
    </row>
    <row r="517" spans="1:33" ht="13.2">
      <c r="A517" s="215"/>
      <c r="B517" s="215"/>
      <c r="C517" s="215"/>
      <c r="D517" s="215"/>
      <c r="E517" s="215"/>
      <c r="F517" s="215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  <c r="Z517" s="215"/>
      <c r="AA517" s="215"/>
      <c r="AB517" s="215"/>
      <c r="AC517" s="215"/>
      <c r="AD517" s="215"/>
      <c r="AE517" s="215"/>
      <c r="AF517" s="215"/>
      <c r="AG517" s="215"/>
    </row>
    <row r="518" spans="1:33" ht="13.2">
      <c r="A518" s="215"/>
      <c r="B518" s="215"/>
      <c r="C518" s="215"/>
      <c r="D518" s="215"/>
      <c r="E518" s="215"/>
      <c r="F518" s="215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215"/>
      <c r="Z518" s="215"/>
      <c r="AA518" s="215"/>
      <c r="AB518" s="215"/>
      <c r="AC518" s="215"/>
      <c r="AD518" s="215"/>
      <c r="AE518" s="215"/>
      <c r="AF518" s="215"/>
      <c r="AG518" s="215"/>
    </row>
    <row r="519" spans="1:33" ht="13.2">
      <c r="A519" s="215"/>
      <c r="B519" s="215"/>
      <c r="C519" s="215"/>
      <c r="D519" s="215"/>
      <c r="E519" s="215"/>
      <c r="F519" s="215"/>
      <c r="G519" s="215"/>
      <c r="H519" s="215"/>
      <c r="I519" s="215"/>
      <c r="J519" s="215"/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215"/>
      <c r="Z519" s="215"/>
      <c r="AA519" s="215"/>
      <c r="AB519" s="215"/>
      <c r="AC519" s="215"/>
      <c r="AD519" s="215"/>
      <c r="AE519" s="215"/>
      <c r="AF519" s="215"/>
      <c r="AG519" s="215"/>
    </row>
    <row r="520" spans="1:33" ht="13.2">
      <c r="A520" s="215"/>
      <c r="B520" s="215"/>
      <c r="C520" s="215"/>
      <c r="D520" s="215"/>
      <c r="E520" s="215"/>
      <c r="F520" s="21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215"/>
      <c r="Z520" s="215"/>
      <c r="AA520" s="215"/>
      <c r="AB520" s="215"/>
      <c r="AC520" s="215"/>
      <c r="AD520" s="215"/>
      <c r="AE520" s="215"/>
      <c r="AF520" s="215"/>
      <c r="AG520" s="215"/>
    </row>
    <row r="521" spans="1:33" ht="13.2">
      <c r="A521" s="215"/>
      <c r="B521" s="215"/>
      <c r="C521" s="215"/>
      <c r="D521" s="215"/>
      <c r="E521" s="215"/>
      <c r="F521" s="215"/>
      <c r="G521" s="215"/>
      <c r="H521" s="215"/>
      <c r="I521" s="215"/>
      <c r="J521" s="215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215"/>
      <c r="Z521" s="215"/>
      <c r="AA521" s="215"/>
      <c r="AB521" s="215"/>
      <c r="AC521" s="215"/>
      <c r="AD521" s="215"/>
      <c r="AE521" s="215"/>
      <c r="AF521" s="215"/>
      <c r="AG521" s="215"/>
    </row>
    <row r="522" spans="1:33" ht="13.2">
      <c r="A522" s="215"/>
      <c r="B522" s="215"/>
      <c r="C522" s="215"/>
      <c r="D522" s="215"/>
      <c r="E522" s="215"/>
      <c r="F522" s="21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215"/>
      <c r="Z522" s="215"/>
      <c r="AA522" s="215"/>
      <c r="AB522" s="215"/>
      <c r="AC522" s="215"/>
      <c r="AD522" s="215"/>
      <c r="AE522" s="215"/>
      <c r="AF522" s="215"/>
      <c r="AG522" s="215"/>
    </row>
    <row r="523" spans="1:33" ht="13.2">
      <c r="A523" s="215"/>
      <c r="B523" s="215"/>
      <c r="C523" s="215"/>
      <c r="D523" s="215"/>
      <c r="E523" s="21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215"/>
      <c r="Z523" s="215"/>
      <c r="AA523" s="215"/>
      <c r="AB523" s="215"/>
      <c r="AC523" s="215"/>
      <c r="AD523" s="215"/>
      <c r="AE523" s="215"/>
      <c r="AF523" s="215"/>
      <c r="AG523" s="215"/>
    </row>
    <row r="524" spans="1:33" ht="13.2">
      <c r="A524" s="215"/>
      <c r="B524" s="215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215"/>
      <c r="Z524" s="215"/>
      <c r="AA524" s="215"/>
      <c r="AB524" s="215"/>
      <c r="AC524" s="215"/>
      <c r="AD524" s="215"/>
      <c r="AE524" s="215"/>
      <c r="AF524" s="215"/>
      <c r="AG524" s="215"/>
    </row>
    <row r="525" spans="1:33" ht="13.2">
      <c r="A525" s="215"/>
      <c r="B525" s="215"/>
      <c r="C525" s="215"/>
      <c r="D525" s="215"/>
      <c r="E525" s="215"/>
      <c r="F525" s="21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215"/>
      <c r="Z525" s="215"/>
      <c r="AA525" s="215"/>
      <c r="AB525" s="215"/>
      <c r="AC525" s="215"/>
      <c r="AD525" s="215"/>
      <c r="AE525" s="215"/>
      <c r="AF525" s="215"/>
      <c r="AG525" s="215"/>
    </row>
    <row r="526" spans="1:33" ht="13.2">
      <c r="A526" s="215"/>
      <c r="B526" s="215"/>
      <c r="C526" s="215"/>
      <c r="D526" s="215"/>
      <c r="E526" s="215"/>
      <c r="F526" s="21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215"/>
      <c r="Z526" s="215"/>
      <c r="AA526" s="215"/>
      <c r="AB526" s="215"/>
      <c r="AC526" s="215"/>
      <c r="AD526" s="215"/>
      <c r="AE526" s="215"/>
      <c r="AF526" s="215"/>
      <c r="AG526" s="215"/>
    </row>
    <row r="527" spans="1:33" ht="13.2">
      <c r="A527" s="215"/>
      <c r="B527" s="215"/>
      <c r="C527" s="215"/>
      <c r="D527" s="215"/>
      <c r="E527" s="215"/>
      <c r="F527" s="21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215"/>
      <c r="Z527" s="215"/>
      <c r="AA527" s="215"/>
      <c r="AB527" s="215"/>
      <c r="AC527" s="215"/>
      <c r="AD527" s="215"/>
      <c r="AE527" s="215"/>
      <c r="AF527" s="215"/>
      <c r="AG527" s="215"/>
    </row>
    <row r="528" spans="1:33" ht="13.2">
      <c r="A528" s="215"/>
      <c r="B528" s="215"/>
      <c r="C528" s="215"/>
      <c r="D528" s="215"/>
      <c r="E528" s="215"/>
      <c r="F528" s="21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215"/>
      <c r="Z528" s="215"/>
      <c r="AA528" s="215"/>
      <c r="AB528" s="215"/>
      <c r="AC528" s="215"/>
      <c r="AD528" s="215"/>
      <c r="AE528" s="215"/>
      <c r="AF528" s="215"/>
      <c r="AG528" s="215"/>
    </row>
    <row r="529" spans="1:33" ht="13.2">
      <c r="A529" s="215"/>
      <c r="B529" s="215"/>
      <c r="C529" s="215"/>
      <c r="D529" s="215"/>
      <c r="E529" s="215"/>
      <c r="F529" s="21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215"/>
      <c r="Z529" s="215"/>
      <c r="AA529" s="215"/>
      <c r="AB529" s="215"/>
      <c r="AC529" s="215"/>
      <c r="AD529" s="215"/>
      <c r="AE529" s="215"/>
      <c r="AF529" s="215"/>
      <c r="AG529" s="215"/>
    </row>
    <row r="530" spans="1:33" ht="13.2">
      <c r="A530" s="215"/>
      <c r="B530" s="215"/>
      <c r="C530" s="215"/>
      <c r="D530" s="215"/>
      <c r="E530" s="215"/>
      <c r="F530" s="21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215"/>
      <c r="Z530" s="215"/>
      <c r="AA530" s="215"/>
      <c r="AB530" s="215"/>
      <c r="AC530" s="215"/>
      <c r="AD530" s="215"/>
      <c r="AE530" s="215"/>
      <c r="AF530" s="215"/>
      <c r="AG530" s="215"/>
    </row>
    <row r="531" spans="1:33" ht="13.2">
      <c r="A531" s="215"/>
      <c r="B531" s="215"/>
      <c r="C531" s="215"/>
      <c r="D531" s="215"/>
      <c r="E531" s="215"/>
      <c r="F531" s="21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215"/>
      <c r="Z531" s="215"/>
      <c r="AA531" s="215"/>
      <c r="AB531" s="215"/>
      <c r="AC531" s="215"/>
      <c r="AD531" s="215"/>
      <c r="AE531" s="215"/>
      <c r="AF531" s="215"/>
      <c r="AG531" s="215"/>
    </row>
    <row r="532" spans="1:33" ht="13.2">
      <c r="A532" s="215"/>
      <c r="B532" s="215"/>
      <c r="C532" s="215"/>
      <c r="D532" s="215"/>
      <c r="E532" s="215"/>
      <c r="F532" s="21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215"/>
      <c r="Z532" s="215"/>
      <c r="AA532" s="215"/>
      <c r="AB532" s="215"/>
      <c r="AC532" s="215"/>
      <c r="AD532" s="215"/>
      <c r="AE532" s="215"/>
      <c r="AF532" s="215"/>
      <c r="AG532" s="215"/>
    </row>
    <row r="533" spans="1:33" ht="13.2">
      <c r="A533" s="215"/>
      <c r="B533" s="215"/>
      <c r="C533" s="215"/>
      <c r="D533" s="215"/>
      <c r="E533" s="21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215"/>
      <c r="Z533" s="215"/>
      <c r="AA533" s="215"/>
      <c r="AB533" s="215"/>
      <c r="AC533" s="215"/>
      <c r="AD533" s="215"/>
      <c r="AE533" s="215"/>
      <c r="AF533" s="215"/>
      <c r="AG533" s="215"/>
    </row>
    <row r="534" spans="1:33" ht="13.2">
      <c r="A534" s="215"/>
      <c r="B534" s="215"/>
      <c r="C534" s="215"/>
      <c r="D534" s="215"/>
      <c r="E534" s="21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215"/>
      <c r="Z534" s="215"/>
      <c r="AA534" s="215"/>
      <c r="AB534" s="215"/>
      <c r="AC534" s="215"/>
      <c r="AD534" s="215"/>
      <c r="AE534" s="215"/>
      <c r="AF534" s="215"/>
      <c r="AG534" s="215"/>
    </row>
    <row r="535" spans="1:33" ht="13.2">
      <c r="A535" s="215"/>
      <c r="B535" s="215"/>
      <c r="C535" s="215"/>
      <c r="D535" s="215"/>
      <c r="E535" s="21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215"/>
      <c r="Z535" s="215"/>
      <c r="AA535" s="215"/>
      <c r="AB535" s="215"/>
      <c r="AC535" s="215"/>
      <c r="AD535" s="215"/>
      <c r="AE535" s="215"/>
      <c r="AF535" s="215"/>
      <c r="AG535" s="215"/>
    </row>
    <row r="536" spans="1:33" ht="13.2">
      <c r="A536" s="215"/>
      <c r="B536" s="215"/>
      <c r="C536" s="215"/>
      <c r="D536" s="215"/>
      <c r="E536" s="215"/>
      <c r="F536" s="21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215"/>
      <c r="Z536" s="215"/>
      <c r="AA536" s="215"/>
      <c r="AB536" s="215"/>
      <c r="AC536" s="215"/>
      <c r="AD536" s="215"/>
      <c r="AE536" s="215"/>
      <c r="AF536" s="215"/>
      <c r="AG536" s="215"/>
    </row>
    <row r="537" spans="1:33" ht="13.2">
      <c r="A537" s="215"/>
      <c r="B537" s="215"/>
      <c r="C537" s="215"/>
      <c r="D537" s="215"/>
      <c r="E537" s="215"/>
      <c r="F537" s="21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215"/>
      <c r="Z537" s="215"/>
      <c r="AA537" s="215"/>
      <c r="AB537" s="215"/>
      <c r="AC537" s="215"/>
      <c r="AD537" s="215"/>
      <c r="AE537" s="215"/>
      <c r="AF537" s="215"/>
      <c r="AG537" s="215"/>
    </row>
    <row r="538" spans="1:33" ht="13.2">
      <c r="A538" s="215"/>
      <c r="B538" s="215"/>
      <c r="C538" s="215"/>
      <c r="D538" s="215"/>
      <c r="E538" s="215"/>
      <c r="F538" s="21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215"/>
      <c r="Z538" s="215"/>
      <c r="AA538" s="215"/>
      <c r="AB538" s="215"/>
      <c r="AC538" s="215"/>
      <c r="AD538" s="215"/>
      <c r="AE538" s="215"/>
      <c r="AF538" s="215"/>
      <c r="AG538" s="215"/>
    </row>
    <row r="539" spans="1:33" ht="13.2">
      <c r="A539" s="215"/>
      <c r="B539" s="215"/>
      <c r="C539" s="215"/>
      <c r="D539" s="215"/>
      <c r="E539" s="21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215"/>
      <c r="Z539" s="215"/>
      <c r="AA539" s="215"/>
      <c r="AB539" s="215"/>
      <c r="AC539" s="215"/>
      <c r="AD539" s="215"/>
      <c r="AE539" s="215"/>
      <c r="AF539" s="215"/>
      <c r="AG539" s="215"/>
    </row>
    <row r="540" spans="1:33" ht="13.2">
      <c r="A540" s="215"/>
      <c r="B540" s="215"/>
      <c r="C540" s="215"/>
      <c r="D540" s="215"/>
      <c r="E540" s="215"/>
      <c r="F540" s="215"/>
      <c r="G540" s="215"/>
      <c r="H540" s="215"/>
      <c r="I540" s="215"/>
      <c r="J540" s="215"/>
      <c r="K540" s="215"/>
      <c r="L540" s="215"/>
      <c r="M540" s="215"/>
      <c r="N540" s="215"/>
      <c r="O540" s="215"/>
      <c r="P540" s="215"/>
      <c r="Q540" s="215"/>
      <c r="R540" s="215"/>
      <c r="S540" s="215"/>
      <c r="T540" s="215"/>
      <c r="U540" s="215"/>
      <c r="V540" s="215"/>
      <c r="W540" s="215"/>
      <c r="X540" s="215"/>
      <c r="Y540" s="215"/>
      <c r="Z540" s="215"/>
      <c r="AA540" s="215"/>
      <c r="AB540" s="215"/>
      <c r="AC540" s="215"/>
      <c r="AD540" s="215"/>
      <c r="AE540" s="215"/>
      <c r="AF540" s="215"/>
      <c r="AG540" s="215"/>
    </row>
    <row r="541" spans="1:33" ht="13.2">
      <c r="A541" s="215"/>
      <c r="B541" s="215"/>
      <c r="C541" s="215"/>
      <c r="D541" s="215"/>
      <c r="E541" s="215"/>
      <c r="F541" s="215"/>
      <c r="G541" s="215"/>
      <c r="H541" s="215"/>
      <c r="I541" s="215"/>
      <c r="J541" s="215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215"/>
      <c r="Z541" s="215"/>
      <c r="AA541" s="215"/>
      <c r="AB541" s="215"/>
      <c r="AC541" s="215"/>
      <c r="AD541" s="215"/>
      <c r="AE541" s="215"/>
      <c r="AF541" s="215"/>
      <c r="AG541" s="215"/>
    </row>
    <row r="542" spans="1:33" ht="13.2">
      <c r="A542" s="215"/>
      <c r="B542" s="215"/>
      <c r="C542" s="215"/>
      <c r="D542" s="215"/>
      <c r="E542" s="215"/>
      <c r="F542" s="215"/>
      <c r="G542" s="215"/>
      <c r="H542" s="215"/>
      <c r="I542" s="215"/>
      <c r="J542" s="215"/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215"/>
      <c r="Z542" s="215"/>
      <c r="AA542" s="215"/>
      <c r="AB542" s="215"/>
      <c r="AC542" s="215"/>
      <c r="AD542" s="215"/>
      <c r="AE542" s="215"/>
      <c r="AF542" s="215"/>
      <c r="AG542" s="215"/>
    </row>
    <row r="543" spans="1:33" ht="13.2">
      <c r="A543" s="215"/>
      <c r="B543" s="215"/>
      <c r="C543" s="215"/>
      <c r="D543" s="215"/>
      <c r="E543" s="215"/>
      <c r="F543" s="215"/>
      <c r="G543" s="215"/>
      <c r="H543" s="215"/>
      <c r="I543" s="215"/>
      <c r="J543" s="215"/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215"/>
      <c r="Z543" s="215"/>
      <c r="AA543" s="215"/>
      <c r="AB543" s="215"/>
      <c r="AC543" s="215"/>
      <c r="AD543" s="215"/>
      <c r="AE543" s="215"/>
      <c r="AF543" s="215"/>
      <c r="AG543" s="215"/>
    </row>
    <row r="544" spans="1:33" ht="13.2">
      <c r="A544" s="215"/>
      <c r="B544" s="215"/>
      <c r="C544" s="215"/>
      <c r="D544" s="215"/>
      <c r="E544" s="215"/>
      <c r="F544" s="215"/>
      <c r="G544" s="215"/>
      <c r="H544" s="215"/>
      <c r="I544" s="215"/>
      <c r="J544" s="215"/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215"/>
      <c r="Z544" s="215"/>
      <c r="AA544" s="215"/>
      <c r="AB544" s="215"/>
      <c r="AC544" s="215"/>
      <c r="AD544" s="215"/>
      <c r="AE544" s="215"/>
      <c r="AF544" s="215"/>
      <c r="AG544" s="215"/>
    </row>
    <row r="545" spans="1:33" ht="13.2">
      <c r="A545" s="215"/>
      <c r="B545" s="215"/>
      <c r="C545" s="215"/>
      <c r="D545" s="215"/>
      <c r="E545" s="215"/>
      <c r="F545" s="21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215"/>
      <c r="Z545" s="215"/>
      <c r="AA545" s="215"/>
      <c r="AB545" s="215"/>
      <c r="AC545" s="215"/>
      <c r="AD545" s="215"/>
      <c r="AE545" s="215"/>
      <c r="AF545" s="215"/>
      <c r="AG545" s="215"/>
    </row>
    <row r="546" spans="1:33" ht="13.2">
      <c r="A546" s="215"/>
      <c r="B546" s="215"/>
      <c r="C546" s="215"/>
      <c r="D546" s="215"/>
      <c r="E546" s="215"/>
      <c r="F546" s="215"/>
      <c r="G546" s="215"/>
      <c r="H546" s="215"/>
      <c r="I546" s="215"/>
      <c r="J546" s="215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215"/>
      <c r="Z546" s="215"/>
      <c r="AA546" s="215"/>
      <c r="AB546" s="215"/>
      <c r="AC546" s="215"/>
      <c r="AD546" s="215"/>
      <c r="AE546" s="215"/>
      <c r="AF546" s="215"/>
      <c r="AG546" s="215"/>
    </row>
    <row r="547" spans="1:33" ht="13.2">
      <c r="A547" s="215"/>
      <c r="B547" s="215"/>
      <c r="C547" s="215"/>
      <c r="D547" s="215"/>
      <c r="E547" s="215"/>
      <c r="F547" s="21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215"/>
      <c r="Z547" s="215"/>
      <c r="AA547" s="215"/>
      <c r="AB547" s="215"/>
      <c r="AC547" s="215"/>
      <c r="AD547" s="215"/>
      <c r="AE547" s="215"/>
      <c r="AF547" s="215"/>
      <c r="AG547" s="215"/>
    </row>
    <row r="548" spans="1:33" ht="13.2">
      <c r="A548" s="215"/>
      <c r="B548" s="215"/>
      <c r="C548" s="215"/>
      <c r="D548" s="215"/>
      <c r="E548" s="21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  <c r="AA548" s="215"/>
      <c r="AB548" s="215"/>
      <c r="AC548" s="215"/>
      <c r="AD548" s="215"/>
      <c r="AE548" s="215"/>
      <c r="AF548" s="215"/>
      <c r="AG548" s="215"/>
    </row>
    <row r="549" spans="1:33" ht="13.2">
      <c r="A549" s="215"/>
      <c r="B549" s="215"/>
      <c r="C549" s="215"/>
      <c r="D549" s="215"/>
      <c r="E549" s="21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  <c r="AA549" s="215"/>
      <c r="AB549" s="215"/>
      <c r="AC549" s="215"/>
      <c r="AD549" s="215"/>
      <c r="AE549" s="215"/>
      <c r="AF549" s="215"/>
      <c r="AG549" s="215"/>
    </row>
    <row r="550" spans="1:33" ht="13.2">
      <c r="A550" s="215"/>
      <c r="B550" s="215"/>
      <c r="C550" s="215"/>
      <c r="D550" s="215"/>
      <c r="E550" s="215"/>
      <c r="F550" s="21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215"/>
      <c r="Z550" s="215"/>
      <c r="AA550" s="215"/>
      <c r="AB550" s="215"/>
      <c r="AC550" s="215"/>
      <c r="AD550" s="215"/>
      <c r="AE550" s="215"/>
      <c r="AF550" s="215"/>
      <c r="AG550" s="215"/>
    </row>
    <row r="551" spans="1:33" ht="13.2">
      <c r="A551" s="215"/>
      <c r="B551" s="215"/>
      <c r="C551" s="215"/>
      <c r="D551" s="215"/>
      <c r="E551" s="21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  <c r="Z551" s="215"/>
      <c r="AA551" s="215"/>
      <c r="AB551" s="215"/>
      <c r="AC551" s="215"/>
      <c r="AD551" s="215"/>
      <c r="AE551" s="215"/>
      <c r="AF551" s="215"/>
      <c r="AG551" s="215"/>
    </row>
    <row r="552" spans="1:33" ht="13.2">
      <c r="A552" s="215"/>
      <c r="B552" s="215"/>
      <c r="C552" s="215"/>
      <c r="D552" s="215"/>
      <c r="E552" s="21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  <c r="Z552" s="215"/>
      <c r="AA552" s="215"/>
      <c r="AB552" s="215"/>
      <c r="AC552" s="215"/>
      <c r="AD552" s="215"/>
      <c r="AE552" s="215"/>
      <c r="AF552" s="215"/>
      <c r="AG552" s="215"/>
    </row>
    <row r="553" spans="1:33" ht="13.2">
      <c r="A553" s="215"/>
      <c r="B553" s="215"/>
      <c r="C553" s="215"/>
      <c r="D553" s="215"/>
      <c r="E553" s="215"/>
      <c r="F553" s="21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215"/>
      <c r="Z553" s="215"/>
      <c r="AA553" s="215"/>
      <c r="AB553" s="215"/>
      <c r="AC553" s="215"/>
      <c r="AD553" s="215"/>
      <c r="AE553" s="215"/>
      <c r="AF553" s="215"/>
      <c r="AG553" s="215"/>
    </row>
    <row r="554" spans="1:33" ht="13.2">
      <c r="A554" s="215"/>
      <c r="B554" s="215"/>
      <c r="C554" s="215"/>
      <c r="D554" s="215"/>
      <c r="E554" s="21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  <c r="Z554" s="215"/>
      <c r="AA554" s="215"/>
      <c r="AB554" s="215"/>
      <c r="AC554" s="215"/>
      <c r="AD554" s="215"/>
      <c r="AE554" s="215"/>
      <c r="AF554" s="215"/>
      <c r="AG554" s="215"/>
    </row>
    <row r="555" spans="1:33" ht="13.2">
      <c r="A555" s="215"/>
      <c r="B555" s="215"/>
      <c r="C555" s="215"/>
      <c r="D555" s="215"/>
      <c r="E555" s="215"/>
      <c r="F555" s="21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  <c r="Z555" s="215"/>
      <c r="AA555" s="215"/>
      <c r="AB555" s="215"/>
      <c r="AC555" s="215"/>
      <c r="AD555" s="215"/>
      <c r="AE555" s="215"/>
      <c r="AF555" s="215"/>
      <c r="AG555" s="215"/>
    </row>
    <row r="556" spans="1:33" ht="13.2">
      <c r="A556" s="215"/>
      <c r="B556" s="215"/>
      <c r="C556" s="215"/>
      <c r="D556" s="215"/>
      <c r="E556" s="215"/>
      <c r="F556" s="215"/>
      <c r="G556" s="215"/>
      <c r="H556" s="215"/>
      <c r="I556" s="215"/>
      <c r="J556" s="215"/>
      <c r="K556" s="215"/>
      <c r="L556" s="215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215"/>
      <c r="Z556" s="215"/>
      <c r="AA556" s="215"/>
      <c r="AB556" s="215"/>
      <c r="AC556" s="215"/>
      <c r="AD556" s="215"/>
      <c r="AE556" s="215"/>
      <c r="AF556" s="215"/>
      <c r="AG556" s="215"/>
    </row>
    <row r="557" spans="1:33" ht="13.2">
      <c r="A557" s="215"/>
      <c r="B557" s="215"/>
      <c r="C557" s="215"/>
      <c r="D557" s="215"/>
      <c r="E557" s="215"/>
      <c r="F557" s="215"/>
      <c r="G557" s="215"/>
      <c r="H557" s="215"/>
      <c r="I557" s="215"/>
      <c r="J557" s="215"/>
      <c r="K557" s="215"/>
      <c r="L557" s="215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215"/>
      <c r="Z557" s="215"/>
      <c r="AA557" s="215"/>
      <c r="AB557" s="215"/>
      <c r="AC557" s="215"/>
      <c r="AD557" s="215"/>
      <c r="AE557" s="215"/>
      <c r="AF557" s="215"/>
      <c r="AG557" s="215"/>
    </row>
    <row r="558" spans="1:33" ht="13.2">
      <c r="A558" s="215"/>
      <c r="B558" s="215"/>
      <c r="C558" s="215"/>
      <c r="D558" s="215"/>
      <c r="E558" s="215"/>
      <c r="F558" s="215"/>
      <c r="G558" s="215"/>
      <c r="H558" s="215"/>
      <c r="I558" s="215"/>
      <c r="J558" s="215"/>
      <c r="K558" s="215"/>
      <c r="L558" s="215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215"/>
      <c r="Z558" s="215"/>
      <c r="AA558" s="215"/>
      <c r="AB558" s="215"/>
      <c r="AC558" s="215"/>
      <c r="AD558" s="215"/>
      <c r="AE558" s="215"/>
      <c r="AF558" s="215"/>
      <c r="AG558" s="215"/>
    </row>
    <row r="559" spans="1:33" ht="13.2">
      <c r="A559" s="215"/>
      <c r="B559" s="215"/>
      <c r="C559" s="215"/>
      <c r="D559" s="215"/>
      <c r="E559" s="215"/>
      <c r="F559" s="215"/>
      <c r="G559" s="215"/>
      <c r="H559" s="215"/>
      <c r="I559" s="215"/>
      <c r="J559" s="215"/>
      <c r="K559" s="215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215"/>
      <c r="Z559" s="215"/>
      <c r="AA559" s="215"/>
      <c r="AB559" s="215"/>
      <c r="AC559" s="215"/>
      <c r="AD559" s="215"/>
      <c r="AE559" s="215"/>
      <c r="AF559" s="215"/>
      <c r="AG559" s="215"/>
    </row>
    <row r="560" spans="1:33" ht="13.2">
      <c r="A560" s="215"/>
      <c r="B560" s="215"/>
      <c r="C560" s="215"/>
      <c r="D560" s="215"/>
      <c r="E560" s="21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215"/>
      <c r="AA560" s="215"/>
      <c r="AB560" s="215"/>
      <c r="AC560" s="215"/>
      <c r="AD560" s="215"/>
      <c r="AE560" s="215"/>
      <c r="AF560" s="215"/>
      <c r="AG560" s="215"/>
    </row>
    <row r="561" spans="1:33" ht="13.2">
      <c r="A561" s="215"/>
      <c r="B561" s="215"/>
      <c r="C561" s="215"/>
      <c r="D561" s="215"/>
      <c r="E561" s="215"/>
      <c r="F561" s="21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  <c r="Z561" s="215"/>
      <c r="AA561" s="215"/>
      <c r="AB561" s="215"/>
      <c r="AC561" s="215"/>
      <c r="AD561" s="215"/>
      <c r="AE561" s="215"/>
      <c r="AF561" s="215"/>
      <c r="AG561" s="215"/>
    </row>
    <row r="562" spans="1:33" ht="13.2">
      <c r="A562" s="215"/>
      <c r="B562" s="215"/>
      <c r="C562" s="215"/>
      <c r="D562" s="215"/>
      <c r="E562" s="215"/>
      <c r="F562" s="215"/>
      <c r="G562" s="215"/>
      <c r="H562" s="215"/>
      <c r="I562" s="215"/>
      <c r="J562" s="215"/>
      <c r="K562" s="215"/>
      <c r="L562" s="215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215"/>
      <c r="Z562" s="215"/>
      <c r="AA562" s="215"/>
      <c r="AB562" s="215"/>
      <c r="AC562" s="215"/>
      <c r="AD562" s="215"/>
      <c r="AE562" s="215"/>
      <c r="AF562" s="215"/>
      <c r="AG562" s="215"/>
    </row>
    <row r="563" spans="1:33" ht="13.2">
      <c r="A563" s="215"/>
      <c r="B563" s="215"/>
      <c r="C563" s="215"/>
      <c r="D563" s="215"/>
      <c r="E563" s="215"/>
      <c r="F563" s="215"/>
      <c r="G563" s="215"/>
      <c r="H563" s="215"/>
      <c r="I563" s="215"/>
      <c r="J563" s="215"/>
      <c r="K563" s="215"/>
      <c r="L563" s="215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215"/>
      <c r="Z563" s="215"/>
      <c r="AA563" s="215"/>
      <c r="AB563" s="215"/>
      <c r="AC563" s="215"/>
      <c r="AD563" s="215"/>
      <c r="AE563" s="215"/>
      <c r="AF563" s="215"/>
      <c r="AG563" s="215"/>
    </row>
    <row r="564" spans="1:33" ht="13.2">
      <c r="A564" s="215"/>
      <c r="B564" s="215"/>
      <c r="C564" s="215"/>
      <c r="D564" s="215"/>
      <c r="E564" s="215"/>
      <c r="F564" s="215"/>
      <c r="G564" s="215"/>
      <c r="H564" s="215"/>
      <c r="I564" s="215"/>
      <c r="J564" s="215"/>
      <c r="K564" s="215"/>
      <c r="L564" s="215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215"/>
      <c r="Z564" s="215"/>
      <c r="AA564" s="215"/>
      <c r="AB564" s="215"/>
      <c r="AC564" s="215"/>
      <c r="AD564" s="215"/>
      <c r="AE564" s="215"/>
      <c r="AF564" s="215"/>
      <c r="AG564" s="215"/>
    </row>
    <row r="565" spans="1:33" ht="13.2">
      <c r="A565" s="215"/>
      <c r="B565" s="215"/>
      <c r="C565" s="215"/>
      <c r="D565" s="215"/>
      <c r="E565" s="215"/>
      <c r="F565" s="215"/>
      <c r="G565" s="215"/>
      <c r="H565" s="215"/>
      <c r="I565" s="215"/>
      <c r="J565" s="215"/>
      <c r="K565" s="215"/>
      <c r="L565" s="215"/>
      <c r="M565" s="215"/>
      <c r="N565" s="215"/>
      <c r="O565" s="215"/>
      <c r="P565" s="215"/>
      <c r="Q565" s="215"/>
      <c r="R565" s="215"/>
      <c r="S565" s="215"/>
      <c r="T565" s="215"/>
      <c r="U565" s="215"/>
      <c r="V565" s="215"/>
      <c r="W565" s="215"/>
      <c r="X565" s="215"/>
      <c r="Y565" s="215"/>
      <c r="Z565" s="215"/>
      <c r="AA565" s="215"/>
      <c r="AB565" s="215"/>
      <c r="AC565" s="215"/>
      <c r="AD565" s="215"/>
      <c r="AE565" s="215"/>
      <c r="AF565" s="215"/>
      <c r="AG565" s="215"/>
    </row>
    <row r="566" spans="1:33" ht="13.2">
      <c r="A566" s="215"/>
      <c r="B566" s="215"/>
      <c r="C566" s="215"/>
      <c r="D566" s="215"/>
      <c r="E566" s="215"/>
      <c r="F566" s="215"/>
      <c r="G566" s="215"/>
      <c r="H566" s="215"/>
      <c r="I566" s="215"/>
      <c r="J566" s="215"/>
      <c r="K566" s="215"/>
      <c r="L566" s="215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215"/>
      <c r="Z566" s="215"/>
      <c r="AA566" s="215"/>
      <c r="AB566" s="215"/>
      <c r="AC566" s="215"/>
      <c r="AD566" s="215"/>
      <c r="AE566" s="215"/>
      <c r="AF566" s="215"/>
      <c r="AG566" s="215"/>
    </row>
    <row r="567" spans="1:33" ht="13.2">
      <c r="A567" s="215"/>
      <c r="B567" s="215"/>
      <c r="C567" s="215"/>
      <c r="D567" s="215"/>
      <c r="E567" s="215"/>
      <c r="F567" s="215"/>
      <c r="G567" s="215"/>
      <c r="H567" s="215"/>
      <c r="I567" s="215"/>
      <c r="J567" s="215"/>
      <c r="K567" s="215"/>
      <c r="L567" s="215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215"/>
      <c r="Z567" s="215"/>
      <c r="AA567" s="215"/>
      <c r="AB567" s="215"/>
      <c r="AC567" s="215"/>
      <c r="AD567" s="215"/>
      <c r="AE567" s="215"/>
      <c r="AF567" s="215"/>
      <c r="AG567" s="215"/>
    </row>
    <row r="568" spans="1:33" ht="13.2">
      <c r="A568" s="215"/>
      <c r="B568" s="215"/>
      <c r="C568" s="215"/>
      <c r="D568" s="215"/>
      <c r="E568" s="215"/>
      <c r="F568" s="215"/>
      <c r="G568" s="215"/>
      <c r="H568" s="215"/>
      <c r="I568" s="215"/>
      <c r="J568" s="215"/>
      <c r="K568" s="215"/>
      <c r="L568" s="215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215"/>
      <c r="Z568" s="215"/>
      <c r="AA568" s="215"/>
      <c r="AB568" s="215"/>
      <c r="AC568" s="215"/>
      <c r="AD568" s="215"/>
      <c r="AE568" s="215"/>
      <c r="AF568" s="215"/>
      <c r="AG568" s="215"/>
    </row>
    <row r="569" spans="1:33" ht="13.2">
      <c r="A569" s="215"/>
      <c r="B569" s="215"/>
      <c r="C569" s="215"/>
      <c r="D569" s="215"/>
      <c r="E569" s="215"/>
      <c r="F569" s="215"/>
      <c r="G569" s="215"/>
      <c r="H569" s="215"/>
      <c r="I569" s="215"/>
      <c r="J569" s="215"/>
      <c r="K569" s="215"/>
      <c r="L569" s="215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215"/>
      <c r="Z569" s="215"/>
      <c r="AA569" s="215"/>
      <c r="AB569" s="215"/>
      <c r="AC569" s="215"/>
      <c r="AD569" s="215"/>
      <c r="AE569" s="215"/>
      <c r="AF569" s="215"/>
      <c r="AG569" s="215"/>
    </row>
    <row r="570" spans="1:33" ht="13.2">
      <c r="A570" s="215"/>
      <c r="B570" s="215"/>
      <c r="C570" s="215"/>
      <c r="D570" s="215"/>
      <c r="E570" s="21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  <c r="AA570" s="215"/>
      <c r="AB570" s="215"/>
      <c r="AC570" s="215"/>
      <c r="AD570" s="215"/>
      <c r="AE570" s="215"/>
      <c r="AF570" s="215"/>
      <c r="AG570" s="215"/>
    </row>
    <row r="571" spans="1:33" ht="13.2">
      <c r="A571" s="215"/>
      <c r="B571" s="215"/>
      <c r="C571" s="215"/>
      <c r="D571" s="215"/>
      <c r="E571" s="215"/>
      <c r="F571" s="215"/>
      <c r="G571" s="215"/>
      <c r="H571" s="215"/>
      <c r="I571" s="215"/>
      <c r="J571" s="215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  <c r="Z571" s="215"/>
      <c r="AA571" s="215"/>
      <c r="AB571" s="215"/>
      <c r="AC571" s="215"/>
      <c r="AD571" s="215"/>
      <c r="AE571" s="215"/>
      <c r="AF571" s="215"/>
      <c r="AG571" s="215"/>
    </row>
    <row r="572" spans="1:33" ht="13.2">
      <c r="A572" s="215"/>
      <c r="B572" s="215"/>
      <c r="C572" s="215"/>
      <c r="D572" s="215"/>
      <c r="E572" s="215"/>
      <c r="F572" s="215"/>
      <c r="G572" s="215"/>
      <c r="H572" s="215"/>
      <c r="I572" s="215"/>
      <c r="J572" s="215"/>
      <c r="K572" s="215"/>
      <c r="L572" s="215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215"/>
      <c r="Z572" s="215"/>
      <c r="AA572" s="215"/>
      <c r="AB572" s="215"/>
      <c r="AC572" s="215"/>
      <c r="AD572" s="215"/>
      <c r="AE572" s="215"/>
      <c r="AF572" s="215"/>
      <c r="AG572" s="215"/>
    </row>
    <row r="573" spans="1:33" ht="13.2">
      <c r="A573" s="215"/>
      <c r="B573" s="215"/>
      <c r="C573" s="215"/>
      <c r="D573" s="215"/>
      <c r="E573" s="215"/>
      <c r="F573" s="215"/>
      <c r="G573" s="215"/>
      <c r="H573" s="215"/>
      <c r="I573" s="215"/>
      <c r="J573" s="215"/>
      <c r="K573" s="215"/>
      <c r="L573" s="215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215"/>
      <c r="Z573" s="215"/>
      <c r="AA573" s="215"/>
      <c r="AB573" s="215"/>
      <c r="AC573" s="215"/>
      <c r="AD573" s="215"/>
      <c r="AE573" s="215"/>
      <c r="AF573" s="215"/>
      <c r="AG573" s="215"/>
    </row>
    <row r="574" spans="1:33" ht="13.2">
      <c r="A574" s="215"/>
      <c r="B574" s="215"/>
      <c r="C574" s="215"/>
      <c r="D574" s="215"/>
      <c r="E574" s="215"/>
      <c r="F574" s="215"/>
      <c r="G574" s="215"/>
      <c r="H574" s="215"/>
      <c r="I574" s="215"/>
      <c r="J574" s="215"/>
      <c r="K574" s="215"/>
      <c r="L574" s="215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215"/>
      <c r="Z574" s="215"/>
      <c r="AA574" s="215"/>
      <c r="AB574" s="215"/>
      <c r="AC574" s="215"/>
      <c r="AD574" s="215"/>
      <c r="AE574" s="215"/>
      <c r="AF574" s="215"/>
      <c r="AG574" s="215"/>
    </row>
    <row r="575" spans="1:33" ht="13.2">
      <c r="A575" s="215"/>
      <c r="B575" s="215"/>
      <c r="C575" s="215"/>
      <c r="D575" s="215"/>
      <c r="E575" s="215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  <c r="Z575" s="215"/>
      <c r="AA575" s="215"/>
      <c r="AB575" s="215"/>
      <c r="AC575" s="215"/>
      <c r="AD575" s="215"/>
      <c r="AE575" s="215"/>
      <c r="AF575" s="215"/>
      <c r="AG575" s="215"/>
    </row>
    <row r="576" spans="1:33" ht="13.2">
      <c r="A576" s="215"/>
      <c r="B576" s="215"/>
      <c r="C576" s="215"/>
      <c r="D576" s="215"/>
      <c r="E576" s="215"/>
      <c r="F576" s="215"/>
      <c r="G576" s="215"/>
      <c r="H576" s="215"/>
      <c r="I576" s="215"/>
      <c r="J576" s="215"/>
      <c r="K576" s="215"/>
      <c r="L576" s="215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215"/>
      <c r="Z576" s="215"/>
      <c r="AA576" s="215"/>
      <c r="AB576" s="215"/>
      <c r="AC576" s="215"/>
      <c r="AD576" s="215"/>
      <c r="AE576" s="215"/>
      <c r="AF576" s="215"/>
      <c r="AG576" s="215"/>
    </row>
    <row r="577" spans="1:33" ht="13.2">
      <c r="A577" s="215"/>
      <c r="B577" s="215"/>
      <c r="C577" s="215"/>
      <c r="D577" s="215"/>
      <c r="E577" s="215"/>
      <c r="F577" s="21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215"/>
      <c r="Z577" s="215"/>
      <c r="AA577" s="215"/>
      <c r="AB577" s="215"/>
      <c r="AC577" s="215"/>
      <c r="AD577" s="215"/>
      <c r="AE577" s="215"/>
      <c r="AF577" s="215"/>
      <c r="AG577" s="215"/>
    </row>
    <row r="578" spans="1:33" ht="13.2">
      <c r="A578" s="215"/>
      <c r="B578" s="215"/>
      <c r="C578" s="215"/>
      <c r="D578" s="215"/>
      <c r="E578" s="215"/>
      <c r="F578" s="215"/>
      <c r="G578" s="215"/>
      <c r="H578" s="215"/>
      <c r="I578" s="215"/>
      <c r="J578" s="215"/>
      <c r="K578" s="215"/>
      <c r="L578" s="215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215"/>
      <c r="Z578" s="215"/>
      <c r="AA578" s="215"/>
      <c r="AB578" s="215"/>
      <c r="AC578" s="215"/>
      <c r="AD578" s="215"/>
      <c r="AE578" s="215"/>
      <c r="AF578" s="215"/>
      <c r="AG578" s="215"/>
    </row>
    <row r="579" spans="1:33" ht="13.2">
      <c r="A579" s="215"/>
      <c r="B579" s="215"/>
      <c r="C579" s="215"/>
      <c r="D579" s="215"/>
      <c r="E579" s="215"/>
      <c r="F579" s="215"/>
      <c r="G579" s="215"/>
      <c r="H579" s="215"/>
      <c r="I579" s="215"/>
      <c r="J579" s="215"/>
      <c r="K579" s="215"/>
      <c r="L579" s="215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215"/>
      <c r="Z579" s="215"/>
      <c r="AA579" s="215"/>
      <c r="AB579" s="215"/>
      <c r="AC579" s="215"/>
      <c r="AD579" s="215"/>
      <c r="AE579" s="215"/>
      <c r="AF579" s="215"/>
      <c r="AG579" s="215"/>
    </row>
    <row r="580" spans="1:33" ht="13.2">
      <c r="A580" s="215"/>
      <c r="B580" s="215"/>
      <c r="C580" s="215"/>
      <c r="D580" s="215"/>
      <c r="E580" s="215"/>
      <c r="F580" s="215"/>
      <c r="G580" s="215"/>
      <c r="H580" s="215"/>
      <c r="I580" s="215"/>
      <c r="J580" s="215"/>
      <c r="K580" s="215"/>
      <c r="L580" s="215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215"/>
      <c r="Z580" s="215"/>
      <c r="AA580" s="215"/>
      <c r="AB580" s="215"/>
      <c r="AC580" s="215"/>
      <c r="AD580" s="215"/>
      <c r="AE580" s="215"/>
      <c r="AF580" s="215"/>
      <c r="AG580" s="215"/>
    </row>
    <row r="581" spans="1:33" ht="13.2">
      <c r="A581" s="215"/>
      <c r="B581" s="215"/>
      <c r="C581" s="215"/>
      <c r="D581" s="215"/>
      <c r="E581" s="215"/>
      <c r="F581" s="215"/>
      <c r="G581" s="215"/>
      <c r="H581" s="215"/>
      <c r="I581" s="215"/>
      <c r="J581" s="215"/>
      <c r="K581" s="215"/>
      <c r="L581" s="215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215"/>
      <c r="Z581" s="215"/>
      <c r="AA581" s="215"/>
      <c r="AB581" s="215"/>
      <c r="AC581" s="215"/>
      <c r="AD581" s="215"/>
      <c r="AE581" s="215"/>
      <c r="AF581" s="215"/>
      <c r="AG581" s="215"/>
    </row>
    <row r="582" spans="1:33" ht="13.2">
      <c r="A582" s="215"/>
      <c r="B582" s="215"/>
      <c r="C582" s="215"/>
      <c r="D582" s="215"/>
      <c r="E582" s="215"/>
      <c r="F582" s="215"/>
      <c r="G582" s="215"/>
      <c r="H582" s="215"/>
      <c r="I582" s="215"/>
      <c r="J582" s="215"/>
      <c r="K582" s="215"/>
      <c r="L582" s="215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215"/>
      <c r="Z582" s="215"/>
      <c r="AA582" s="215"/>
      <c r="AB582" s="215"/>
      <c r="AC582" s="215"/>
      <c r="AD582" s="215"/>
      <c r="AE582" s="215"/>
      <c r="AF582" s="215"/>
      <c r="AG582" s="215"/>
    </row>
    <row r="583" spans="1:33" ht="13.2">
      <c r="A583" s="215"/>
      <c r="B583" s="215"/>
      <c r="C583" s="215"/>
      <c r="D583" s="215"/>
      <c r="E583" s="215"/>
      <c r="F583" s="215"/>
      <c r="G583" s="215"/>
      <c r="H583" s="215"/>
      <c r="I583" s="215"/>
      <c r="J583" s="215"/>
      <c r="K583" s="215"/>
      <c r="L583" s="215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215"/>
      <c r="Z583" s="215"/>
      <c r="AA583" s="215"/>
      <c r="AB583" s="215"/>
      <c r="AC583" s="215"/>
      <c r="AD583" s="215"/>
      <c r="AE583" s="215"/>
      <c r="AF583" s="215"/>
      <c r="AG583" s="215"/>
    </row>
    <row r="584" spans="1:33" ht="13.2">
      <c r="A584" s="215"/>
      <c r="B584" s="215"/>
      <c r="C584" s="215"/>
      <c r="D584" s="215"/>
      <c r="E584" s="215"/>
      <c r="F584" s="215"/>
      <c r="G584" s="215"/>
      <c r="H584" s="215"/>
      <c r="I584" s="215"/>
      <c r="J584" s="215"/>
      <c r="K584" s="215"/>
      <c r="L584" s="215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215"/>
      <c r="Z584" s="215"/>
      <c r="AA584" s="215"/>
      <c r="AB584" s="215"/>
      <c r="AC584" s="215"/>
      <c r="AD584" s="215"/>
      <c r="AE584" s="215"/>
      <c r="AF584" s="215"/>
      <c r="AG584" s="215"/>
    </row>
    <row r="585" spans="1:33" ht="13.2">
      <c r="A585" s="215"/>
      <c r="B585" s="215"/>
      <c r="C585" s="215"/>
      <c r="D585" s="215"/>
      <c r="E585" s="215"/>
      <c r="F585" s="215"/>
      <c r="G585" s="215"/>
      <c r="H585" s="215"/>
      <c r="I585" s="215"/>
      <c r="J585" s="215"/>
      <c r="K585" s="215"/>
      <c r="L585" s="215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215"/>
      <c r="Z585" s="215"/>
      <c r="AA585" s="215"/>
      <c r="AB585" s="215"/>
      <c r="AC585" s="215"/>
      <c r="AD585" s="215"/>
      <c r="AE585" s="215"/>
      <c r="AF585" s="215"/>
      <c r="AG585" s="215"/>
    </row>
    <row r="586" spans="1:33" ht="13.2">
      <c r="A586" s="215"/>
      <c r="B586" s="215"/>
      <c r="C586" s="215"/>
      <c r="D586" s="215"/>
      <c r="E586" s="215"/>
      <c r="F586" s="21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215"/>
      <c r="Z586" s="215"/>
      <c r="AA586" s="215"/>
      <c r="AB586" s="215"/>
      <c r="AC586" s="215"/>
      <c r="AD586" s="215"/>
      <c r="AE586" s="215"/>
      <c r="AF586" s="215"/>
      <c r="AG586" s="215"/>
    </row>
    <row r="587" spans="1:33" ht="13.2">
      <c r="A587" s="215"/>
      <c r="B587" s="215"/>
      <c r="C587" s="215"/>
      <c r="D587" s="215"/>
      <c r="E587" s="215"/>
      <c r="F587" s="215"/>
      <c r="G587" s="215"/>
      <c r="H587" s="215"/>
      <c r="I587" s="215"/>
      <c r="J587" s="215"/>
      <c r="K587" s="215"/>
      <c r="L587" s="215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215"/>
      <c r="Z587" s="215"/>
      <c r="AA587" s="215"/>
      <c r="AB587" s="215"/>
      <c r="AC587" s="215"/>
      <c r="AD587" s="215"/>
      <c r="AE587" s="215"/>
      <c r="AF587" s="215"/>
      <c r="AG587" s="215"/>
    </row>
    <row r="588" spans="1:33" ht="13.2">
      <c r="A588" s="215"/>
      <c r="B588" s="215"/>
      <c r="C588" s="215"/>
      <c r="D588" s="215"/>
      <c r="E588" s="215"/>
      <c r="F588" s="215"/>
      <c r="G588" s="215"/>
      <c r="H588" s="215"/>
      <c r="I588" s="215"/>
      <c r="J588" s="215"/>
      <c r="K588" s="215"/>
      <c r="L588" s="215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215"/>
      <c r="Z588" s="215"/>
      <c r="AA588" s="215"/>
      <c r="AB588" s="215"/>
      <c r="AC588" s="215"/>
      <c r="AD588" s="215"/>
      <c r="AE588" s="215"/>
      <c r="AF588" s="215"/>
      <c r="AG588" s="215"/>
    </row>
    <row r="589" spans="1:33" ht="13.2">
      <c r="A589" s="215"/>
      <c r="B589" s="215"/>
      <c r="C589" s="215"/>
      <c r="D589" s="215"/>
      <c r="E589" s="215"/>
      <c r="F589" s="21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215"/>
      <c r="Z589" s="215"/>
      <c r="AA589" s="215"/>
      <c r="AB589" s="215"/>
      <c r="AC589" s="215"/>
      <c r="AD589" s="215"/>
      <c r="AE589" s="215"/>
      <c r="AF589" s="215"/>
      <c r="AG589" s="215"/>
    </row>
    <row r="590" spans="1:33" ht="13.2">
      <c r="A590" s="215"/>
      <c r="B590" s="215"/>
      <c r="C590" s="215"/>
      <c r="D590" s="215"/>
      <c r="E590" s="215"/>
      <c r="F590" s="215"/>
      <c r="G590" s="215"/>
      <c r="H590" s="215"/>
      <c r="I590" s="215"/>
      <c r="J590" s="215"/>
      <c r="K590" s="215"/>
      <c r="L590" s="215"/>
      <c r="M590" s="215"/>
      <c r="N590" s="215"/>
      <c r="O590" s="215"/>
      <c r="P590" s="215"/>
      <c r="Q590" s="215"/>
      <c r="R590" s="215"/>
      <c r="S590" s="215"/>
      <c r="T590" s="215"/>
      <c r="U590" s="215"/>
      <c r="V590" s="215"/>
      <c r="W590" s="215"/>
      <c r="X590" s="215"/>
      <c r="Y590" s="215"/>
      <c r="Z590" s="215"/>
      <c r="AA590" s="215"/>
      <c r="AB590" s="215"/>
      <c r="AC590" s="215"/>
      <c r="AD590" s="215"/>
      <c r="AE590" s="215"/>
      <c r="AF590" s="215"/>
      <c r="AG590" s="215"/>
    </row>
    <row r="591" spans="1:33" ht="13.2">
      <c r="A591" s="215"/>
      <c r="B591" s="215"/>
      <c r="C591" s="215"/>
      <c r="D591" s="215"/>
      <c r="E591" s="215"/>
      <c r="F591" s="215"/>
      <c r="G591" s="215"/>
      <c r="H591" s="215"/>
      <c r="I591" s="215"/>
      <c r="J591" s="215"/>
      <c r="K591" s="215"/>
      <c r="L591" s="215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215"/>
      <c r="Z591" s="215"/>
      <c r="AA591" s="215"/>
      <c r="AB591" s="215"/>
      <c r="AC591" s="215"/>
      <c r="AD591" s="215"/>
      <c r="AE591" s="215"/>
      <c r="AF591" s="215"/>
      <c r="AG591" s="215"/>
    </row>
    <row r="592" spans="1:33" ht="13.2">
      <c r="A592" s="215"/>
      <c r="B592" s="215"/>
      <c r="C592" s="215"/>
      <c r="D592" s="215"/>
      <c r="E592" s="215"/>
      <c r="F592" s="215"/>
      <c r="G592" s="215"/>
      <c r="H592" s="215"/>
      <c r="I592" s="215"/>
      <c r="J592" s="215"/>
      <c r="K592" s="215"/>
      <c r="L592" s="215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215"/>
      <c r="Z592" s="215"/>
      <c r="AA592" s="215"/>
      <c r="AB592" s="215"/>
      <c r="AC592" s="215"/>
      <c r="AD592" s="215"/>
      <c r="AE592" s="215"/>
      <c r="AF592" s="215"/>
      <c r="AG592" s="215"/>
    </row>
    <row r="593" spans="1:33" ht="13.2">
      <c r="A593" s="215"/>
      <c r="B593" s="215"/>
      <c r="C593" s="215"/>
      <c r="D593" s="215"/>
      <c r="E593" s="215"/>
      <c r="F593" s="215"/>
      <c r="G593" s="215"/>
      <c r="H593" s="215"/>
      <c r="I593" s="215"/>
      <c r="J593" s="215"/>
      <c r="K593" s="215"/>
      <c r="L593" s="215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215"/>
      <c r="Z593" s="215"/>
      <c r="AA593" s="215"/>
      <c r="AB593" s="215"/>
      <c r="AC593" s="215"/>
      <c r="AD593" s="215"/>
      <c r="AE593" s="215"/>
      <c r="AF593" s="215"/>
      <c r="AG593" s="215"/>
    </row>
    <row r="594" spans="1:33" ht="13.2">
      <c r="A594" s="215"/>
      <c r="B594" s="215"/>
      <c r="C594" s="215"/>
      <c r="D594" s="215"/>
      <c r="E594" s="215"/>
      <c r="F594" s="215"/>
      <c r="G594" s="215"/>
      <c r="H594" s="215"/>
      <c r="I594" s="215"/>
      <c r="J594" s="215"/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215"/>
      <c r="Z594" s="215"/>
      <c r="AA594" s="215"/>
      <c r="AB594" s="215"/>
      <c r="AC594" s="215"/>
      <c r="AD594" s="215"/>
      <c r="AE594" s="215"/>
      <c r="AF594" s="215"/>
      <c r="AG594" s="215"/>
    </row>
    <row r="595" spans="1:33" ht="13.2">
      <c r="A595" s="215"/>
      <c r="B595" s="215"/>
      <c r="C595" s="215"/>
      <c r="D595" s="215"/>
      <c r="E595" s="215"/>
      <c r="F595" s="21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  <c r="Z595" s="215"/>
      <c r="AA595" s="215"/>
      <c r="AB595" s="215"/>
      <c r="AC595" s="215"/>
      <c r="AD595" s="215"/>
      <c r="AE595" s="215"/>
      <c r="AF595" s="215"/>
      <c r="AG595" s="215"/>
    </row>
    <row r="596" spans="1:33" ht="13.2">
      <c r="A596" s="215"/>
      <c r="B596" s="215"/>
      <c r="C596" s="215"/>
      <c r="D596" s="215"/>
      <c r="E596" s="215"/>
      <c r="F596" s="215"/>
      <c r="G596" s="215"/>
      <c r="H596" s="215"/>
      <c r="I596" s="215"/>
      <c r="J596" s="215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  <c r="Z596" s="215"/>
      <c r="AA596" s="215"/>
      <c r="AB596" s="215"/>
      <c r="AC596" s="215"/>
      <c r="AD596" s="215"/>
      <c r="AE596" s="215"/>
      <c r="AF596" s="215"/>
      <c r="AG596" s="215"/>
    </row>
    <row r="597" spans="1:33" ht="13.2">
      <c r="A597" s="215"/>
      <c r="B597" s="215"/>
      <c r="C597" s="215"/>
      <c r="D597" s="215"/>
      <c r="E597" s="215"/>
      <c r="F597" s="21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  <c r="Z597" s="215"/>
      <c r="AA597" s="215"/>
      <c r="AB597" s="215"/>
      <c r="AC597" s="215"/>
      <c r="AD597" s="215"/>
      <c r="AE597" s="215"/>
      <c r="AF597" s="215"/>
      <c r="AG597" s="215"/>
    </row>
    <row r="598" spans="1:33" ht="13.2">
      <c r="A598" s="215"/>
      <c r="B598" s="215"/>
      <c r="C598" s="215"/>
      <c r="D598" s="215"/>
      <c r="E598" s="215"/>
      <c r="F598" s="21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  <c r="Z598" s="215"/>
      <c r="AA598" s="215"/>
      <c r="AB598" s="215"/>
      <c r="AC598" s="215"/>
      <c r="AD598" s="215"/>
      <c r="AE598" s="215"/>
      <c r="AF598" s="215"/>
      <c r="AG598" s="215"/>
    </row>
    <row r="599" spans="1:33" ht="13.2">
      <c r="A599" s="215"/>
      <c r="B599" s="215"/>
      <c r="C599" s="215"/>
      <c r="D599" s="215"/>
      <c r="E599" s="215"/>
      <c r="F599" s="215"/>
      <c r="G599" s="215"/>
      <c r="H599" s="215"/>
      <c r="I599" s="215"/>
      <c r="J599" s="215"/>
      <c r="K599" s="215"/>
      <c r="L599" s="215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215"/>
      <c r="Z599" s="215"/>
      <c r="AA599" s="215"/>
      <c r="AB599" s="215"/>
      <c r="AC599" s="215"/>
      <c r="AD599" s="215"/>
      <c r="AE599" s="215"/>
      <c r="AF599" s="215"/>
      <c r="AG599" s="215"/>
    </row>
    <row r="600" spans="1:33" ht="13.2">
      <c r="A600" s="215"/>
      <c r="B600" s="215"/>
      <c r="C600" s="215"/>
      <c r="D600" s="215"/>
      <c r="E600" s="215"/>
      <c r="F600" s="21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  <c r="AA600" s="215"/>
      <c r="AB600" s="215"/>
      <c r="AC600" s="215"/>
      <c r="AD600" s="215"/>
      <c r="AE600" s="215"/>
      <c r="AF600" s="215"/>
      <c r="AG600" s="215"/>
    </row>
    <row r="601" spans="1:33" ht="13.2">
      <c r="A601" s="215"/>
      <c r="B601" s="215"/>
      <c r="C601" s="215"/>
      <c r="D601" s="215"/>
      <c r="E601" s="215"/>
      <c r="F601" s="21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  <c r="Z601" s="215"/>
      <c r="AA601" s="215"/>
      <c r="AB601" s="215"/>
      <c r="AC601" s="215"/>
      <c r="AD601" s="215"/>
      <c r="AE601" s="215"/>
      <c r="AF601" s="215"/>
      <c r="AG601" s="215"/>
    </row>
    <row r="602" spans="1:33" ht="13.2">
      <c r="A602" s="215"/>
      <c r="B602" s="215"/>
      <c r="C602" s="215"/>
      <c r="D602" s="215"/>
      <c r="E602" s="215"/>
      <c r="F602" s="215"/>
      <c r="G602" s="215"/>
      <c r="H602" s="215"/>
      <c r="I602" s="215"/>
      <c r="J602" s="215"/>
      <c r="K602" s="215"/>
      <c r="L602" s="215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215"/>
      <c r="Z602" s="215"/>
      <c r="AA602" s="215"/>
      <c r="AB602" s="215"/>
      <c r="AC602" s="215"/>
      <c r="AD602" s="215"/>
      <c r="AE602" s="215"/>
      <c r="AF602" s="215"/>
      <c r="AG602" s="215"/>
    </row>
    <row r="603" spans="1:33" ht="13.2">
      <c r="A603" s="215"/>
      <c r="B603" s="215"/>
      <c r="C603" s="215"/>
      <c r="D603" s="215"/>
      <c r="E603" s="215"/>
      <c r="F603" s="21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  <c r="Z603" s="215"/>
      <c r="AA603" s="215"/>
      <c r="AB603" s="215"/>
      <c r="AC603" s="215"/>
      <c r="AD603" s="215"/>
      <c r="AE603" s="215"/>
      <c r="AF603" s="215"/>
      <c r="AG603" s="215"/>
    </row>
    <row r="604" spans="1:33" ht="13.2">
      <c r="A604" s="215"/>
      <c r="B604" s="215"/>
      <c r="C604" s="215"/>
      <c r="D604" s="215"/>
      <c r="E604" s="215"/>
      <c r="F604" s="21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  <c r="Z604" s="215"/>
      <c r="AA604" s="215"/>
      <c r="AB604" s="215"/>
      <c r="AC604" s="215"/>
      <c r="AD604" s="215"/>
      <c r="AE604" s="215"/>
      <c r="AF604" s="215"/>
      <c r="AG604" s="215"/>
    </row>
    <row r="605" spans="1:33" ht="13.2">
      <c r="A605" s="215"/>
      <c r="B605" s="215"/>
      <c r="C605" s="215"/>
      <c r="D605" s="215"/>
      <c r="E605" s="215"/>
      <c r="F605" s="215"/>
      <c r="G605" s="215"/>
      <c r="H605" s="215"/>
      <c r="I605" s="215"/>
      <c r="J605" s="215"/>
      <c r="K605" s="215"/>
      <c r="L605" s="215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215"/>
      <c r="Z605" s="215"/>
      <c r="AA605" s="215"/>
      <c r="AB605" s="215"/>
      <c r="AC605" s="215"/>
      <c r="AD605" s="215"/>
      <c r="AE605" s="215"/>
      <c r="AF605" s="215"/>
      <c r="AG605" s="215"/>
    </row>
    <row r="606" spans="1:33" ht="13.2">
      <c r="A606" s="215"/>
      <c r="B606" s="215"/>
      <c r="C606" s="215"/>
      <c r="D606" s="215"/>
      <c r="E606" s="215"/>
      <c r="F606" s="21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  <c r="Z606" s="215"/>
      <c r="AA606" s="215"/>
      <c r="AB606" s="215"/>
      <c r="AC606" s="215"/>
      <c r="AD606" s="215"/>
      <c r="AE606" s="215"/>
      <c r="AF606" s="215"/>
      <c r="AG606" s="215"/>
    </row>
    <row r="607" spans="1:33" ht="13.2">
      <c r="A607" s="215"/>
      <c r="B607" s="215"/>
      <c r="C607" s="215"/>
      <c r="D607" s="215"/>
      <c r="E607" s="215"/>
      <c r="F607" s="21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  <c r="Z607" s="215"/>
      <c r="AA607" s="215"/>
      <c r="AB607" s="215"/>
      <c r="AC607" s="215"/>
      <c r="AD607" s="215"/>
      <c r="AE607" s="215"/>
      <c r="AF607" s="215"/>
      <c r="AG607" s="215"/>
    </row>
    <row r="608" spans="1:33" ht="13.2">
      <c r="A608" s="215"/>
      <c r="B608" s="215"/>
      <c r="C608" s="215"/>
      <c r="D608" s="215"/>
      <c r="E608" s="215"/>
      <c r="F608" s="21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  <c r="Z608" s="215"/>
      <c r="AA608" s="215"/>
      <c r="AB608" s="215"/>
      <c r="AC608" s="215"/>
      <c r="AD608" s="215"/>
      <c r="AE608" s="215"/>
      <c r="AF608" s="215"/>
      <c r="AG608" s="215"/>
    </row>
    <row r="609" spans="1:33" ht="13.2">
      <c r="A609" s="215"/>
      <c r="B609" s="215"/>
      <c r="C609" s="215"/>
      <c r="D609" s="215"/>
      <c r="E609" s="215"/>
      <c r="F609" s="21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  <c r="Z609" s="215"/>
      <c r="AA609" s="215"/>
      <c r="AB609" s="215"/>
      <c r="AC609" s="215"/>
      <c r="AD609" s="215"/>
      <c r="AE609" s="215"/>
      <c r="AF609" s="215"/>
      <c r="AG609" s="215"/>
    </row>
    <row r="610" spans="1:33" ht="13.2">
      <c r="A610" s="215"/>
      <c r="B610" s="215"/>
      <c r="C610" s="215"/>
      <c r="D610" s="215"/>
      <c r="E610" s="215"/>
      <c r="F610" s="21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  <c r="Z610" s="215"/>
      <c r="AA610" s="215"/>
      <c r="AB610" s="215"/>
      <c r="AC610" s="215"/>
      <c r="AD610" s="215"/>
      <c r="AE610" s="215"/>
      <c r="AF610" s="215"/>
      <c r="AG610" s="215"/>
    </row>
    <row r="611" spans="1:33" ht="13.2">
      <c r="A611" s="215"/>
      <c r="B611" s="215"/>
      <c r="C611" s="215"/>
      <c r="D611" s="215"/>
      <c r="E611" s="215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  <c r="Z611" s="215"/>
      <c r="AA611" s="215"/>
      <c r="AB611" s="215"/>
      <c r="AC611" s="215"/>
      <c r="AD611" s="215"/>
      <c r="AE611" s="215"/>
      <c r="AF611" s="215"/>
      <c r="AG611" s="215"/>
    </row>
    <row r="612" spans="1:33" ht="13.2">
      <c r="A612" s="215"/>
      <c r="B612" s="215"/>
      <c r="C612" s="215"/>
      <c r="D612" s="215"/>
      <c r="E612" s="215"/>
      <c r="F612" s="21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  <c r="Z612" s="215"/>
      <c r="AA612" s="215"/>
      <c r="AB612" s="215"/>
      <c r="AC612" s="215"/>
      <c r="AD612" s="215"/>
      <c r="AE612" s="215"/>
      <c r="AF612" s="215"/>
      <c r="AG612" s="215"/>
    </row>
    <row r="613" spans="1:33" ht="13.2">
      <c r="A613" s="215"/>
      <c r="B613" s="215"/>
      <c r="C613" s="215"/>
      <c r="D613" s="215"/>
      <c r="E613" s="215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  <c r="Z613" s="215"/>
      <c r="AA613" s="215"/>
      <c r="AB613" s="215"/>
      <c r="AC613" s="215"/>
      <c r="AD613" s="215"/>
      <c r="AE613" s="215"/>
      <c r="AF613" s="215"/>
      <c r="AG613" s="215"/>
    </row>
    <row r="614" spans="1:33" ht="13.2">
      <c r="A614" s="215"/>
      <c r="B614" s="215"/>
      <c r="C614" s="215"/>
      <c r="D614" s="215"/>
      <c r="E614" s="215"/>
      <c r="F614" s="215"/>
      <c r="G614" s="215"/>
      <c r="H614" s="215"/>
      <c r="I614" s="215"/>
      <c r="J614" s="215"/>
      <c r="K614" s="215"/>
      <c r="L614" s="215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215"/>
      <c r="Z614" s="215"/>
      <c r="AA614" s="215"/>
      <c r="AB614" s="215"/>
      <c r="AC614" s="215"/>
      <c r="AD614" s="215"/>
      <c r="AE614" s="215"/>
      <c r="AF614" s="215"/>
      <c r="AG614" s="215"/>
    </row>
    <row r="615" spans="1:33" ht="13.2">
      <c r="A615" s="215"/>
      <c r="B615" s="215"/>
      <c r="C615" s="215"/>
      <c r="D615" s="215"/>
      <c r="E615" s="215"/>
      <c r="F615" s="215"/>
      <c r="G615" s="215"/>
      <c r="H615" s="215"/>
      <c r="I615" s="215"/>
      <c r="J615" s="215"/>
      <c r="K615" s="215"/>
      <c r="L615" s="215"/>
      <c r="M615" s="215"/>
      <c r="N615" s="215"/>
      <c r="O615" s="215"/>
      <c r="P615" s="215"/>
      <c r="Q615" s="215"/>
      <c r="R615" s="215"/>
      <c r="S615" s="215"/>
      <c r="T615" s="215"/>
      <c r="U615" s="215"/>
      <c r="V615" s="215"/>
      <c r="W615" s="215"/>
      <c r="X615" s="215"/>
      <c r="Y615" s="215"/>
      <c r="Z615" s="215"/>
      <c r="AA615" s="215"/>
      <c r="AB615" s="215"/>
      <c r="AC615" s="215"/>
      <c r="AD615" s="215"/>
      <c r="AE615" s="215"/>
      <c r="AF615" s="215"/>
      <c r="AG615" s="215"/>
    </row>
    <row r="616" spans="1:33" ht="13.2">
      <c r="A616" s="215"/>
      <c r="B616" s="215"/>
      <c r="C616" s="215"/>
      <c r="D616" s="215"/>
      <c r="E616" s="215"/>
      <c r="F616" s="215"/>
      <c r="G616" s="215"/>
      <c r="H616" s="215"/>
      <c r="I616" s="215"/>
      <c r="J616" s="215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  <c r="AA616" s="215"/>
      <c r="AB616" s="215"/>
      <c r="AC616" s="215"/>
      <c r="AD616" s="215"/>
      <c r="AE616" s="215"/>
      <c r="AF616" s="215"/>
      <c r="AG616" s="215"/>
    </row>
    <row r="617" spans="1:33" ht="13.2">
      <c r="A617" s="215"/>
      <c r="B617" s="215"/>
      <c r="C617" s="215"/>
      <c r="D617" s="215"/>
      <c r="E617" s="215"/>
      <c r="F617" s="215"/>
      <c r="G617" s="215"/>
      <c r="H617" s="215"/>
      <c r="I617" s="215"/>
      <c r="J617" s="215"/>
      <c r="K617" s="215"/>
      <c r="L617" s="215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  <c r="AA617" s="215"/>
      <c r="AB617" s="215"/>
      <c r="AC617" s="215"/>
      <c r="AD617" s="215"/>
      <c r="AE617" s="215"/>
      <c r="AF617" s="215"/>
      <c r="AG617" s="215"/>
    </row>
    <row r="618" spans="1:33" ht="13.2">
      <c r="A618" s="215"/>
      <c r="B618" s="215"/>
      <c r="C618" s="215"/>
      <c r="D618" s="215"/>
      <c r="E618" s="215"/>
      <c r="F618" s="215"/>
      <c r="G618" s="215"/>
      <c r="H618" s="215"/>
      <c r="I618" s="215"/>
      <c r="J618" s="215"/>
      <c r="K618" s="215"/>
      <c r="L618" s="215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215"/>
      <c r="Z618" s="215"/>
      <c r="AA618" s="215"/>
      <c r="AB618" s="215"/>
      <c r="AC618" s="215"/>
      <c r="AD618" s="215"/>
      <c r="AE618" s="215"/>
      <c r="AF618" s="215"/>
      <c r="AG618" s="215"/>
    </row>
    <row r="619" spans="1:33" ht="13.2">
      <c r="A619" s="215"/>
      <c r="B619" s="215"/>
      <c r="C619" s="215"/>
      <c r="D619" s="215"/>
      <c r="E619" s="215"/>
      <c r="F619" s="215"/>
      <c r="G619" s="215"/>
      <c r="H619" s="215"/>
      <c r="I619" s="215"/>
      <c r="J619" s="215"/>
      <c r="K619" s="215"/>
      <c r="L619" s="215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215"/>
      <c r="Z619" s="215"/>
      <c r="AA619" s="215"/>
      <c r="AB619" s="215"/>
      <c r="AC619" s="215"/>
      <c r="AD619" s="215"/>
      <c r="AE619" s="215"/>
      <c r="AF619" s="215"/>
      <c r="AG619" s="215"/>
    </row>
    <row r="620" spans="1:33" ht="13.2">
      <c r="A620" s="215"/>
      <c r="B620" s="215"/>
      <c r="C620" s="215"/>
      <c r="D620" s="215"/>
      <c r="E620" s="215"/>
      <c r="F620" s="215"/>
      <c r="G620" s="215"/>
      <c r="H620" s="215"/>
      <c r="I620" s="215"/>
      <c r="J620" s="215"/>
      <c r="K620" s="215"/>
      <c r="L620" s="215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215"/>
      <c r="Z620" s="215"/>
      <c r="AA620" s="215"/>
      <c r="AB620" s="215"/>
      <c r="AC620" s="215"/>
      <c r="AD620" s="215"/>
      <c r="AE620" s="215"/>
      <c r="AF620" s="215"/>
      <c r="AG620" s="215"/>
    </row>
    <row r="621" spans="1:33" ht="13.2">
      <c r="A621" s="215"/>
      <c r="B621" s="215"/>
      <c r="C621" s="215"/>
      <c r="D621" s="215"/>
      <c r="E621" s="215"/>
      <c r="F621" s="215"/>
      <c r="G621" s="215"/>
      <c r="H621" s="215"/>
      <c r="I621" s="215"/>
      <c r="J621" s="215"/>
      <c r="K621" s="215"/>
      <c r="L621" s="215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215"/>
      <c r="Z621" s="215"/>
      <c r="AA621" s="215"/>
      <c r="AB621" s="215"/>
      <c r="AC621" s="215"/>
      <c r="AD621" s="215"/>
      <c r="AE621" s="215"/>
      <c r="AF621" s="215"/>
      <c r="AG621" s="215"/>
    </row>
    <row r="622" spans="1:33" ht="13.2">
      <c r="A622" s="215"/>
      <c r="B622" s="215"/>
      <c r="C622" s="215"/>
      <c r="D622" s="215"/>
      <c r="E622" s="215"/>
      <c r="F622" s="215"/>
      <c r="G622" s="215"/>
      <c r="H622" s="215"/>
      <c r="I622" s="215"/>
      <c r="J622" s="215"/>
      <c r="K622" s="215"/>
      <c r="L622" s="215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215"/>
      <c r="Z622" s="215"/>
      <c r="AA622" s="215"/>
      <c r="AB622" s="215"/>
      <c r="AC622" s="215"/>
      <c r="AD622" s="215"/>
      <c r="AE622" s="215"/>
      <c r="AF622" s="215"/>
      <c r="AG622" s="215"/>
    </row>
    <row r="623" spans="1:33" ht="13.2">
      <c r="A623" s="215"/>
      <c r="B623" s="215"/>
      <c r="C623" s="215"/>
      <c r="D623" s="215"/>
      <c r="E623" s="215"/>
      <c r="F623" s="215"/>
      <c r="G623" s="215"/>
      <c r="H623" s="215"/>
      <c r="I623" s="215"/>
      <c r="J623" s="215"/>
      <c r="K623" s="215"/>
      <c r="L623" s="215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  <c r="AA623" s="215"/>
      <c r="AB623" s="215"/>
      <c r="AC623" s="215"/>
      <c r="AD623" s="215"/>
      <c r="AE623" s="215"/>
      <c r="AF623" s="215"/>
      <c r="AG623" s="215"/>
    </row>
    <row r="624" spans="1:33" ht="13.2">
      <c r="A624" s="215"/>
      <c r="B624" s="215"/>
      <c r="C624" s="215"/>
      <c r="D624" s="215"/>
      <c r="E624" s="215"/>
      <c r="F624" s="215"/>
      <c r="G624" s="215"/>
      <c r="H624" s="215"/>
      <c r="I624" s="215"/>
      <c r="J624" s="215"/>
      <c r="K624" s="215"/>
      <c r="L624" s="215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215"/>
      <c r="Z624" s="215"/>
      <c r="AA624" s="215"/>
      <c r="AB624" s="215"/>
      <c r="AC624" s="215"/>
      <c r="AD624" s="215"/>
      <c r="AE624" s="215"/>
      <c r="AF624" s="215"/>
      <c r="AG624" s="215"/>
    </row>
    <row r="625" spans="1:33" ht="13.2">
      <c r="A625" s="215"/>
      <c r="B625" s="215"/>
      <c r="C625" s="215"/>
      <c r="D625" s="215"/>
      <c r="E625" s="215"/>
      <c r="F625" s="215"/>
      <c r="G625" s="215"/>
      <c r="H625" s="215"/>
      <c r="I625" s="215"/>
      <c r="J625" s="215"/>
      <c r="K625" s="215"/>
      <c r="L625" s="215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215"/>
      <c r="Z625" s="215"/>
      <c r="AA625" s="215"/>
      <c r="AB625" s="215"/>
      <c r="AC625" s="215"/>
      <c r="AD625" s="215"/>
      <c r="AE625" s="215"/>
      <c r="AF625" s="215"/>
      <c r="AG625" s="215"/>
    </row>
    <row r="626" spans="1:33" ht="13.2">
      <c r="A626" s="215"/>
      <c r="B626" s="215"/>
      <c r="C626" s="215"/>
      <c r="D626" s="215"/>
      <c r="E626" s="215"/>
      <c r="F626" s="215"/>
      <c r="G626" s="215"/>
      <c r="H626" s="215"/>
      <c r="I626" s="215"/>
      <c r="J626" s="215"/>
      <c r="K626" s="215"/>
      <c r="L626" s="215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215"/>
      <c r="Z626" s="215"/>
      <c r="AA626" s="215"/>
      <c r="AB626" s="215"/>
      <c r="AC626" s="215"/>
      <c r="AD626" s="215"/>
      <c r="AE626" s="215"/>
      <c r="AF626" s="215"/>
      <c r="AG626" s="215"/>
    </row>
    <row r="627" spans="1:33" ht="13.2">
      <c r="A627" s="215"/>
      <c r="B627" s="215"/>
      <c r="C627" s="215"/>
      <c r="D627" s="215"/>
      <c r="E627" s="215"/>
      <c r="F627" s="215"/>
      <c r="G627" s="215"/>
      <c r="H627" s="215"/>
      <c r="I627" s="215"/>
      <c r="J627" s="215"/>
      <c r="K627" s="215"/>
      <c r="L627" s="215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215"/>
      <c r="Z627" s="215"/>
      <c r="AA627" s="215"/>
      <c r="AB627" s="215"/>
      <c r="AC627" s="215"/>
      <c r="AD627" s="215"/>
      <c r="AE627" s="215"/>
      <c r="AF627" s="215"/>
      <c r="AG627" s="215"/>
    </row>
    <row r="628" spans="1:33" ht="13.2">
      <c r="A628" s="215"/>
      <c r="B628" s="215"/>
      <c r="C628" s="215"/>
      <c r="D628" s="215"/>
      <c r="E628" s="215"/>
      <c r="F628" s="215"/>
      <c r="G628" s="215"/>
      <c r="H628" s="215"/>
      <c r="I628" s="215"/>
      <c r="J628" s="215"/>
      <c r="K628" s="215"/>
      <c r="L628" s="215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215"/>
      <c r="Z628" s="215"/>
      <c r="AA628" s="215"/>
      <c r="AB628" s="215"/>
      <c r="AC628" s="215"/>
      <c r="AD628" s="215"/>
      <c r="AE628" s="215"/>
      <c r="AF628" s="215"/>
      <c r="AG628" s="215"/>
    </row>
    <row r="629" spans="1:33" ht="13.2">
      <c r="A629" s="215"/>
      <c r="B629" s="215"/>
      <c r="C629" s="215"/>
      <c r="D629" s="215"/>
      <c r="E629" s="215"/>
      <c r="F629" s="215"/>
      <c r="G629" s="215"/>
      <c r="H629" s="215"/>
      <c r="I629" s="215"/>
      <c r="J629" s="215"/>
      <c r="K629" s="215"/>
      <c r="L629" s="215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215"/>
      <c r="Z629" s="215"/>
      <c r="AA629" s="215"/>
      <c r="AB629" s="215"/>
      <c r="AC629" s="215"/>
      <c r="AD629" s="215"/>
      <c r="AE629" s="215"/>
      <c r="AF629" s="215"/>
      <c r="AG629" s="215"/>
    </row>
    <row r="630" spans="1:33" ht="13.2">
      <c r="A630" s="215"/>
      <c r="B630" s="215"/>
      <c r="C630" s="215"/>
      <c r="D630" s="215"/>
      <c r="E630" s="215"/>
      <c r="F630" s="215"/>
      <c r="G630" s="215"/>
      <c r="H630" s="215"/>
      <c r="I630" s="215"/>
      <c r="J630" s="215"/>
      <c r="K630" s="215"/>
      <c r="L630" s="215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215"/>
      <c r="Z630" s="215"/>
      <c r="AA630" s="215"/>
      <c r="AB630" s="215"/>
      <c r="AC630" s="215"/>
      <c r="AD630" s="215"/>
      <c r="AE630" s="215"/>
      <c r="AF630" s="215"/>
      <c r="AG630" s="215"/>
    </row>
    <row r="631" spans="1:33" ht="13.2">
      <c r="A631" s="215"/>
      <c r="B631" s="215"/>
      <c r="C631" s="215"/>
      <c r="D631" s="215"/>
      <c r="E631" s="215"/>
      <c r="F631" s="215"/>
      <c r="G631" s="215"/>
      <c r="H631" s="215"/>
      <c r="I631" s="215"/>
      <c r="J631" s="215"/>
      <c r="K631" s="215"/>
      <c r="L631" s="215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215"/>
      <c r="Z631" s="215"/>
      <c r="AA631" s="215"/>
      <c r="AB631" s="215"/>
      <c r="AC631" s="215"/>
      <c r="AD631" s="215"/>
      <c r="AE631" s="215"/>
      <c r="AF631" s="215"/>
      <c r="AG631" s="215"/>
    </row>
    <row r="632" spans="1:33" ht="13.2">
      <c r="A632" s="215"/>
      <c r="B632" s="215"/>
      <c r="C632" s="215"/>
      <c r="D632" s="215"/>
      <c r="E632" s="215"/>
      <c r="F632" s="215"/>
      <c r="G632" s="215"/>
      <c r="H632" s="215"/>
      <c r="I632" s="215"/>
      <c r="J632" s="215"/>
      <c r="K632" s="215"/>
      <c r="L632" s="215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215"/>
      <c r="Z632" s="215"/>
      <c r="AA632" s="215"/>
      <c r="AB632" s="215"/>
      <c r="AC632" s="215"/>
      <c r="AD632" s="215"/>
      <c r="AE632" s="215"/>
      <c r="AF632" s="215"/>
      <c r="AG632" s="215"/>
    </row>
    <row r="633" spans="1:33" ht="13.2">
      <c r="A633" s="215"/>
      <c r="B633" s="215"/>
      <c r="C633" s="215"/>
      <c r="D633" s="215"/>
      <c r="E633" s="215"/>
      <c r="F633" s="215"/>
      <c r="G633" s="215"/>
      <c r="H633" s="215"/>
      <c r="I633" s="215"/>
      <c r="J633" s="215"/>
      <c r="K633" s="215"/>
      <c r="L633" s="215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215"/>
      <c r="Z633" s="215"/>
      <c r="AA633" s="215"/>
      <c r="AB633" s="215"/>
      <c r="AC633" s="215"/>
      <c r="AD633" s="215"/>
      <c r="AE633" s="215"/>
      <c r="AF633" s="215"/>
      <c r="AG633" s="215"/>
    </row>
    <row r="634" spans="1:33" ht="13.2">
      <c r="A634" s="215"/>
      <c r="B634" s="215"/>
      <c r="C634" s="215"/>
      <c r="D634" s="215"/>
      <c r="E634" s="215"/>
      <c r="F634" s="215"/>
      <c r="G634" s="215"/>
      <c r="H634" s="215"/>
      <c r="I634" s="215"/>
      <c r="J634" s="215"/>
      <c r="K634" s="215"/>
      <c r="L634" s="215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215"/>
      <c r="Z634" s="215"/>
      <c r="AA634" s="215"/>
      <c r="AB634" s="215"/>
      <c r="AC634" s="215"/>
      <c r="AD634" s="215"/>
      <c r="AE634" s="215"/>
      <c r="AF634" s="215"/>
      <c r="AG634" s="215"/>
    </row>
    <row r="635" spans="1:33" ht="13.2">
      <c r="A635" s="215"/>
      <c r="B635" s="215"/>
      <c r="C635" s="215"/>
      <c r="D635" s="215"/>
      <c r="E635" s="215"/>
      <c r="F635" s="215"/>
      <c r="G635" s="215"/>
      <c r="H635" s="215"/>
      <c r="I635" s="215"/>
      <c r="J635" s="215"/>
      <c r="K635" s="215"/>
      <c r="L635" s="215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  <c r="AA635" s="215"/>
      <c r="AB635" s="215"/>
      <c r="AC635" s="215"/>
      <c r="AD635" s="215"/>
      <c r="AE635" s="215"/>
      <c r="AF635" s="215"/>
      <c r="AG635" s="215"/>
    </row>
    <row r="636" spans="1:33" ht="13.2">
      <c r="A636" s="215"/>
      <c r="B636" s="215"/>
      <c r="C636" s="215"/>
      <c r="D636" s="215"/>
      <c r="E636" s="215"/>
      <c r="F636" s="215"/>
      <c r="G636" s="215"/>
      <c r="H636" s="215"/>
      <c r="I636" s="215"/>
      <c r="J636" s="215"/>
      <c r="K636" s="215"/>
      <c r="L636" s="215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215"/>
      <c r="Z636" s="215"/>
      <c r="AA636" s="215"/>
      <c r="AB636" s="215"/>
      <c r="AC636" s="215"/>
      <c r="AD636" s="215"/>
      <c r="AE636" s="215"/>
      <c r="AF636" s="215"/>
      <c r="AG636" s="215"/>
    </row>
    <row r="637" spans="1:33" ht="13.2">
      <c r="A637" s="215"/>
      <c r="B637" s="215"/>
      <c r="C637" s="215"/>
      <c r="D637" s="215"/>
      <c r="E637" s="215"/>
      <c r="F637" s="215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215"/>
      <c r="Z637" s="215"/>
      <c r="AA637" s="215"/>
      <c r="AB637" s="215"/>
      <c r="AC637" s="215"/>
      <c r="AD637" s="215"/>
      <c r="AE637" s="215"/>
      <c r="AF637" s="215"/>
      <c r="AG637" s="215"/>
    </row>
    <row r="638" spans="1:33" ht="13.2">
      <c r="A638" s="215"/>
      <c r="B638" s="215"/>
      <c r="C638" s="215"/>
      <c r="D638" s="215"/>
      <c r="E638" s="215"/>
      <c r="F638" s="215"/>
      <c r="G638" s="215"/>
      <c r="H638" s="215"/>
      <c r="I638" s="215"/>
      <c r="J638" s="215"/>
      <c r="K638" s="215"/>
      <c r="L638" s="215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215"/>
      <c r="Z638" s="215"/>
      <c r="AA638" s="215"/>
      <c r="AB638" s="215"/>
      <c r="AC638" s="215"/>
      <c r="AD638" s="215"/>
      <c r="AE638" s="215"/>
      <c r="AF638" s="215"/>
      <c r="AG638" s="215"/>
    </row>
    <row r="639" spans="1:33" ht="13.2">
      <c r="A639" s="215"/>
      <c r="B639" s="215"/>
      <c r="C639" s="215"/>
      <c r="D639" s="215"/>
      <c r="E639" s="215"/>
      <c r="F639" s="215"/>
      <c r="G639" s="215"/>
      <c r="H639" s="215"/>
      <c r="I639" s="215"/>
      <c r="J639" s="215"/>
      <c r="K639" s="215"/>
      <c r="L639" s="215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215"/>
      <c r="Z639" s="215"/>
      <c r="AA639" s="215"/>
      <c r="AB639" s="215"/>
      <c r="AC639" s="215"/>
      <c r="AD639" s="215"/>
      <c r="AE639" s="215"/>
      <c r="AF639" s="215"/>
      <c r="AG639" s="215"/>
    </row>
    <row r="640" spans="1:33" ht="13.2">
      <c r="A640" s="215"/>
      <c r="B640" s="215"/>
      <c r="C640" s="215"/>
      <c r="D640" s="215"/>
      <c r="E640" s="215"/>
      <c r="F640" s="215"/>
      <c r="G640" s="215"/>
      <c r="H640" s="215"/>
      <c r="I640" s="215"/>
      <c r="J640" s="215"/>
      <c r="K640" s="215"/>
      <c r="L640" s="215"/>
      <c r="M640" s="215"/>
      <c r="N640" s="215"/>
      <c r="O640" s="215"/>
      <c r="P640" s="215"/>
      <c r="Q640" s="215"/>
      <c r="R640" s="215"/>
      <c r="S640" s="215"/>
      <c r="T640" s="215"/>
      <c r="U640" s="215"/>
      <c r="V640" s="215"/>
      <c r="W640" s="215"/>
      <c r="X640" s="215"/>
      <c r="Y640" s="215"/>
      <c r="Z640" s="215"/>
      <c r="AA640" s="215"/>
      <c r="AB640" s="215"/>
      <c r="AC640" s="215"/>
      <c r="AD640" s="215"/>
      <c r="AE640" s="215"/>
      <c r="AF640" s="215"/>
      <c r="AG640" s="215"/>
    </row>
    <row r="641" spans="1:33" ht="13.2">
      <c r="A641" s="215"/>
      <c r="B641" s="215"/>
      <c r="C641" s="215"/>
      <c r="D641" s="215"/>
      <c r="E641" s="215"/>
      <c r="F641" s="215"/>
      <c r="G641" s="215"/>
      <c r="H641" s="215"/>
      <c r="I641" s="215"/>
      <c r="J641" s="215"/>
      <c r="K641" s="215"/>
      <c r="L641" s="215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215"/>
      <c r="Z641" s="215"/>
      <c r="AA641" s="215"/>
      <c r="AB641" s="215"/>
      <c r="AC641" s="215"/>
      <c r="AD641" s="215"/>
      <c r="AE641" s="215"/>
      <c r="AF641" s="215"/>
      <c r="AG641" s="215"/>
    </row>
    <row r="642" spans="1:33" ht="13.2">
      <c r="A642" s="215"/>
      <c r="B642" s="215"/>
      <c r="C642" s="215"/>
      <c r="D642" s="215"/>
      <c r="E642" s="215"/>
      <c r="F642" s="215"/>
      <c r="G642" s="215"/>
      <c r="H642" s="215"/>
      <c r="I642" s="215"/>
      <c r="J642" s="215"/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215"/>
      <c r="Z642" s="215"/>
      <c r="AA642" s="215"/>
      <c r="AB642" s="215"/>
      <c r="AC642" s="215"/>
      <c r="AD642" s="215"/>
      <c r="AE642" s="215"/>
      <c r="AF642" s="215"/>
      <c r="AG642" s="215"/>
    </row>
    <row r="643" spans="1:33" ht="13.2">
      <c r="A643" s="215"/>
      <c r="B643" s="215"/>
      <c r="C643" s="215"/>
      <c r="D643" s="215"/>
      <c r="E643" s="215"/>
      <c r="F643" s="215"/>
      <c r="G643" s="215"/>
      <c r="H643" s="215"/>
      <c r="I643" s="215"/>
      <c r="J643" s="215"/>
      <c r="K643" s="215"/>
      <c r="L643" s="215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215"/>
      <c r="Z643" s="215"/>
      <c r="AA643" s="215"/>
      <c r="AB643" s="215"/>
      <c r="AC643" s="215"/>
      <c r="AD643" s="215"/>
      <c r="AE643" s="215"/>
      <c r="AF643" s="215"/>
      <c r="AG643" s="215"/>
    </row>
    <row r="644" spans="1:33" ht="13.2">
      <c r="A644" s="215"/>
      <c r="B644" s="215"/>
      <c r="C644" s="215"/>
      <c r="D644" s="215"/>
      <c r="E644" s="215"/>
      <c r="F644" s="21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215"/>
      <c r="Z644" s="215"/>
      <c r="AA644" s="215"/>
      <c r="AB644" s="215"/>
      <c r="AC644" s="215"/>
      <c r="AD644" s="215"/>
      <c r="AE644" s="215"/>
      <c r="AF644" s="215"/>
      <c r="AG644" s="215"/>
    </row>
    <row r="645" spans="1:33" ht="13.2">
      <c r="A645" s="215"/>
      <c r="B645" s="215"/>
      <c r="C645" s="215"/>
      <c r="D645" s="215"/>
      <c r="E645" s="215"/>
      <c r="F645" s="21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215"/>
      <c r="Z645" s="215"/>
      <c r="AA645" s="215"/>
      <c r="AB645" s="215"/>
      <c r="AC645" s="215"/>
      <c r="AD645" s="215"/>
      <c r="AE645" s="215"/>
      <c r="AF645" s="215"/>
      <c r="AG645" s="215"/>
    </row>
    <row r="646" spans="1:33" ht="13.2">
      <c r="A646" s="215"/>
      <c r="B646" s="215"/>
      <c r="C646" s="215"/>
      <c r="D646" s="215"/>
      <c r="E646" s="215"/>
      <c r="F646" s="215"/>
      <c r="G646" s="215"/>
      <c r="H646" s="215"/>
      <c r="I646" s="215"/>
      <c r="J646" s="215"/>
      <c r="K646" s="215"/>
      <c r="L646" s="215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215"/>
      <c r="Z646" s="215"/>
      <c r="AA646" s="215"/>
      <c r="AB646" s="215"/>
      <c r="AC646" s="215"/>
      <c r="AD646" s="215"/>
      <c r="AE646" s="215"/>
      <c r="AF646" s="215"/>
      <c r="AG646" s="215"/>
    </row>
    <row r="647" spans="1:33" ht="13.2">
      <c r="A647" s="215"/>
      <c r="B647" s="215"/>
      <c r="C647" s="215"/>
      <c r="D647" s="215"/>
      <c r="E647" s="215"/>
      <c r="F647" s="215"/>
      <c r="G647" s="215"/>
      <c r="H647" s="215"/>
      <c r="I647" s="215"/>
      <c r="J647" s="215"/>
      <c r="K647" s="215"/>
      <c r="L647" s="215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  <c r="AA647" s="215"/>
      <c r="AB647" s="215"/>
      <c r="AC647" s="215"/>
      <c r="AD647" s="215"/>
      <c r="AE647" s="215"/>
      <c r="AF647" s="215"/>
      <c r="AG647" s="215"/>
    </row>
    <row r="648" spans="1:33" ht="13.2">
      <c r="A648" s="215"/>
      <c r="B648" s="215"/>
      <c r="C648" s="215"/>
      <c r="D648" s="215"/>
      <c r="E648" s="215"/>
      <c r="F648" s="215"/>
      <c r="G648" s="215"/>
      <c r="H648" s="215"/>
      <c r="I648" s="215"/>
      <c r="J648" s="215"/>
      <c r="K648" s="215"/>
      <c r="L648" s="215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215"/>
      <c r="Z648" s="215"/>
      <c r="AA648" s="215"/>
      <c r="AB648" s="215"/>
      <c r="AC648" s="215"/>
      <c r="AD648" s="215"/>
      <c r="AE648" s="215"/>
      <c r="AF648" s="215"/>
      <c r="AG648" s="215"/>
    </row>
    <row r="649" spans="1:33" ht="13.2">
      <c r="A649" s="215"/>
      <c r="B649" s="215"/>
      <c r="C649" s="215"/>
      <c r="D649" s="215"/>
      <c r="E649" s="215"/>
      <c r="F649" s="215"/>
      <c r="G649" s="215"/>
      <c r="H649" s="215"/>
      <c r="I649" s="215"/>
      <c r="J649" s="215"/>
      <c r="K649" s="215"/>
      <c r="L649" s="215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215"/>
      <c r="Z649" s="215"/>
      <c r="AA649" s="215"/>
      <c r="AB649" s="215"/>
      <c r="AC649" s="215"/>
      <c r="AD649" s="215"/>
      <c r="AE649" s="215"/>
      <c r="AF649" s="215"/>
      <c r="AG649" s="215"/>
    </row>
    <row r="650" spans="1:33" ht="13.2">
      <c r="A650" s="215"/>
      <c r="B650" s="215"/>
      <c r="C650" s="215"/>
      <c r="D650" s="215"/>
      <c r="E650" s="215"/>
      <c r="F650" s="215"/>
      <c r="G650" s="215"/>
      <c r="H650" s="215"/>
      <c r="I650" s="215"/>
      <c r="J650" s="215"/>
      <c r="K650" s="215"/>
      <c r="L650" s="215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215"/>
      <c r="Z650" s="215"/>
      <c r="AA650" s="215"/>
      <c r="AB650" s="215"/>
      <c r="AC650" s="215"/>
      <c r="AD650" s="215"/>
      <c r="AE650" s="215"/>
      <c r="AF650" s="215"/>
      <c r="AG650" s="215"/>
    </row>
    <row r="651" spans="1:33" ht="13.2">
      <c r="A651" s="215"/>
      <c r="B651" s="215"/>
      <c r="C651" s="215"/>
      <c r="D651" s="215"/>
      <c r="E651" s="215"/>
      <c r="F651" s="215"/>
      <c r="G651" s="215"/>
      <c r="H651" s="215"/>
      <c r="I651" s="215"/>
      <c r="J651" s="215"/>
      <c r="K651" s="215"/>
      <c r="L651" s="215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215"/>
      <c r="Z651" s="215"/>
      <c r="AA651" s="215"/>
      <c r="AB651" s="215"/>
      <c r="AC651" s="215"/>
      <c r="AD651" s="215"/>
      <c r="AE651" s="215"/>
      <c r="AF651" s="215"/>
      <c r="AG651" s="215"/>
    </row>
    <row r="652" spans="1:33" ht="13.2">
      <c r="A652" s="215"/>
      <c r="B652" s="215"/>
      <c r="C652" s="215"/>
      <c r="D652" s="215"/>
      <c r="E652" s="215"/>
      <c r="F652" s="215"/>
      <c r="G652" s="215"/>
      <c r="H652" s="215"/>
      <c r="I652" s="215"/>
      <c r="J652" s="215"/>
      <c r="K652" s="215"/>
      <c r="L652" s="215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  <c r="AA652" s="215"/>
      <c r="AB652" s="215"/>
      <c r="AC652" s="215"/>
      <c r="AD652" s="215"/>
      <c r="AE652" s="215"/>
      <c r="AF652" s="215"/>
      <c r="AG652" s="215"/>
    </row>
    <row r="653" spans="1:33" ht="13.2">
      <c r="A653" s="215"/>
      <c r="B653" s="215"/>
      <c r="C653" s="215"/>
      <c r="D653" s="215"/>
      <c r="E653" s="215"/>
      <c r="F653" s="215"/>
      <c r="G653" s="215"/>
      <c r="H653" s="215"/>
      <c r="I653" s="215"/>
      <c r="J653" s="215"/>
      <c r="K653" s="215"/>
      <c r="L653" s="215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215"/>
      <c r="Z653" s="215"/>
      <c r="AA653" s="215"/>
      <c r="AB653" s="215"/>
      <c r="AC653" s="215"/>
      <c r="AD653" s="215"/>
      <c r="AE653" s="215"/>
      <c r="AF653" s="215"/>
      <c r="AG653" s="215"/>
    </row>
    <row r="654" spans="1:33" ht="13.2">
      <c r="A654" s="215"/>
      <c r="B654" s="215"/>
      <c r="C654" s="215"/>
      <c r="D654" s="215"/>
      <c r="E654" s="215"/>
      <c r="F654" s="215"/>
      <c r="G654" s="215"/>
      <c r="H654" s="215"/>
      <c r="I654" s="215"/>
      <c r="J654" s="215"/>
      <c r="K654" s="215"/>
      <c r="L654" s="215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215"/>
      <c r="Z654" s="215"/>
      <c r="AA654" s="215"/>
      <c r="AB654" s="215"/>
      <c r="AC654" s="215"/>
      <c r="AD654" s="215"/>
      <c r="AE654" s="215"/>
      <c r="AF654" s="215"/>
      <c r="AG654" s="215"/>
    </row>
    <row r="655" spans="1:33" ht="13.2">
      <c r="A655" s="215"/>
      <c r="B655" s="215"/>
      <c r="C655" s="215"/>
      <c r="D655" s="215"/>
      <c r="E655" s="215"/>
      <c r="F655" s="215"/>
      <c r="G655" s="215"/>
      <c r="H655" s="215"/>
      <c r="I655" s="215"/>
      <c r="J655" s="215"/>
      <c r="K655" s="215"/>
      <c r="L655" s="215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215"/>
      <c r="Z655" s="215"/>
      <c r="AA655" s="215"/>
      <c r="AB655" s="215"/>
      <c r="AC655" s="215"/>
      <c r="AD655" s="215"/>
      <c r="AE655" s="215"/>
      <c r="AF655" s="215"/>
      <c r="AG655" s="215"/>
    </row>
    <row r="656" spans="1:33" ht="13.2">
      <c r="A656" s="215"/>
      <c r="B656" s="215"/>
      <c r="C656" s="215"/>
      <c r="D656" s="215"/>
      <c r="E656" s="215"/>
      <c r="F656" s="21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215"/>
      <c r="Z656" s="215"/>
      <c r="AA656" s="215"/>
      <c r="AB656" s="215"/>
      <c r="AC656" s="215"/>
      <c r="AD656" s="215"/>
      <c r="AE656" s="215"/>
      <c r="AF656" s="215"/>
      <c r="AG656" s="215"/>
    </row>
    <row r="657" spans="1:33" ht="13.2">
      <c r="A657" s="215"/>
      <c r="B657" s="215"/>
      <c r="C657" s="215"/>
      <c r="D657" s="215"/>
      <c r="E657" s="215"/>
      <c r="F657" s="215"/>
      <c r="G657" s="215"/>
      <c r="H657" s="215"/>
      <c r="I657" s="215"/>
      <c r="J657" s="215"/>
      <c r="K657" s="215"/>
      <c r="L657" s="215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215"/>
      <c r="Z657" s="215"/>
      <c r="AA657" s="215"/>
      <c r="AB657" s="215"/>
      <c r="AC657" s="215"/>
      <c r="AD657" s="215"/>
      <c r="AE657" s="215"/>
      <c r="AF657" s="215"/>
      <c r="AG657" s="215"/>
    </row>
    <row r="658" spans="1:33" ht="13.2">
      <c r="A658" s="215"/>
      <c r="B658" s="215"/>
      <c r="C658" s="215"/>
      <c r="D658" s="215"/>
      <c r="E658" s="215"/>
      <c r="F658" s="215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215"/>
      <c r="Z658" s="215"/>
      <c r="AA658" s="215"/>
      <c r="AB658" s="215"/>
      <c r="AC658" s="215"/>
      <c r="AD658" s="215"/>
      <c r="AE658" s="215"/>
      <c r="AF658" s="215"/>
      <c r="AG658" s="215"/>
    </row>
    <row r="659" spans="1:33" ht="13.2">
      <c r="A659" s="215"/>
      <c r="B659" s="215"/>
      <c r="C659" s="215"/>
      <c r="D659" s="215"/>
      <c r="E659" s="215"/>
      <c r="F659" s="215"/>
      <c r="G659" s="215"/>
      <c r="H659" s="215"/>
      <c r="I659" s="215"/>
      <c r="J659" s="215"/>
      <c r="K659" s="215"/>
      <c r="L659" s="215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215"/>
      <c r="Z659" s="215"/>
      <c r="AA659" s="215"/>
      <c r="AB659" s="215"/>
      <c r="AC659" s="215"/>
      <c r="AD659" s="215"/>
      <c r="AE659" s="215"/>
      <c r="AF659" s="215"/>
      <c r="AG659" s="215"/>
    </row>
    <row r="660" spans="1:33" ht="13.2">
      <c r="A660" s="215"/>
      <c r="B660" s="215"/>
      <c r="C660" s="215"/>
      <c r="D660" s="215"/>
      <c r="E660" s="215"/>
      <c r="F660" s="215"/>
      <c r="G660" s="215"/>
      <c r="H660" s="215"/>
      <c r="I660" s="215"/>
      <c r="J660" s="215"/>
      <c r="K660" s="215"/>
      <c r="L660" s="215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215"/>
      <c r="Z660" s="215"/>
      <c r="AA660" s="215"/>
      <c r="AB660" s="215"/>
      <c r="AC660" s="215"/>
      <c r="AD660" s="215"/>
      <c r="AE660" s="215"/>
      <c r="AF660" s="215"/>
      <c r="AG660" s="215"/>
    </row>
    <row r="661" spans="1:33" ht="13.2">
      <c r="A661" s="215"/>
      <c r="B661" s="215"/>
      <c r="C661" s="215"/>
      <c r="D661" s="215"/>
      <c r="E661" s="215"/>
      <c r="F661" s="215"/>
      <c r="G661" s="215"/>
      <c r="H661" s="215"/>
      <c r="I661" s="215"/>
      <c r="J661" s="215"/>
      <c r="K661" s="215"/>
      <c r="L661" s="215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215"/>
      <c r="Z661" s="215"/>
      <c r="AA661" s="215"/>
      <c r="AB661" s="215"/>
      <c r="AC661" s="215"/>
      <c r="AD661" s="215"/>
      <c r="AE661" s="215"/>
      <c r="AF661" s="215"/>
      <c r="AG661" s="215"/>
    </row>
    <row r="662" spans="1:33" ht="13.2">
      <c r="A662" s="215"/>
      <c r="B662" s="215"/>
      <c r="C662" s="215"/>
      <c r="D662" s="215"/>
      <c r="E662" s="215"/>
      <c r="F662" s="215"/>
      <c r="G662" s="215"/>
      <c r="H662" s="215"/>
      <c r="I662" s="215"/>
      <c r="J662" s="215"/>
      <c r="K662" s="215"/>
      <c r="L662" s="215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215"/>
      <c r="Z662" s="215"/>
      <c r="AA662" s="215"/>
      <c r="AB662" s="215"/>
      <c r="AC662" s="215"/>
      <c r="AD662" s="215"/>
      <c r="AE662" s="215"/>
      <c r="AF662" s="215"/>
      <c r="AG662" s="215"/>
    </row>
    <row r="663" spans="1:33" ht="13.2">
      <c r="A663" s="215"/>
      <c r="B663" s="215"/>
      <c r="C663" s="215"/>
      <c r="D663" s="215"/>
      <c r="E663" s="21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215"/>
      <c r="Z663" s="215"/>
      <c r="AA663" s="215"/>
      <c r="AB663" s="215"/>
      <c r="AC663" s="215"/>
      <c r="AD663" s="215"/>
      <c r="AE663" s="215"/>
      <c r="AF663" s="215"/>
      <c r="AG663" s="215"/>
    </row>
    <row r="664" spans="1:33" ht="13.2">
      <c r="A664" s="215"/>
      <c r="B664" s="215"/>
      <c r="C664" s="215"/>
      <c r="D664" s="215"/>
      <c r="E664" s="215"/>
      <c r="F664" s="21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215"/>
      <c r="Z664" s="215"/>
      <c r="AA664" s="215"/>
      <c r="AB664" s="215"/>
      <c r="AC664" s="215"/>
      <c r="AD664" s="215"/>
      <c r="AE664" s="215"/>
      <c r="AF664" s="215"/>
      <c r="AG664" s="215"/>
    </row>
    <row r="665" spans="1:33" ht="13.2">
      <c r="A665" s="215"/>
      <c r="B665" s="215"/>
      <c r="C665" s="215"/>
      <c r="D665" s="215"/>
      <c r="E665" s="215"/>
      <c r="F665" s="215"/>
      <c r="G665" s="215"/>
      <c r="H665" s="215"/>
      <c r="I665" s="215"/>
      <c r="J665" s="215"/>
      <c r="K665" s="215"/>
      <c r="L665" s="215"/>
      <c r="M665" s="215"/>
      <c r="N665" s="215"/>
      <c r="O665" s="215"/>
      <c r="P665" s="215"/>
      <c r="Q665" s="215"/>
      <c r="R665" s="215"/>
      <c r="S665" s="215"/>
      <c r="T665" s="215"/>
      <c r="U665" s="215"/>
      <c r="V665" s="215"/>
      <c r="W665" s="215"/>
      <c r="X665" s="215"/>
      <c r="Y665" s="215"/>
      <c r="Z665" s="215"/>
      <c r="AA665" s="215"/>
      <c r="AB665" s="215"/>
      <c r="AC665" s="215"/>
      <c r="AD665" s="215"/>
      <c r="AE665" s="215"/>
      <c r="AF665" s="215"/>
      <c r="AG665" s="215"/>
    </row>
    <row r="666" spans="1:33" ht="13.2">
      <c r="A666" s="215"/>
      <c r="B666" s="215"/>
      <c r="C666" s="215"/>
      <c r="D666" s="215"/>
      <c r="E666" s="215"/>
      <c r="F666" s="215"/>
      <c r="G666" s="215"/>
      <c r="H666" s="215"/>
      <c r="I666" s="215"/>
      <c r="J666" s="215"/>
      <c r="K666" s="215"/>
      <c r="L666" s="215"/>
      <c r="M666" s="215"/>
      <c r="N666" s="215"/>
      <c r="O666" s="215"/>
      <c r="P666" s="215"/>
      <c r="Q666" s="215"/>
      <c r="R666" s="215"/>
      <c r="S666" s="215"/>
      <c r="T666" s="215"/>
      <c r="U666" s="215"/>
      <c r="V666" s="215"/>
      <c r="W666" s="215"/>
      <c r="X666" s="215"/>
      <c r="Y666" s="215"/>
      <c r="Z666" s="215"/>
      <c r="AA666" s="215"/>
      <c r="AB666" s="215"/>
      <c r="AC666" s="215"/>
      <c r="AD666" s="215"/>
      <c r="AE666" s="215"/>
      <c r="AF666" s="215"/>
      <c r="AG666" s="215"/>
    </row>
    <row r="667" spans="1:33" ht="13.2">
      <c r="A667" s="215"/>
      <c r="B667" s="215"/>
      <c r="C667" s="215"/>
      <c r="D667" s="215"/>
      <c r="E667" s="215"/>
      <c r="F667" s="215"/>
      <c r="G667" s="215"/>
      <c r="H667" s="215"/>
      <c r="I667" s="215"/>
      <c r="J667" s="215"/>
      <c r="K667" s="215"/>
      <c r="L667" s="215"/>
      <c r="M667" s="215"/>
      <c r="N667" s="215"/>
      <c r="O667" s="215"/>
      <c r="P667" s="215"/>
      <c r="Q667" s="215"/>
      <c r="R667" s="215"/>
      <c r="S667" s="215"/>
      <c r="T667" s="215"/>
      <c r="U667" s="215"/>
      <c r="V667" s="215"/>
      <c r="W667" s="215"/>
      <c r="X667" s="215"/>
      <c r="Y667" s="215"/>
      <c r="Z667" s="215"/>
      <c r="AA667" s="215"/>
      <c r="AB667" s="215"/>
      <c r="AC667" s="215"/>
      <c r="AD667" s="215"/>
      <c r="AE667" s="215"/>
      <c r="AF667" s="215"/>
      <c r="AG667" s="215"/>
    </row>
    <row r="668" spans="1:33" ht="13.2">
      <c r="A668" s="215"/>
      <c r="B668" s="215"/>
      <c r="C668" s="215"/>
      <c r="D668" s="215"/>
      <c r="E668" s="215"/>
      <c r="F668" s="215"/>
      <c r="G668" s="215"/>
      <c r="H668" s="215"/>
      <c r="I668" s="215"/>
      <c r="J668" s="215"/>
      <c r="K668" s="215"/>
      <c r="L668" s="215"/>
      <c r="M668" s="215"/>
      <c r="N668" s="215"/>
      <c r="O668" s="215"/>
      <c r="P668" s="215"/>
      <c r="Q668" s="215"/>
      <c r="R668" s="215"/>
      <c r="S668" s="215"/>
      <c r="T668" s="215"/>
      <c r="U668" s="215"/>
      <c r="V668" s="215"/>
      <c r="W668" s="215"/>
      <c r="X668" s="215"/>
      <c r="Y668" s="215"/>
      <c r="Z668" s="215"/>
      <c r="AA668" s="215"/>
      <c r="AB668" s="215"/>
      <c r="AC668" s="215"/>
      <c r="AD668" s="215"/>
      <c r="AE668" s="215"/>
      <c r="AF668" s="215"/>
      <c r="AG668" s="215"/>
    </row>
    <row r="669" spans="1:33" ht="13.2">
      <c r="A669" s="215"/>
      <c r="B669" s="215"/>
      <c r="C669" s="215"/>
      <c r="D669" s="215"/>
      <c r="E669" s="215"/>
      <c r="F669" s="215"/>
      <c r="G669" s="215"/>
      <c r="H669" s="215"/>
      <c r="I669" s="215"/>
      <c r="J669" s="215"/>
      <c r="K669" s="215"/>
      <c r="L669" s="215"/>
      <c r="M669" s="215"/>
      <c r="N669" s="215"/>
      <c r="O669" s="215"/>
      <c r="P669" s="215"/>
      <c r="Q669" s="215"/>
      <c r="R669" s="215"/>
      <c r="S669" s="215"/>
      <c r="T669" s="215"/>
      <c r="U669" s="215"/>
      <c r="V669" s="215"/>
      <c r="W669" s="215"/>
      <c r="X669" s="215"/>
      <c r="Y669" s="215"/>
      <c r="Z669" s="215"/>
      <c r="AA669" s="215"/>
      <c r="AB669" s="215"/>
      <c r="AC669" s="215"/>
      <c r="AD669" s="215"/>
      <c r="AE669" s="215"/>
      <c r="AF669" s="215"/>
      <c r="AG669" s="215"/>
    </row>
    <row r="670" spans="1:33" ht="13.2">
      <c r="A670" s="215"/>
      <c r="B670" s="215"/>
      <c r="C670" s="215"/>
      <c r="D670" s="215"/>
      <c r="E670" s="215"/>
      <c r="F670" s="215"/>
      <c r="G670" s="215"/>
      <c r="H670" s="215"/>
      <c r="I670" s="215"/>
      <c r="J670" s="215"/>
      <c r="K670" s="215"/>
      <c r="L670" s="215"/>
      <c r="M670" s="215"/>
      <c r="N670" s="215"/>
      <c r="O670" s="215"/>
      <c r="P670" s="215"/>
      <c r="Q670" s="215"/>
      <c r="R670" s="215"/>
      <c r="S670" s="215"/>
      <c r="T670" s="215"/>
      <c r="U670" s="215"/>
      <c r="V670" s="215"/>
      <c r="W670" s="215"/>
      <c r="X670" s="215"/>
      <c r="Y670" s="215"/>
      <c r="Z670" s="215"/>
      <c r="AA670" s="215"/>
      <c r="AB670" s="215"/>
      <c r="AC670" s="215"/>
      <c r="AD670" s="215"/>
      <c r="AE670" s="215"/>
      <c r="AF670" s="215"/>
      <c r="AG670" s="215"/>
    </row>
    <row r="671" spans="1:33" ht="13.2">
      <c r="A671" s="215"/>
      <c r="B671" s="215"/>
      <c r="C671" s="215"/>
      <c r="D671" s="215"/>
      <c r="E671" s="215"/>
      <c r="F671" s="215"/>
      <c r="G671" s="215"/>
      <c r="H671" s="215"/>
      <c r="I671" s="215"/>
      <c r="J671" s="215"/>
      <c r="K671" s="215"/>
      <c r="L671" s="215"/>
      <c r="M671" s="215"/>
      <c r="N671" s="215"/>
      <c r="O671" s="215"/>
      <c r="P671" s="215"/>
      <c r="Q671" s="215"/>
      <c r="R671" s="215"/>
      <c r="S671" s="215"/>
      <c r="T671" s="215"/>
      <c r="U671" s="215"/>
      <c r="V671" s="215"/>
      <c r="W671" s="215"/>
      <c r="X671" s="215"/>
      <c r="Y671" s="215"/>
      <c r="Z671" s="215"/>
      <c r="AA671" s="215"/>
      <c r="AB671" s="215"/>
      <c r="AC671" s="215"/>
      <c r="AD671" s="215"/>
      <c r="AE671" s="215"/>
      <c r="AF671" s="215"/>
      <c r="AG671" s="215"/>
    </row>
    <row r="672" spans="1:33" ht="13.2">
      <c r="A672" s="215"/>
      <c r="B672" s="215"/>
      <c r="C672" s="215"/>
      <c r="D672" s="215"/>
      <c r="E672" s="215"/>
      <c r="F672" s="215"/>
      <c r="G672" s="215"/>
      <c r="H672" s="215"/>
      <c r="I672" s="215"/>
      <c r="J672" s="215"/>
      <c r="K672" s="215"/>
      <c r="L672" s="215"/>
      <c r="M672" s="215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  <c r="X672" s="215"/>
      <c r="Y672" s="215"/>
      <c r="Z672" s="215"/>
      <c r="AA672" s="215"/>
      <c r="AB672" s="215"/>
      <c r="AC672" s="215"/>
      <c r="AD672" s="215"/>
      <c r="AE672" s="215"/>
      <c r="AF672" s="215"/>
      <c r="AG672" s="215"/>
    </row>
    <row r="673" spans="1:33" ht="13.2">
      <c r="A673" s="215"/>
      <c r="B673" s="215"/>
      <c r="C673" s="215"/>
      <c r="D673" s="215"/>
      <c r="E673" s="215"/>
      <c r="F673" s="215"/>
      <c r="G673" s="215"/>
      <c r="H673" s="215"/>
      <c r="I673" s="215"/>
      <c r="J673" s="215"/>
      <c r="K673" s="215"/>
      <c r="L673" s="215"/>
      <c r="M673" s="215"/>
      <c r="N673" s="215"/>
      <c r="O673" s="215"/>
      <c r="P673" s="215"/>
      <c r="Q673" s="215"/>
      <c r="R673" s="215"/>
      <c r="S673" s="215"/>
      <c r="T673" s="215"/>
      <c r="U673" s="215"/>
      <c r="V673" s="215"/>
      <c r="W673" s="215"/>
      <c r="X673" s="215"/>
      <c r="Y673" s="215"/>
      <c r="Z673" s="215"/>
      <c r="AA673" s="215"/>
      <c r="AB673" s="215"/>
      <c r="AC673" s="215"/>
      <c r="AD673" s="215"/>
      <c r="AE673" s="215"/>
      <c r="AF673" s="215"/>
      <c r="AG673" s="215"/>
    </row>
    <row r="674" spans="1:33" ht="13.2">
      <c r="A674" s="215"/>
      <c r="B674" s="215"/>
      <c r="C674" s="215"/>
      <c r="D674" s="215"/>
      <c r="E674" s="215"/>
      <c r="F674" s="215"/>
      <c r="G674" s="215"/>
      <c r="H674" s="215"/>
      <c r="I674" s="215"/>
      <c r="J674" s="215"/>
      <c r="K674" s="215"/>
      <c r="L674" s="215"/>
      <c r="M674" s="215"/>
      <c r="N674" s="215"/>
      <c r="O674" s="215"/>
      <c r="P674" s="215"/>
      <c r="Q674" s="215"/>
      <c r="R674" s="215"/>
      <c r="S674" s="215"/>
      <c r="T674" s="215"/>
      <c r="U674" s="215"/>
      <c r="V674" s="215"/>
      <c r="W674" s="215"/>
      <c r="X674" s="215"/>
      <c r="Y674" s="215"/>
      <c r="Z674" s="215"/>
      <c r="AA674" s="215"/>
      <c r="AB674" s="215"/>
      <c r="AC674" s="215"/>
      <c r="AD674" s="215"/>
      <c r="AE674" s="215"/>
      <c r="AF674" s="215"/>
      <c r="AG674" s="215"/>
    </row>
    <row r="675" spans="1:33" ht="13.2">
      <c r="A675" s="215"/>
      <c r="B675" s="215"/>
      <c r="C675" s="215"/>
      <c r="D675" s="215"/>
      <c r="E675" s="215"/>
      <c r="F675" s="215"/>
      <c r="G675" s="215"/>
      <c r="H675" s="215"/>
      <c r="I675" s="215"/>
      <c r="J675" s="215"/>
      <c r="K675" s="215"/>
      <c r="L675" s="215"/>
      <c r="M675" s="215"/>
      <c r="N675" s="215"/>
      <c r="O675" s="215"/>
      <c r="P675" s="215"/>
      <c r="Q675" s="215"/>
      <c r="R675" s="215"/>
      <c r="S675" s="215"/>
      <c r="T675" s="215"/>
      <c r="U675" s="215"/>
      <c r="V675" s="215"/>
      <c r="W675" s="215"/>
      <c r="X675" s="215"/>
      <c r="Y675" s="215"/>
      <c r="Z675" s="215"/>
      <c r="AA675" s="215"/>
      <c r="AB675" s="215"/>
      <c r="AC675" s="215"/>
      <c r="AD675" s="215"/>
      <c r="AE675" s="215"/>
      <c r="AF675" s="215"/>
      <c r="AG675" s="215"/>
    </row>
    <row r="676" spans="1:33" ht="13.2">
      <c r="A676" s="215"/>
      <c r="B676" s="215"/>
      <c r="C676" s="215"/>
      <c r="D676" s="215"/>
      <c r="E676" s="215"/>
      <c r="F676" s="215"/>
      <c r="G676" s="215"/>
      <c r="H676" s="215"/>
      <c r="I676" s="215"/>
      <c r="J676" s="215"/>
      <c r="K676" s="215"/>
      <c r="L676" s="215"/>
      <c r="M676" s="215"/>
      <c r="N676" s="215"/>
      <c r="O676" s="215"/>
      <c r="P676" s="215"/>
      <c r="Q676" s="215"/>
      <c r="R676" s="215"/>
      <c r="S676" s="215"/>
      <c r="T676" s="215"/>
      <c r="U676" s="215"/>
      <c r="V676" s="215"/>
      <c r="W676" s="215"/>
      <c r="X676" s="215"/>
      <c r="Y676" s="215"/>
      <c r="Z676" s="215"/>
      <c r="AA676" s="215"/>
      <c r="AB676" s="215"/>
      <c r="AC676" s="215"/>
      <c r="AD676" s="215"/>
      <c r="AE676" s="215"/>
      <c r="AF676" s="215"/>
      <c r="AG676" s="215"/>
    </row>
    <row r="677" spans="1:33" ht="13.2">
      <c r="A677" s="215"/>
      <c r="B677" s="215"/>
      <c r="C677" s="215"/>
      <c r="D677" s="215"/>
      <c r="E677" s="215"/>
      <c r="F677" s="215"/>
      <c r="G677" s="215"/>
      <c r="H677" s="215"/>
      <c r="I677" s="215"/>
      <c r="J677" s="215"/>
      <c r="K677" s="215"/>
      <c r="L677" s="215"/>
      <c r="M677" s="215"/>
      <c r="N677" s="215"/>
      <c r="O677" s="215"/>
      <c r="P677" s="215"/>
      <c r="Q677" s="215"/>
      <c r="R677" s="215"/>
      <c r="S677" s="215"/>
      <c r="T677" s="215"/>
      <c r="U677" s="215"/>
      <c r="V677" s="215"/>
      <c r="W677" s="215"/>
      <c r="X677" s="215"/>
      <c r="Y677" s="215"/>
      <c r="Z677" s="215"/>
      <c r="AA677" s="215"/>
      <c r="AB677" s="215"/>
      <c r="AC677" s="215"/>
      <c r="AD677" s="215"/>
      <c r="AE677" s="215"/>
      <c r="AF677" s="215"/>
      <c r="AG677" s="215"/>
    </row>
    <row r="678" spans="1:33" ht="13.2">
      <c r="A678" s="215"/>
      <c r="B678" s="215"/>
      <c r="C678" s="215"/>
      <c r="D678" s="215"/>
      <c r="E678" s="215"/>
      <c r="F678" s="215"/>
      <c r="G678" s="215"/>
      <c r="H678" s="215"/>
      <c r="I678" s="215"/>
      <c r="J678" s="215"/>
      <c r="K678" s="215"/>
      <c r="L678" s="215"/>
      <c r="M678" s="215"/>
      <c r="N678" s="215"/>
      <c r="O678" s="215"/>
      <c r="P678" s="215"/>
      <c r="Q678" s="215"/>
      <c r="R678" s="215"/>
      <c r="S678" s="215"/>
      <c r="T678" s="215"/>
      <c r="U678" s="215"/>
      <c r="V678" s="215"/>
      <c r="W678" s="215"/>
      <c r="X678" s="215"/>
      <c r="Y678" s="215"/>
      <c r="Z678" s="215"/>
      <c r="AA678" s="215"/>
      <c r="AB678" s="215"/>
      <c r="AC678" s="215"/>
      <c r="AD678" s="215"/>
      <c r="AE678" s="215"/>
      <c r="AF678" s="215"/>
      <c r="AG678" s="215"/>
    </row>
    <row r="679" spans="1:33" ht="13.2">
      <c r="A679" s="215"/>
      <c r="B679" s="215"/>
      <c r="C679" s="215"/>
      <c r="D679" s="215"/>
      <c r="E679" s="215"/>
      <c r="F679" s="215"/>
      <c r="G679" s="215"/>
      <c r="H679" s="215"/>
      <c r="I679" s="215"/>
      <c r="J679" s="215"/>
      <c r="K679" s="215"/>
      <c r="L679" s="215"/>
      <c r="M679" s="215"/>
      <c r="N679" s="215"/>
      <c r="O679" s="215"/>
      <c r="P679" s="215"/>
      <c r="Q679" s="215"/>
      <c r="R679" s="215"/>
      <c r="S679" s="215"/>
      <c r="T679" s="215"/>
      <c r="U679" s="215"/>
      <c r="V679" s="215"/>
      <c r="W679" s="215"/>
      <c r="X679" s="215"/>
      <c r="Y679" s="215"/>
      <c r="Z679" s="215"/>
      <c r="AA679" s="215"/>
      <c r="AB679" s="215"/>
      <c r="AC679" s="215"/>
      <c r="AD679" s="215"/>
      <c r="AE679" s="215"/>
      <c r="AF679" s="215"/>
      <c r="AG679" s="215"/>
    </row>
    <row r="680" spans="1:33" ht="13.2">
      <c r="A680" s="215"/>
      <c r="B680" s="215"/>
      <c r="C680" s="215"/>
      <c r="D680" s="215"/>
      <c r="E680" s="215"/>
      <c r="F680" s="215"/>
      <c r="G680" s="215"/>
      <c r="H680" s="215"/>
      <c r="I680" s="215"/>
      <c r="J680" s="215"/>
      <c r="K680" s="215"/>
      <c r="L680" s="215"/>
      <c r="M680" s="215"/>
      <c r="N680" s="215"/>
      <c r="O680" s="215"/>
      <c r="P680" s="215"/>
      <c r="Q680" s="215"/>
      <c r="R680" s="215"/>
      <c r="S680" s="215"/>
      <c r="T680" s="215"/>
      <c r="U680" s="215"/>
      <c r="V680" s="215"/>
      <c r="W680" s="215"/>
      <c r="X680" s="215"/>
      <c r="Y680" s="215"/>
      <c r="Z680" s="215"/>
      <c r="AA680" s="215"/>
      <c r="AB680" s="215"/>
      <c r="AC680" s="215"/>
      <c r="AD680" s="215"/>
      <c r="AE680" s="215"/>
      <c r="AF680" s="215"/>
      <c r="AG680" s="215"/>
    </row>
    <row r="681" spans="1:33" ht="13.2">
      <c r="A681" s="215"/>
      <c r="B681" s="215"/>
      <c r="C681" s="215"/>
      <c r="D681" s="215"/>
      <c r="E681" s="215"/>
      <c r="F681" s="215"/>
      <c r="G681" s="215"/>
      <c r="H681" s="215"/>
      <c r="I681" s="215"/>
      <c r="J681" s="215"/>
      <c r="K681" s="215"/>
      <c r="L681" s="215"/>
      <c r="M681" s="215"/>
      <c r="N681" s="215"/>
      <c r="O681" s="215"/>
      <c r="P681" s="215"/>
      <c r="Q681" s="215"/>
      <c r="R681" s="215"/>
      <c r="S681" s="215"/>
      <c r="T681" s="215"/>
      <c r="U681" s="215"/>
      <c r="V681" s="215"/>
      <c r="W681" s="215"/>
      <c r="X681" s="215"/>
      <c r="Y681" s="215"/>
      <c r="Z681" s="215"/>
      <c r="AA681" s="215"/>
      <c r="AB681" s="215"/>
      <c r="AC681" s="215"/>
      <c r="AD681" s="215"/>
      <c r="AE681" s="215"/>
      <c r="AF681" s="215"/>
      <c r="AG681" s="215"/>
    </row>
    <row r="682" spans="1:33" ht="13.2">
      <c r="A682" s="215"/>
      <c r="B682" s="215"/>
      <c r="C682" s="215"/>
      <c r="D682" s="215"/>
      <c r="E682" s="215"/>
      <c r="F682" s="215"/>
      <c r="G682" s="215"/>
      <c r="H682" s="215"/>
      <c r="I682" s="215"/>
      <c r="J682" s="215"/>
      <c r="K682" s="215"/>
      <c r="L682" s="215"/>
      <c r="M682" s="215"/>
      <c r="N682" s="215"/>
      <c r="O682" s="215"/>
      <c r="P682" s="215"/>
      <c r="Q682" s="215"/>
      <c r="R682" s="215"/>
      <c r="S682" s="215"/>
      <c r="T682" s="215"/>
      <c r="U682" s="215"/>
      <c r="V682" s="215"/>
      <c r="W682" s="215"/>
      <c r="X682" s="215"/>
      <c r="Y682" s="215"/>
      <c r="Z682" s="215"/>
      <c r="AA682" s="215"/>
      <c r="AB682" s="215"/>
      <c r="AC682" s="215"/>
      <c r="AD682" s="215"/>
      <c r="AE682" s="215"/>
      <c r="AF682" s="215"/>
      <c r="AG682" s="215"/>
    </row>
    <row r="683" spans="1:33" ht="13.2">
      <c r="A683" s="215"/>
      <c r="B683" s="215"/>
      <c r="C683" s="215"/>
      <c r="D683" s="215"/>
      <c r="E683" s="215"/>
      <c r="F683" s="215"/>
      <c r="G683" s="215"/>
      <c r="H683" s="215"/>
      <c r="I683" s="215"/>
      <c r="J683" s="215"/>
      <c r="K683" s="215"/>
      <c r="L683" s="215"/>
      <c r="M683" s="215"/>
      <c r="N683" s="215"/>
      <c r="O683" s="215"/>
      <c r="P683" s="215"/>
      <c r="Q683" s="215"/>
      <c r="R683" s="215"/>
      <c r="S683" s="215"/>
      <c r="T683" s="215"/>
      <c r="U683" s="215"/>
      <c r="V683" s="215"/>
      <c r="W683" s="215"/>
      <c r="X683" s="215"/>
      <c r="Y683" s="215"/>
      <c r="Z683" s="215"/>
      <c r="AA683" s="215"/>
      <c r="AB683" s="215"/>
      <c r="AC683" s="215"/>
      <c r="AD683" s="215"/>
      <c r="AE683" s="215"/>
      <c r="AF683" s="215"/>
      <c r="AG683" s="215"/>
    </row>
    <row r="684" spans="1:33" ht="13.2">
      <c r="A684" s="215"/>
      <c r="B684" s="215"/>
      <c r="C684" s="215"/>
      <c r="D684" s="215"/>
      <c r="E684" s="215"/>
      <c r="F684" s="215"/>
      <c r="G684" s="215"/>
      <c r="H684" s="215"/>
      <c r="I684" s="215"/>
      <c r="J684" s="215"/>
      <c r="K684" s="215"/>
      <c r="L684" s="215"/>
      <c r="M684" s="215"/>
      <c r="N684" s="215"/>
      <c r="O684" s="215"/>
      <c r="P684" s="215"/>
      <c r="Q684" s="215"/>
      <c r="R684" s="215"/>
      <c r="S684" s="215"/>
      <c r="T684" s="215"/>
      <c r="U684" s="215"/>
      <c r="V684" s="215"/>
      <c r="W684" s="215"/>
      <c r="X684" s="215"/>
      <c r="Y684" s="215"/>
      <c r="Z684" s="215"/>
      <c r="AA684" s="215"/>
      <c r="AB684" s="215"/>
      <c r="AC684" s="215"/>
      <c r="AD684" s="215"/>
      <c r="AE684" s="215"/>
      <c r="AF684" s="215"/>
      <c r="AG684" s="215"/>
    </row>
    <row r="685" spans="1:33" ht="13.2">
      <c r="A685" s="215"/>
      <c r="B685" s="215"/>
      <c r="C685" s="215"/>
      <c r="D685" s="215"/>
      <c r="E685" s="215"/>
      <c r="F685" s="215"/>
      <c r="G685" s="215"/>
      <c r="H685" s="215"/>
      <c r="I685" s="215"/>
      <c r="J685" s="215"/>
      <c r="K685" s="215"/>
      <c r="L685" s="215"/>
      <c r="M685" s="215"/>
      <c r="N685" s="215"/>
      <c r="O685" s="215"/>
      <c r="P685" s="215"/>
      <c r="Q685" s="215"/>
      <c r="R685" s="215"/>
      <c r="S685" s="215"/>
      <c r="T685" s="215"/>
      <c r="U685" s="215"/>
      <c r="V685" s="215"/>
      <c r="W685" s="215"/>
      <c r="X685" s="215"/>
      <c r="Y685" s="215"/>
      <c r="Z685" s="215"/>
      <c r="AA685" s="215"/>
      <c r="AB685" s="215"/>
      <c r="AC685" s="215"/>
      <c r="AD685" s="215"/>
      <c r="AE685" s="215"/>
      <c r="AF685" s="215"/>
      <c r="AG685" s="215"/>
    </row>
    <row r="686" spans="1:33" ht="13.2">
      <c r="A686" s="215"/>
      <c r="B686" s="215"/>
      <c r="C686" s="215"/>
      <c r="D686" s="215"/>
      <c r="E686" s="215"/>
      <c r="F686" s="215"/>
      <c r="G686" s="215"/>
      <c r="H686" s="215"/>
      <c r="I686" s="215"/>
      <c r="J686" s="215"/>
      <c r="K686" s="215"/>
      <c r="L686" s="215"/>
      <c r="M686" s="215"/>
      <c r="N686" s="215"/>
      <c r="O686" s="215"/>
      <c r="P686" s="215"/>
      <c r="Q686" s="215"/>
      <c r="R686" s="215"/>
      <c r="S686" s="215"/>
      <c r="T686" s="215"/>
      <c r="U686" s="215"/>
      <c r="V686" s="215"/>
      <c r="W686" s="215"/>
      <c r="X686" s="215"/>
      <c r="Y686" s="215"/>
      <c r="Z686" s="215"/>
      <c r="AA686" s="215"/>
      <c r="AB686" s="215"/>
      <c r="AC686" s="215"/>
      <c r="AD686" s="215"/>
      <c r="AE686" s="215"/>
      <c r="AF686" s="215"/>
      <c r="AG686" s="215"/>
    </row>
    <row r="687" spans="1:33" ht="13.2">
      <c r="A687" s="215"/>
      <c r="B687" s="215"/>
      <c r="C687" s="215"/>
      <c r="D687" s="215"/>
      <c r="E687" s="215"/>
      <c r="F687" s="215"/>
      <c r="G687" s="215"/>
      <c r="H687" s="215"/>
      <c r="I687" s="215"/>
      <c r="J687" s="215"/>
      <c r="K687" s="215"/>
      <c r="L687" s="215"/>
      <c r="M687" s="215"/>
      <c r="N687" s="215"/>
      <c r="O687" s="215"/>
      <c r="P687" s="215"/>
      <c r="Q687" s="215"/>
      <c r="R687" s="215"/>
      <c r="S687" s="215"/>
      <c r="T687" s="215"/>
      <c r="U687" s="215"/>
      <c r="V687" s="215"/>
      <c r="W687" s="215"/>
      <c r="X687" s="215"/>
      <c r="Y687" s="215"/>
      <c r="Z687" s="215"/>
      <c r="AA687" s="215"/>
      <c r="AB687" s="215"/>
      <c r="AC687" s="215"/>
      <c r="AD687" s="215"/>
      <c r="AE687" s="215"/>
      <c r="AF687" s="215"/>
      <c r="AG687" s="215"/>
    </row>
    <row r="688" spans="1:33" ht="13.2">
      <c r="A688" s="215"/>
      <c r="B688" s="215"/>
      <c r="C688" s="215"/>
      <c r="D688" s="215"/>
      <c r="E688" s="215"/>
      <c r="F688" s="215"/>
      <c r="G688" s="215"/>
      <c r="H688" s="215"/>
      <c r="I688" s="215"/>
      <c r="J688" s="215"/>
      <c r="K688" s="215"/>
      <c r="L688" s="215"/>
      <c r="M688" s="215"/>
      <c r="N688" s="215"/>
      <c r="O688" s="215"/>
      <c r="P688" s="215"/>
      <c r="Q688" s="215"/>
      <c r="R688" s="215"/>
      <c r="S688" s="215"/>
      <c r="T688" s="215"/>
      <c r="U688" s="215"/>
      <c r="V688" s="215"/>
      <c r="W688" s="215"/>
      <c r="X688" s="215"/>
      <c r="Y688" s="215"/>
      <c r="Z688" s="215"/>
      <c r="AA688" s="215"/>
      <c r="AB688" s="215"/>
      <c r="AC688" s="215"/>
      <c r="AD688" s="215"/>
      <c r="AE688" s="215"/>
      <c r="AF688" s="215"/>
      <c r="AG688" s="215"/>
    </row>
    <row r="689" spans="1:33" ht="13.2">
      <c r="A689" s="215"/>
      <c r="B689" s="215"/>
      <c r="C689" s="215"/>
      <c r="D689" s="215"/>
      <c r="E689" s="215"/>
      <c r="F689" s="215"/>
      <c r="G689" s="215"/>
      <c r="H689" s="215"/>
      <c r="I689" s="215"/>
      <c r="J689" s="215"/>
      <c r="K689" s="215"/>
      <c r="L689" s="215"/>
      <c r="M689" s="215"/>
      <c r="N689" s="215"/>
      <c r="O689" s="215"/>
      <c r="P689" s="215"/>
      <c r="Q689" s="215"/>
      <c r="R689" s="215"/>
      <c r="S689" s="215"/>
      <c r="T689" s="215"/>
      <c r="U689" s="215"/>
      <c r="V689" s="215"/>
      <c r="W689" s="215"/>
      <c r="X689" s="215"/>
      <c r="Y689" s="215"/>
      <c r="Z689" s="215"/>
      <c r="AA689" s="215"/>
      <c r="AB689" s="215"/>
      <c r="AC689" s="215"/>
      <c r="AD689" s="215"/>
      <c r="AE689" s="215"/>
      <c r="AF689" s="215"/>
      <c r="AG689" s="215"/>
    </row>
    <row r="690" spans="1:33" ht="13.2">
      <c r="A690" s="215"/>
      <c r="B690" s="215"/>
      <c r="C690" s="215"/>
      <c r="D690" s="215"/>
      <c r="E690" s="215"/>
      <c r="F690" s="215"/>
      <c r="G690" s="215"/>
      <c r="H690" s="215"/>
      <c r="I690" s="215"/>
      <c r="J690" s="215"/>
      <c r="K690" s="215"/>
      <c r="L690" s="215"/>
      <c r="M690" s="215"/>
      <c r="N690" s="215"/>
      <c r="O690" s="215"/>
      <c r="P690" s="215"/>
      <c r="Q690" s="215"/>
      <c r="R690" s="215"/>
      <c r="S690" s="215"/>
      <c r="T690" s="215"/>
      <c r="U690" s="215"/>
      <c r="V690" s="215"/>
      <c r="W690" s="215"/>
      <c r="X690" s="215"/>
      <c r="Y690" s="215"/>
      <c r="Z690" s="215"/>
      <c r="AA690" s="215"/>
      <c r="AB690" s="215"/>
      <c r="AC690" s="215"/>
      <c r="AD690" s="215"/>
      <c r="AE690" s="215"/>
      <c r="AF690" s="215"/>
      <c r="AG690" s="215"/>
    </row>
    <row r="691" spans="1:33" ht="13.2">
      <c r="A691" s="215"/>
      <c r="B691" s="215"/>
      <c r="C691" s="215"/>
      <c r="D691" s="215"/>
      <c r="E691" s="215"/>
      <c r="F691" s="215"/>
      <c r="G691" s="215"/>
      <c r="H691" s="215"/>
      <c r="I691" s="215"/>
      <c r="J691" s="215"/>
      <c r="K691" s="215"/>
      <c r="L691" s="215"/>
      <c r="M691" s="215"/>
      <c r="N691" s="215"/>
      <c r="O691" s="215"/>
      <c r="P691" s="215"/>
      <c r="Q691" s="215"/>
      <c r="R691" s="215"/>
      <c r="S691" s="215"/>
      <c r="T691" s="215"/>
      <c r="U691" s="215"/>
      <c r="V691" s="215"/>
      <c r="W691" s="215"/>
      <c r="X691" s="215"/>
      <c r="Y691" s="215"/>
      <c r="Z691" s="215"/>
      <c r="AA691" s="215"/>
      <c r="AB691" s="215"/>
      <c r="AC691" s="215"/>
      <c r="AD691" s="215"/>
      <c r="AE691" s="215"/>
      <c r="AF691" s="215"/>
      <c r="AG691" s="215"/>
    </row>
    <row r="692" spans="1:33" ht="13.2">
      <c r="A692" s="215"/>
      <c r="B692" s="215"/>
      <c r="C692" s="215"/>
      <c r="D692" s="215"/>
      <c r="E692" s="215"/>
      <c r="F692" s="215"/>
      <c r="G692" s="215"/>
      <c r="H692" s="215"/>
      <c r="I692" s="215"/>
      <c r="J692" s="215"/>
      <c r="K692" s="215"/>
      <c r="L692" s="215"/>
      <c r="M692" s="215"/>
      <c r="N692" s="215"/>
      <c r="O692" s="215"/>
      <c r="P692" s="215"/>
      <c r="Q692" s="215"/>
      <c r="R692" s="215"/>
      <c r="S692" s="215"/>
      <c r="T692" s="215"/>
      <c r="U692" s="215"/>
      <c r="V692" s="215"/>
      <c r="W692" s="215"/>
      <c r="X692" s="215"/>
      <c r="Y692" s="215"/>
      <c r="Z692" s="215"/>
      <c r="AA692" s="215"/>
      <c r="AB692" s="215"/>
      <c r="AC692" s="215"/>
      <c r="AD692" s="215"/>
      <c r="AE692" s="215"/>
      <c r="AF692" s="215"/>
      <c r="AG692" s="215"/>
    </row>
    <row r="693" spans="1:33" ht="13.2">
      <c r="A693" s="215"/>
      <c r="B693" s="215"/>
      <c r="C693" s="215"/>
      <c r="D693" s="215"/>
      <c r="E693" s="215"/>
      <c r="F693" s="215"/>
      <c r="G693" s="215"/>
      <c r="H693" s="215"/>
      <c r="I693" s="215"/>
      <c r="J693" s="215"/>
      <c r="K693" s="215"/>
      <c r="L693" s="215"/>
      <c r="M693" s="215"/>
      <c r="N693" s="215"/>
      <c r="O693" s="215"/>
      <c r="P693" s="215"/>
      <c r="Q693" s="215"/>
      <c r="R693" s="215"/>
      <c r="S693" s="215"/>
      <c r="T693" s="215"/>
      <c r="U693" s="215"/>
      <c r="V693" s="215"/>
      <c r="W693" s="215"/>
      <c r="X693" s="215"/>
      <c r="Y693" s="215"/>
      <c r="Z693" s="215"/>
      <c r="AA693" s="215"/>
      <c r="AB693" s="215"/>
      <c r="AC693" s="215"/>
      <c r="AD693" s="215"/>
      <c r="AE693" s="215"/>
      <c r="AF693" s="215"/>
      <c r="AG693" s="215"/>
    </row>
    <row r="694" spans="1:33" ht="13.2">
      <c r="A694" s="215"/>
      <c r="B694" s="215"/>
      <c r="C694" s="215"/>
      <c r="D694" s="215"/>
      <c r="E694" s="215"/>
      <c r="F694" s="215"/>
      <c r="G694" s="215"/>
      <c r="H694" s="215"/>
      <c r="I694" s="215"/>
      <c r="J694" s="215"/>
      <c r="K694" s="215"/>
      <c r="L694" s="215"/>
      <c r="M694" s="215"/>
      <c r="N694" s="215"/>
      <c r="O694" s="215"/>
      <c r="P694" s="215"/>
      <c r="Q694" s="215"/>
      <c r="R694" s="215"/>
      <c r="S694" s="215"/>
      <c r="T694" s="215"/>
      <c r="U694" s="215"/>
      <c r="V694" s="215"/>
      <c r="W694" s="215"/>
      <c r="X694" s="215"/>
      <c r="Y694" s="215"/>
      <c r="Z694" s="215"/>
      <c r="AA694" s="215"/>
      <c r="AB694" s="215"/>
      <c r="AC694" s="215"/>
      <c r="AD694" s="215"/>
      <c r="AE694" s="215"/>
      <c r="AF694" s="215"/>
      <c r="AG694" s="215"/>
    </row>
    <row r="695" spans="1:33" ht="13.2">
      <c r="A695" s="215"/>
      <c r="B695" s="215"/>
      <c r="C695" s="215"/>
      <c r="D695" s="215"/>
      <c r="E695" s="215"/>
      <c r="F695" s="215"/>
      <c r="G695" s="215"/>
      <c r="H695" s="215"/>
      <c r="I695" s="215"/>
      <c r="J695" s="215"/>
      <c r="K695" s="215"/>
      <c r="L695" s="215"/>
      <c r="M695" s="215"/>
      <c r="N695" s="215"/>
      <c r="O695" s="215"/>
      <c r="P695" s="215"/>
      <c r="Q695" s="215"/>
      <c r="R695" s="215"/>
      <c r="S695" s="215"/>
      <c r="T695" s="215"/>
      <c r="U695" s="215"/>
      <c r="V695" s="215"/>
      <c r="W695" s="215"/>
      <c r="X695" s="215"/>
      <c r="Y695" s="215"/>
      <c r="Z695" s="215"/>
      <c r="AA695" s="215"/>
      <c r="AB695" s="215"/>
      <c r="AC695" s="215"/>
      <c r="AD695" s="215"/>
      <c r="AE695" s="215"/>
      <c r="AF695" s="215"/>
      <c r="AG695" s="215"/>
    </row>
    <row r="696" spans="1:33" ht="13.2">
      <c r="A696" s="215"/>
      <c r="B696" s="215"/>
      <c r="C696" s="215"/>
      <c r="D696" s="215"/>
      <c r="E696" s="215"/>
      <c r="F696" s="215"/>
      <c r="G696" s="215"/>
      <c r="H696" s="215"/>
      <c r="I696" s="215"/>
      <c r="J696" s="215"/>
      <c r="K696" s="215"/>
      <c r="L696" s="215"/>
      <c r="M696" s="215"/>
      <c r="N696" s="215"/>
      <c r="O696" s="215"/>
      <c r="P696" s="215"/>
      <c r="Q696" s="215"/>
      <c r="R696" s="215"/>
      <c r="S696" s="215"/>
      <c r="T696" s="215"/>
      <c r="U696" s="215"/>
      <c r="V696" s="215"/>
      <c r="W696" s="215"/>
      <c r="X696" s="215"/>
      <c r="Y696" s="215"/>
      <c r="Z696" s="215"/>
      <c r="AA696" s="215"/>
      <c r="AB696" s="215"/>
      <c r="AC696" s="215"/>
      <c r="AD696" s="215"/>
      <c r="AE696" s="215"/>
      <c r="AF696" s="215"/>
      <c r="AG696" s="215"/>
    </row>
    <row r="697" spans="1:33" ht="13.2">
      <c r="A697" s="215"/>
      <c r="B697" s="215"/>
      <c r="C697" s="215"/>
      <c r="D697" s="215"/>
      <c r="E697" s="215"/>
      <c r="F697" s="215"/>
      <c r="G697" s="215"/>
      <c r="H697" s="215"/>
      <c r="I697" s="215"/>
      <c r="J697" s="215"/>
      <c r="K697" s="215"/>
      <c r="L697" s="215"/>
      <c r="M697" s="215"/>
      <c r="N697" s="215"/>
      <c r="O697" s="215"/>
      <c r="P697" s="215"/>
      <c r="Q697" s="215"/>
      <c r="R697" s="215"/>
      <c r="S697" s="215"/>
      <c r="T697" s="215"/>
      <c r="U697" s="215"/>
      <c r="V697" s="215"/>
      <c r="W697" s="215"/>
      <c r="X697" s="215"/>
      <c r="Y697" s="215"/>
      <c r="Z697" s="215"/>
      <c r="AA697" s="215"/>
      <c r="AB697" s="215"/>
      <c r="AC697" s="215"/>
      <c r="AD697" s="215"/>
      <c r="AE697" s="215"/>
      <c r="AF697" s="215"/>
      <c r="AG697" s="215"/>
    </row>
    <row r="698" spans="1:33" ht="13.2">
      <c r="A698" s="215"/>
      <c r="B698" s="215"/>
      <c r="C698" s="215"/>
      <c r="D698" s="215"/>
      <c r="E698" s="215"/>
      <c r="F698" s="215"/>
      <c r="G698" s="215"/>
      <c r="H698" s="215"/>
      <c r="I698" s="215"/>
      <c r="J698" s="215"/>
      <c r="K698" s="215"/>
      <c r="L698" s="215"/>
      <c r="M698" s="215"/>
      <c r="N698" s="215"/>
      <c r="O698" s="215"/>
      <c r="P698" s="215"/>
      <c r="Q698" s="215"/>
      <c r="R698" s="215"/>
      <c r="S698" s="215"/>
      <c r="T698" s="215"/>
      <c r="U698" s="215"/>
      <c r="V698" s="215"/>
      <c r="W698" s="215"/>
      <c r="X698" s="215"/>
      <c r="Y698" s="215"/>
      <c r="Z698" s="215"/>
      <c r="AA698" s="215"/>
      <c r="AB698" s="215"/>
      <c r="AC698" s="215"/>
      <c r="AD698" s="215"/>
      <c r="AE698" s="215"/>
      <c r="AF698" s="215"/>
      <c r="AG698" s="215"/>
    </row>
    <row r="699" spans="1:33" ht="13.2">
      <c r="A699" s="215"/>
      <c r="B699" s="215"/>
      <c r="C699" s="215"/>
      <c r="D699" s="215"/>
      <c r="E699" s="215"/>
      <c r="F699" s="215"/>
      <c r="G699" s="215"/>
      <c r="H699" s="215"/>
      <c r="I699" s="215"/>
      <c r="J699" s="215"/>
      <c r="K699" s="215"/>
      <c r="L699" s="215"/>
      <c r="M699" s="215"/>
      <c r="N699" s="215"/>
      <c r="O699" s="215"/>
      <c r="P699" s="215"/>
      <c r="Q699" s="215"/>
      <c r="R699" s="215"/>
      <c r="S699" s="215"/>
      <c r="T699" s="215"/>
      <c r="U699" s="215"/>
      <c r="V699" s="215"/>
      <c r="W699" s="215"/>
      <c r="X699" s="215"/>
      <c r="Y699" s="215"/>
      <c r="Z699" s="215"/>
      <c r="AA699" s="215"/>
      <c r="AB699" s="215"/>
      <c r="AC699" s="215"/>
      <c r="AD699" s="215"/>
      <c r="AE699" s="215"/>
      <c r="AF699" s="215"/>
      <c r="AG699" s="215"/>
    </row>
    <row r="700" spans="1:33" ht="13.2">
      <c r="A700" s="215"/>
      <c r="B700" s="215"/>
      <c r="C700" s="215"/>
      <c r="D700" s="215"/>
      <c r="E700" s="215"/>
      <c r="F700" s="215"/>
      <c r="G700" s="215"/>
      <c r="H700" s="215"/>
      <c r="I700" s="215"/>
      <c r="J700" s="215"/>
      <c r="K700" s="215"/>
      <c r="L700" s="215"/>
      <c r="M700" s="215"/>
      <c r="N700" s="215"/>
      <c r="O700" s="215"/>
      <c r="P700" s="215"/>
      <c r="Q700" s="215"/>
      <c r="R700" s="215"/>
      <c r="S700" s="215"/>
      <c r="T700" s="215"/>
      <c r="U700" s="215"/>
      <c r="V700" s="215"/>
      <c r="W700" s="215"/>
      <c r="X700" s="215"/>
      <c r="Y700" s="215"/>
      <c r="Z700" s="215"/>
      <c r="AA700" s="215"/>
      <c r="AB700" s="215"/>
      <c r="AC700" s="215"/>
      <c r="AD700" s="215"/>
      <c r="AE700" s="215"/>
      <c r="AF700" s="215"/>
      <c r="AG700" s="215"/>
    </row>
    <row r="701" spans="1:33" ht="13.2">
      <c r="A701" s="215"/>
      <c r="B701" s="215"/>
      <c r="C701" s="215"/>
      <c r="D701" s="215"/>
      <c r="E701" s="215"/>
      <c r="F701" s="215"/>
      <c r="G701" s="215"/>
      <c r="H701" s="215"/>
      <c r="I701" s="215"/>
      <c r="J701" s="215"/>
      <c r="K701" s="215"/>
      <c r="L701" s="215"/>
      <c r="M701" s="215"/>
      <c r="N701" s="215"/>
      <c r="O701" s="215"/>
      <c r="P701" s="215"/>
      <c r="Q701" s="215"/>
      <c r="R701" s="215"/>
      <c r="S701" s="215"/>
      <c r="T701" s="215"/>
      <c r="U701" s="215"/>
      <c r="V701" s="215"/>
      <c r="W701" s="215"/>
      <c r="X701" s="215"/>
      <c r="Y701" s="215"/>
      <c r="Z701" s="215"/>
      <c r="AA701" s="215"/>
      <c r="AB701" s="215"/>
      <c r="AC701" s="215"/>
      <c r="AD701" s="215"/>
      <c r="AE701" s="215"/>
      <c r="AF701" s="215"/>
      <c r="AG701" s="215"/>
    </row>
    <row r="702" spans="1:33" ht="13.2">
      <c r="A702" s="215"/>
      <c r="B702" s="215"/>
      <c r="C702" s="215"/>
      <c r="D702" s="215"/>
      <c r="E702" s="215"/>
      <c r="F702" s="215"/>
      <c r="G702" s="215"/>
      <c r="H702" s="215"/>
      <c r="I702" s="215"/>
      <c r="J702" s="215"/>
      <c r="K702" s="215"/>
      <c r="L702" s="215"/>
      <c r="M702" s="215"/>
      <c r="N702" s="215"/>
      <c r="O702" s="215"/>
      <c r="P702" s="215"/>
      <c r="Q702" s="215"/>
      <c r="R702" s="215"/>
      <c r="S702" s="215"/>
      <c r="T702" s="215"/>
      <c r="U702" s="215"/>
      <c r="V702" s="215"/>
      <c r="W702" s="215"/>
      <c r="X702" s="215"/>
      <c r="Y702" s="215"/>
      <c r="Z702" s="215"/>
      <c r="AA702" s="215"/>
      <c r="AB702" s="215"/>
      <c r="AC702" s="215"/>
      <c r="AD702" s="215"/>
      <c r="AE702" s="215"/>
      <c r="AF702" s="215"/>
      <c r="AG702" s="215"/>
    </row>
    <row r="703" spans="1:33" ht="13.2">
      <c r="A703" s="215"/>
      <c r="B703" s="215"/>
      <c r="C703" s="215"/>
      <c r="D703" s="215"/>
      <c r="E703" s="215"/>
      <c r="F703" s="215"/>
      <c r="G703" s="215"/>
      <c r="H703" s="215"/>
      <c r="I703" s="215"/>
      <c r="J703" s="215"/>
      <c r="K703" s="215"/>
      <c r="L703" s="215"/>
      <c r="M703" s="215"/>
      <c r="N703" s="215"/>
      <c r="O703" s="215"/>
      <c r="P703" s="215"/>
      <c r="Q703" s="215"/>
      <c r="R703" s="215"/>
      <c r="S703" s="215"/>
      <c r="T703" s="215"/>
      <c r="U703" s="215"/>
      <c r="V703" s="215"/>
      <c r="W703" s="215"/>
      <c r="X703" s="215"/>
      <c r="Y703" s="215"/>
      <c r="Z703" s="215"/>
      <c r="AA703" s="215"/>
      <c r="AB703" s="215"/>
      <c r="AC703" s="215"/>
      <c r="AD703" s="215"/>
      <c r="AE703" s="215"/>
      <c r="AF703" s="215"/>
      <c r="AG703" s="215"/>
    </row>
    <row r="704" spans="1:33" ht="13.2">
      <c r="A704" s="215"/>
      <c r="B704" s="215"/>
      <c r="C704" s="215"/>
      <c r="D704" s="215"/>
      <c r="E704" s="215"/>
      <c r="F704" s="215"/>
      <c r="G704" s="215"/>
      <c r="H704" s="215"/>
      <c r="I704" s="215"/>
      <c r="J704" s="215"/>
      <c r="K704" s="215"/>
      <c r="L704" s="215"/>
      <c r="M704" s="215"/>
      <c r="N704" s="215"/>
      <c r="O704" s="215"/>
      <c r="P704" s="215"/>
      <c r="Q704" s="215"/>
      <c r="R704" s="215"/>
      <c r="S704" s="215"/>
      <c r="T704" s="215"/>
      <c r="U704" s="215"/>
      <c r="V704" s="215"/>
      <c r="W704" s="215"/>
      <c r="X704" s="215"/>
      <c r="Y704" s="215"/>
      <c r="Z704" s="215"/>
      <c r="AA704" s="215"/>
      <c r="AB704" s="215"/>
      <c r="AC704" s="215"/>
      <c r="AD704" s="215"/>
      <c r="AE704" s="215"/>
      <c r="AF704" s="215"/>
      <c r="AG704" s="215"/>
    </row>
    <row r="705" spans="1:33" ht="13.2">
      <c r="A705" s="215"/>
      <c r="B705" s="215"/>
      <c r="C705" s="215"/>
      <c r="D705" s="215"/>
      <c r="E705" s="215"/>
      <c r="F705" s="215"/>
      <c r="G705" s="215"/>
      <c r="H705" s="215"/>
      <c r="I705" s="215"/>
      <c r="J705" s="215"/>
      <c r="K705" s="215"/>
      <c r="L705" s="215"/>
      <c r="M705" s="215"/>
      <c r="N705" s="215"/>
      <c r="O705" s="215"/>
      <c r="P705" s="215"/>
      <c r="Q705" s="215"/>
      <c r="R705" s="215"/>
      <c r="S705" s="215"/>
      <c r="T705" s="215"/>
      <c r="U705" s="215"/>
      <c r="V705" s="215"/>
      <c r="W705" s="215"/>
      <c r="X705" s="215"/>
      <c r="Y705" s="215"/>
      <c r="Z705" s="215"/>
      <c r="AA705" s="215"/>
      <c r="AB705" s="215"/>
      <c r="AC705" s="215"/>
      <c r="AD705" s="215"/>
      <c r="AE705" s="215"/>
      <c r="AF705" s="215"/>
      <c r="AG705" s="215"/>
    </row>
    <row r="706" spans="1:33" ht="13.2">
      <c r="A706" s="215"/>
      <c r="B706" s="215"/>
      <c r="C706" s="215"/>
      <c r="D706" s="215"/>
      <c r="E706" s="215"/>
      <c r="F706" s="215"/>
      <c r="G706" s="215"/>
      <c r="H706" s="215"/>
      <c r="I706" s="215"/>
      <c r="J706" s="215"/>
      <c r="K706" s="215"/>
      <c r="L706" s="215"/>
      <c r="M706" s="215"/>
      <c r="N706" s="215"/>
      <c r="O706" s="215"/>
      <c r="P706" s="215"/>
      <c r="Q706" s="215"/>
      <c r="R706" s="215"/>
      <c r="S706" s="215"/>
      <c r="T706" s="215"/>
      <c r="U706" s="215"/>
      <c r="V706" s="215"/>
      <c r="W706" s="215"/>
      <c r="X706" s="215"/>
      <c r="Y706" s="215"/>
      <c r="Z706" s="215"/>
      <c r="AA706" s="215"/>
      <c r="AB706" s="215"/>
      <c r="AC706" s="215"/>
      <c r="AD706" s="215"/>
      <c r="AE706" s="215"/>
      <c r="AF706" s="215"/>
      <c r="AG706" s="215"/>
    </row>
    <row r="707" spans="1:33" ht="13.2">
      <c r="A707" s="215"/>
      <c r="B707" s="215"/>
      <c r="C707" s="215"/>
      <c r="D707" s="215"/>
      <c r="E707" s="215"/>
      <c r="F707" s="215"/>
      <c r="G707" s="215"/>
      <c r="H707" s="215"/>
      <c r="I707" s="215"/>
      <c r="J707" s="215"/>
      <c r="K707" s="215"/>
      <c r="L707" s="215"/>
      <c r="M707" s="215"/>
      <c r="N707" s="215"/>
      <c r="O707" s="215"/>
      <c r="P707" s="215"/>
      <c r="Q707" s="215"/>
      <c r="R707" s="215"/>
      <c r="S707" s="215"/>
      <c r="T707" s="215"/>
      <c r="U707" s="215"/>
      <c r="V707" s="215"/>
      <c r="W707" s="215"/>
      <c r="X707" s="215"/>
      <c r="Y707" s="215"/>
      <c r="Z707" s="215"/>
      <c r="AA707" s="215"/>
      <c r="AB707" s="215"/>
      <c r="AC707" s="215"/>
      <c r="AD707" s="215"/>
      <c r="AE707" s="215"/>
      <c r="AF707" s="215"/>
      <c r="AG707" s="215"/>
    </row>
    <row r="708" spans="1:33" ht="13.2">
      <c r="A708" s="215"/>
      <c r="B708" s="215"/>
      <c r="C708" s="215"/>
      <c r="D708" s="215"/>
      <c r="E708" s="215"/>
      <c r="F708" s="215"/>
      <c r="G708" s="215"/>
      <c r="H708" s="215"/>
      <c r="I708" s="215"/>
      <c r="J708" s="215"/>
      <c r="K708" s="215"/>
      <c r="L708" s="215"/>
      <c r="M708" s="215"/>
      <c r="N708" s="215"/>
      <c r="O708" s="215"/>
      <c r="P708" s="215"/>
      <c r="Q708" s="215"/>
      <c r="R708" s="215"/>
      <c r="S708" s="215"/>
      <c r="T708" s="215"/>
      <c r="U708" s="215"/>
      <c r="V708" s="215"/>
      <c r="W708" s="215"/>
      <c r="X708" s="215"/>
      <c r="Y708" s="215"/>
      <c r="Z708" s="215"/>
      <c r="AA708" s="215"/>
      <c r="AB708" s="215"/>
      <c r="AC708" s="215"/>
      <c r="AD708" s="215"/>
      <c r="AE708" s="215"/>
      <c r="AF708" s="215"/>
      <c r="AG708" s="215"/>
    </row>
    <row r="709" spans="1:33" ht="13.2">
      <c r="A709" s="215"/>
      <c r="B709" s="215"/>
      <c r="C709" s="215"/>
      <c r="D709" s="215"/>
      <c r="E709" s="215"/>
      <c r="F709" s="215"/>
      <c r="G709" s="215"/>
      <c r="H709" s="215"/>
      <c r="I709" s="215"/>
      <c r="J709" s="215"/>
      <c r="K709" s="215"/>
      <c r="L709" s="215"/>
      <c r="M709" s="215"/>
      <c r="N709" s="215"/>
      <c r="O709" s="215"/>
      <c r="P709" s="215"/>
      <c r="Q709" s="215"/>
      <c r="R709" s="215"/>
      <c r="S709" s="215"/>
      <c r="T709" s="215"/>
      <c r="U709" s="215"/>
      <c r="V709" s="215"/>
      <c r="W709" s="215"/>
      <c r="X709" s="215"/>
      <c r="Y709" s="215"/>
      <c r="Z709" s="215"/>
      <c r="AA709" s="215"/>
      <c r="AB709" s="215"/>
      <c r="AC709" s="215"/>
      <c r="AD709" s="215"/>
      <c r="AE709" s="215"/>
      <c r="AF709" s="215"/>
      <c r="AG709" s="215"/>
    </row>
    <row r="710" spans="1:33" ht="13.2">
      <c r="A710" s="215"/>
      <c r="B710" s="215"/>
      <c r="C710" s="215"/>
      <c r="D710" s="215"/>
      <c r="E710" s="215"/>
      <c r="F710" s="215"/>
      <c r="G710" s="215"/>
      <c r="H710" s="215"/>
      <c r="I710" s="215"/>
      <c r="J710" s="215"/>
      <c r="K710" s="215"/>
      <c r="L710" s="215"/>
      <c r="M710" s="215"/>
      <c r="N710" s="215"/>
      <c r="O710" s="215"/>
      <c r="P710" s="215"/>
      <c r="Q710" s="215"/>
      <c r="R710" s="215"/>
      <c r="S710" s="215"/>
      <c r="T710" s="215"/>
      <c r="U710" s="215"/>
      <c r="V710" s="215"/>
      <c r="W710" s="215"/>
      <c r="X710" s="215"/>
      <c r="Y710" s="215"/>
      <c r="Z710" s="215"/>
      <c r="AA710" s="215"/>
      <c r="AB710" s="215"/>
      <c r="AC710" s="215"/>
      <c r="AD710" s="215"/>
      <c r="AE710" s="215"/>
      <c r="AF710" s="215"/>
      <c r="AG710" s="215"/>
    </row>
    <row r="711" spans="1:33" ht="13.2">
      <c r="A711" s="215"/>
      <c r="B711" s="215"/>
      <c r="C711" s="215"/>
      <c r="D711" s="215"/>
      <c r="E711" s="215"/>
      <c r="F711" s="215"/>
      <c r="G711" s="215"/>
      <c r="H711" s="215"/>
      <c r="I711" s="215"/>
      <c r="J711" s="215"/>
      <c r="K711" s="215"/>
      <c r="L711" s="215"/>
      <c r="M711" s="215"/>
      <c r="N711" s="215"/>
      <c r="O711" s="215"/>
      <c r="P711" s="215"/>
      <c r="Q711" s="215"/>
      <c r="R711" s="215"/>
      <c r="S711" s="215"/>
      <c r="T711" s="215"/>
      <c r="U711" s="215"/>
      <c r="V711" s="215"/>
      <c r="W711" s="215"/>
      <c r="X711" s="215"/>
      <c r="Y711" s="215"/>
      <c r="Z711" s="215"/>
      <c r="AA711" s="215"/>
      <c r="AB711" s="215"/>
      <c r="AC711" s="215"/>
      <c r="AD711" s="215"/>
      <c r="AE711" s="215"/>
      <c r="AF711" s="215"/>
      <c r="AG711" s="215"/>
    </row>
    <row r="712" spans="1:33" ht="13.2">
      <c r="A712" s="215"/>
      <c r="B712" s="215"/>
      <c r="C712" s="215"/>
      <c r="D712" s="215"/>
      <c r="E712" s="215"/>
      <c r="F712" s="215"/>
      <c r="G712" s="215"/>
      <c r="H712" s="215"/>
      <c r="I712" s="215"/>
      <c r="J712" s="215"/>
      <c r="K712" s="215"/>
      <c r="L712" s="215"/>
      <c r="M712" s="215"/>
      <c r="N712" s="215"/>
      <c r="O712" s="215"/>
      <c r="P712" s="215"/>
      <c r="Q712" s="215"/>
      <c r="R712" s="215"/>
      <c r="S712" s="215"/>
      <c r="T712" s="215"/>
      <c r="U712" s="215"/>
      <c r="V712" s="215"/>
      <c r="W712" s="215"/>
      <c r="X712" s="215"/>
      <c r="Y712" s="215"/>
      <c r="Z712" s="215"/>
      <c r="AA712" s="215"/>
      <c r="AB712" s="215"/>
      <c r="AC712" s="215"/>
      <c r="AD712" s="215"/>
      <c r="AE712" s="215"/>
      <c r="AF712" s="215"/>
      <c r="AG712" s="215"/>
    </row>
    <row r="713" spans="1:33" ht="13.2">
      <c r="A713" s="215"/>
      <c r="B713" s="215"/>
      <c r="C713" s="215"/>
      <c r="D713" s="215"/>
      <c r="E713" s="215"/>
      <c r="F713" s="215"/>
      <c r="G713" s="215"/>
      <c r="H713" s="215"/>
      <c r="I713" s="215"/>
      <c r="J713" s="215"/>
      <c r="K713" s="215"/>
      <c r="L713" s="215"/>
      <c r="M713" s="215"/>
      <c r="N713" s="215"/>
      <c r="O713" s="215"/>
      <c r="P713" s="215"/>
      <c r="Q713" s="215"/>
      <c r="R713" s="215"/>
      <c r="S713" s="215"/>
      <c r="T713" s="215"/>
      <c r="U713" s="215"/>
      <c r="V713" s="215"/>
      <c r="W713" s="215"/>
      <c r="X713" s="215"/>
      <c r="Y713" s="215"/>
      <c r="Z713" s="215"/>
      <c r="AA713" s="215"/>
      <c r="AB713" s="215"/>
      <c r="AC713" s="215"/>
      <c r="AD713" s="215"/>
      <c r="AE713" s="215"/>
      <c r="AF713" s="215"/>
      <c r="AG713" s="215"/>
    </row>
    <row r="714" spans="1:33" ht="13.2">
      <c r="A714" s="215"/>
      <c r="B714" s="215"/>
      <c r="C714" s="215"/>
      <c r="D714" s="215"/>
      <c r="E714" s="215"/>
      <c r="F714" s="215"/>
      <c r="G714" s="215"/>
      <c r="H714" s="215"/>
      <c r="I714" s="215"/>
      <c r="J714" s="215"/>
      <c r="K714" s="215"/>
      <c r="L714" s="215"/>
      <c r="M714" s="215"/>
      <c r="N714" s="215"/>
      <c r="O714" s="215"/>
      <c r="P714" s="215"/>
      <c r="Q714" s="215"/>
      <c r="R714" s="215"/>
      <c r="S714" s="215"/>
      <c r="T714" s="215"/>
      <c r="U714" s="215"/>
      <c r="V714" s="215"/>
      <c r="W714" s="215"/>
      <c r="X714" s="215"/>
      <c r="Y714" s="215"/>
      <c r="Z714" s="215"/>
      <c r="AA714" s="215"/>
      <c r="AB714" s="215"/>
      <c r="AC714" s="215"/>
      <c r="AD714" s="215"/>
      <c r="AE714" s="215"/>
      <c r="AF714" s="215"/>
      <c r="AG714" s="215"/>
    </row>
    <row r="715" spans="1:33" ht="13.2">
      <c r="A715" s="215"/>
      <c r="B715" s="215"/>
      <c r="C715" s="215"/>
      <c r="D715" s="215"/>
      <c r="E715" s="215"/>
      <c r="F715" s="215"/>
      <c r="G715" s="215"/>
      <c r="H715" s="215"/>
      <c r="I715" s="215"/>
      <c r="J715" s="215"/>
      <c r="K715" s="215"/>
      <c r="L715" s="215"/>
      <c r="M715" s="215"/>
      <c r="N715" s="215"/>
      <c r="O715" s="215"/>
      <c r="P715" s="215"/>
      <c r="Q715" s="215"/>
      <c r="R715" s="215"/>
      <c r="S715" s="215"/>
      <c r="T715" s="215"/>
      <c r="U715" s="215"/>
      <c r="V715" s="215"/>
      <c r="W715" s="215"/>
      <c r="X715" s="215"/>
      <c r="Y715" s="215"/>
      <c r="Z715" s="215"/>
      <c r="AA715" s="215"/>
      <c r="AB715" s="215"/>
      <c r="AC715" s="215"/>
      <c r="AD715" s="215"/>
      <c r="AE715" s="215"/>
      <c r="AF715" s="215"/>
      <c r="AG715" s="215"/>
    </row>
    <row r="716" spans="1:33" ht="13.2">
      <c r="A716" s="215"/>
      <c r="B716" s="215"/>
      <c r="C716" s="215"/>
      <c r="D716" s="215"/>
      <c r="E716" s="215"/>
      <c r="F716" s="215"/>
      <c r="G716" s="215"/>
      <c r="H716" s="215"/>
      <c r="I716" s="215"/>
      <c r="J716" s="215"/>
      <c r="K716" s="215"/>
      <c r="L716" s="215"/>
      <c r="M716" s="215"/>
      <c r="N716" s="215"/>
      <c r="O716" s="215"/>
      <c r="P716" s="215"/>
      <c r="Q716" s="215"/>
      <c r="R716" s="215"/>
      <c r="S716" s="215"/>
      <c r="T716" s="215"/>
      <c r="U716" s="215"/>
      <c r="V716" s="215"/>
      <c r="W716" s="215"/>
      <c r="X716" s="215"/>
      <c r="Y716" s="215"/>
      <c r="Z716" s="215"/>
      <c r="AA716" s="215"/>
      <c r="AB716" s="215"/>
      <c r="AC716" s="215"/>
      <c r="AD716" s="215"/>
      <c r="AE716" s="215"/>
      <c r="AF716" s="215"/>
      <c r="AG716" s="215"/>
    </row>
    <row r="717" spans="1:33" ht="13.2">
      <c r="A717" s="215"/>
      <c r="B717" s="215"/>
      <c r="C717" s="215"/>
      <c r="D717" s="215"/>
      <c r="E717" s="215"/>
      <c r="F717" s="215"/>
      <c r="G717" s="215"/>
      <c r="H717" s="215"/>
      <c r="I717" s="215"/>
      <c r="J717" s="215"/>
      <c r="K717" s="215"/>
      <c r="L717" s="215"/>
      <c r="M717" s="215"/>
      <c r="N717" s="215"/>
      <c r="O717" s="215"/>
      <c r="P717" s="215"/>
      <c r="Q717" s="215"/>
      <c r="R717" s="215"/>
      <c r="S717" s="215"/>
      <c r="T717" s="215"/>
      <c r="U717" s="215"/>
      <c r="V717" s="215"/>
      <c r="W717" s="215"/>
      <c r="X717" s="215"/>
      <c r="Y717" s="215"/>
      <c r="Z717" s="215"/>
      <c r="AA717" s="215"/>
      <c r="AB717" s="215"/>
      <c r="AC717" s="215"/>
      <c r="AD717" s="215"/>
      <c r="AE717" s="215"/>
      <c r="AF717" s="215"/>
      <c r="AG717" s="215"/>
    </row>
    <row r="718" spans="1:33" ht="13.2">
      <c r="A718" s="215"/>
      <c r="B718" s="215"/>
      <c r="C718" s="215"/>
      <c r="D718" s="215"/>
      <c r="E718" s="215"/>
      <c r="F718" s="215"/>
      <c r="G718" s="215"/>
      <c r="H718" s="215"/>
      <c r="I718" s="215"/>
      <c r="J718" s="215"/>
      <c r="K718" s="215"/>
      <c r="L718" s="215"/>
      <c r="M718" s="215"/>
      <c r="N718" s="215"/>
      <c r="O718" s="215"/>
      <c r="P718" s="215"/>
      <c r="Q718" s="215"/>
      <c r="R718" s="215"/>
      <c r="S718" s="215"/>
      <c r="T718" s="215"/>
      <c r="U718" s="215"/>
      <c r="V718" s="215"/>
      <c r="W718" s="215"/>
      <c r="X718" s="215"/>
      <c r="Y718" s="215"/>
      <c r="Z718" s="215"/>
      <c r="AA718" s="215"/>
      <c r="AB718" s="215"/>
      <c r="AC718" s="215"/>
      <c r="AD718" s="215"/>
      <c r="AE718" s="215"/>
      <c r="AF718" s="215"/>
      <c r="AG718" s="215"/>
    </row>
    <row r="719" spans="1:33" ht="13.2">
      <c r="A719" s="215"/>
      <c r="B719" s="215"/>
      <c r="C719" s="215"/>
      <c r="D719" s="215"/>
      <c r="E719" s="215"/>
      <c r="F719" s="215"/>
      <c r="G719" s="215"/>
      <c r="H719" s="215"/>
      <c r="I719" s="215"/>
      <c r="J719" s="215"/>
      <c r="K719" s="215"/>
      <c r="L719" s="215"/>
      <c r="M719" s="215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  <c r="X719" s="215"/>
      <c r="Y719" s="215"/>
      <c r="Z719" s="215"/>
      <c r="AA719" s="215"/>
      <c r="AB719" s="215"/>
      <c r="AC719" s="215"/>
      <c r="AD719" s="215"/>
      <c r="AE719" s="215"/>
      <c r="AF719" s="215"/>
      <c r="AG719" s="215"/>
    </row>
    <row r="720" spans="1:33" ht="13.2">
      <c r="A720" s="215"/>
      <c r="B720" s="215"/>
      <c r="C720" s="215"/>
      <c r="D720" s="215"/>
      <c r="E720" s="215"/>
      <c r="F720" s="215"/>
      <c r="G720" s="215"/>
      <c r="H720" s="215"/>
      <c r="I720" s="215"/>
      <c r="J720" s="215"/>
      <c r="K720" s="215"/>
      <c r="L720" s="215"/>
      <c r="M720" s="215"/>
      <c r="N720" s="215"/>
      <c r="O720" s="215"/>
      <c r="P720" s="215"/>
      <c r="Q720" s="215"/>
      <c r="R720" s="215"/>
      <c r="S720" s="215"/>
      <c r="T720" s="215"/>
      <c r="U720" s="215"/>
      <c r="V720" s="215"/>
      <c r="W720" s="215"/>
      <c r="X720" s="215"/>
      <c r="Y720" s="215"/>
      <c r="Z720" s="215"/>
      <c r="AA720" s="215"/>
      <c r="AB720" s="215"/>
      <c r="AC720" s="215"/>
      <c r="AD720" s="215"/>
      <c r="AE720" s="215"/>
      <c r="AF720" s="215"/>
      <c r="AG720" s="215"/>
    </row>
    <row r="721" spans="1:33" ht="13.2">
      <c r="A721" s="215"/>
      <c r="B721" s="215"/>
      <c r="C721" s="215"/>
      <c r="D721" s="215"/>
      <c r="E721" s="215"/>
      <c r="F721" s="215"/>
      <c r="G721" s="215"/>
      <c r="H721" s="215"/>
      <c r="I721" s="215"/>
      <c r="J721" s="215"/>
      <c r="K721" s="215"/>
      <c r="L721" s="215"/>
      <c r="M721" s="215"/>
      <c r="N721" s="215"/>
      <c r="O721" s="215"/>
      <c r="P721" s="215"/>
      <c r="Q721" s="215"/>
      <c r="R721" s="215"/>
      <c r="S721" s="215"/>
      <c r="T721" s="215"/>
      <c r="U721" s="215"/>
      <c r="V721" s="215"/>
      <c r="W721" s="215"/>
      <c r="X721" s="215"/>
      <c r="Y721" s="215"/>
      <c r="Z721" s="215"/>
      <c r="AA721" s="215"/>
      <c r="AB721" s="215"/>
      <c r="AC721" s="215"/>
      <c r="AD721" s="215"/>
      <c r="AE721" s="215"/>
      <c r="AF721" s="215"/>
      <c r="AG721" s="215"/>
    </row>
    <row r="722" spans="1:33" ht="13.2">
      <c r="A722" s="215"/>
      <c r="B722" s="215"/>
      <c r="C722" s="215"/>
      <c r="D722" s="215"/>
      <c r="E722" s="215"/>
      <c r="F722" s="215"/>
      <c r="G722" s="215"/>
      <c r="H722" s="215"/>
      <c r="I722" s="215"/>
      <c r="J722" s="215"/>
      <c r="K722" s="215"/>
      <c r="L722" s="215"/>
      <c r="M722" s="215"/>
      <c r="N722" s="215"/>
      <c r="O722" s="215"/>
      <c r="P722" s="215"/>
      <c r="Q722" s="215"/>
      <c r="R722" s="215"/>
      <c r="S722" s="215"/>
      <c r="T722" s="215"/>
      <c r="U722" s="215"/>
      <c r="V722" s="215"/>
      <c r="W722" s="215"/>
      <c r="X722" s="215"/>
      <c r="Y722" s="215"/>
      <c r="Z722" s="215"/>
      <c r="AA722" s="215"/>
      <c r="AB722" s="215"/>
      <c r="AC722" s="215"/>
      <c r="AD722" s="215"/>
      <c r="AE722" s="215"/>
      <c r="AF722" s="215"/>
      <c r="AG722" s="215"/>
    </row>
    <row r="723" spans="1:33" ht="13.2">
      <c r="A723" s="215"/>
      <c r="B723" s="215"/>
      <c r="C723" s="215"/>
      <c r="D723" s="215"/>
      <c r="E723" s="215"/>
      <c r="F723" s="215"/>
      <c r="G723" s="215"/>
      <c r="H723" s="215"/>
      <c r="I723" s="215"/>
      <c r="J723" s="215"/>
      <c r="K723" s="215"/>
      <c r="L723" s="215"/>
      <c r="M723" s="215"/>
      <c r="N723" s="215"/>
      <c r="O723" s="215"/>
      <c r="P723" s="215"/>
      <c r="Q723" s="215"/>
      <c r="R723" s="215"/>
      <c r="S723" s="215"/>
      <c r="T723" s="215"/>
      <c r="U723" s="215"/>
      <c r="V723" s="215"/>
      <c r="W723" s="215"/>
      <c r="X723" s="215"/>
      <c r="Y723" s="215"/>
      <c r="Z723" s="215"/>
      <c r="AA723" s="215"/>
      <c r="AB723" s="215"/>
      <c r="AC723" s="215"/>
      <c r="AD723" s="215"/>
      <c r="AE723" s="215"/>
      <c r="AF723" s="215"/>
      <c r="AG723" s="215"/>
    </row>
    <row r="724" spans="1:33" ht="13.2">
      <c r="A724" s="215"/>
      <c r="B724" s="215"/>
      <c r="C724" s="215"/>
      <c r="D724" s="215"/>
      <c r="E724" s="215"/>
      <c r="F724" s="215"/>
      <c r="G724" s="215"/>
      <c r="H724" s="215"/>
      <c r="I724" s="215"/>
      <c r="J724" s="215"/>
      <c r="K724" s="215"/>
      <c r="L724" s="215"/>
      <c r="M724" s="215"/>
      <c r="N724" s="215"/>
      <c r="O724" s="215"/>
      <c r="P724" s="215"/>
      <c r="Q724" s="215"/>
      <c r="R724" s="215"/>
      <c r="S724" s="215"/>
      <c r="T724" s="215"/>
      <c r="U724" s="215"/>
      <c r="V724" s="215"/>
      <c r="W724" s="215"/>
      <c r="X724" s="215"/>
      <c r="Y724" s="215"/>
      <c r="Z724" s="215"/>
      <c r="AA724" s="215"/>
      <c r="AB724" s="215"/>
      <c r="AC724" s="215"/>
      <c r="AD724" s="215"/>
      <c r="AE724" s="215"/>
      <c r="AF724" s="215"/>
      <c r="AG724" s="215"/>
    </row>
    <row r="725" spans="1:33" ht="13.2">
      <c r="A725" s="215"/>
      <c r="B725" s="215"/>
      <c r="C725" s="215"/>
      <c r="D725" s="215"/>
      <c r="E725" s="215"/>
      <c r="F725" s="215"/>
      <c r="G725" s="215"/>
      <c r="H725" s="215"/>
      <c r="I725" s="215"/>
      <c r="J725" s="215"/>
      <c r="K725" s="215"/>
      <c r="L725" s="215"/>
      <c r="M725" s="215"/>
      <c r="N725" s="215"/>
      <c r="O725" s="215"/>
      <c r="P725" s="215"/>
      <c r="Q725" s="215"/>
      <c r="R725" s="215"/>
      <c r="S725" s="215"/>
      <c r="T725" s="215"/>
      <c r="U725" s="215"/>
      <c r="V725" s="215"/>
      <c r="W725" s="215"/>
      <c r="X725" s="215"/>
      <c r="Y725" s="215"/>
      <c r="Z725" s="215"/>
      <c r="AA725" s="215"/>
      <c r="AB725" s="215"/>
      <c r="AC725" s="215"/>
      <c r="AD725" s="215"/>
      <c r="AE725" s="215"/>
      <c r="AF725" s="215"/>
      <c r="AG725" s="215"/>
    </row>
    <row r="726" spans="1:33" ht="13.2">
      <c r="A726" s="215"/>
      <c r="B726" s="215"/>
      <c r="C726" s="215"/>
      <c r="D726" s="215"/>
      <c r="E726" s="215"/>
      <c r="F726" s="215"/>
      <c r="G726" s="215"/>
      <c r="H726" s="215"/>
      <c r="I726" s="215"/>
      <c r="J726" s="215"/>
      <c r="K726" s="215"/>
      <c r="L726" s="215"/>
      <c r="M726" s="215"/>
      <c r="N726" s="215"/>
      <c r="O726" s="215"/>
      <c r="P726" s="215"/>
      <c r="Q726" s="215"/>
      <c r="R726" s="215"/>
      <c r="S726" s="215"/>
      <c r="T726" s="215"/>
      <c r="U726" s="215"/>
      <c r="V726" s="215"/>
      <c r="W726" s="215"/>
      <c r="X726" s="215"/>
      <c r="Y726" s="215"/>
      <c r="Z726" s="215"/>
      <c r="AA726" s="215"/>
      <c r="AB726" s="215"/>
      <c r="AC726" s="215"/>
      <c r="AD726" s="215"/>
      <c r="AE726" s="215"/>
      <c r="AF726" s="215"/>
      <c r="AG726" s="215"/>
    </row>
    <row r="727" spans="1:33" ht="13.2">
      <c r="A727" s="215"/>
      <c r="B727" s="215"/>
      <c r="C727" s="215"/>
      <c r="D727" s="215"/>
      <c r="E727" s="215"/>
      <c r="F727" s="215"/>
      <c r="G727" s="215"/>
      <c r="H727" s="215"/>
      <c r="I727" s="215"/>
      <c r="J727" s="215"/>
      <c r="K727" s="215"/>
      <c r="L727" s="215"/>
      <c r="M727" s="215"/>
      <c r="N727" s="215"/>
      <c r="O727" s="215"/>
      <c r="P727" s="215"/>
      <c r="Q727" s="215"/>
      <c r="R727" s="215"/>
      <c r="S727" s="215"/>
      <c r="T727" s="215"/>
      <c r="U727" s="215"/>
      <c r="V727" s="215"/>
      <c r="W727" s="215"/>
      <c r="X727" s="215"/>
      <c r="Y727" s="215"/>
      <c r="Z727" s="215"/>
      <c r="AA727" s="215"/>
      <c r="AB727" s="215"/>
      <c r="AC727" s="215"/>
      <c r="AD727" s="215"/>
      <c r="AE727" s="215"/>
      <c r="AF727" s="215"/>
      <c r="AG727" s="215"/>
    </row>
    <row r="728" spans="1:33" ht="13.2">
      <c r="A728" s="215"/>
      <c r="B728" s="215"/>
      <c r="C728" s="215"/>
      <c r="D728" s="215"/>
      <c r="E728" s="215"/>
      <c r="F728" s="215"/>
      <c r="G728" s="215"/>
      <c r="H728" s="215"/>
      <c r="I728" s="215"/>
      <c r="J728" s="215"/>
      <c r="K728" s="215"/>
      <c r="L728" s="215"/>
      <c r="M728" s="215"/>
      <c r="N728" s="215"/>
      <c r="O728" s="215"/>
      <c r="P728" s="215"/>
      <c r="Q728" s="215"/>
      <c r="R728" s="215"/>
      <c r="S728" s="215"/>
      <c r="T728" s="215"/>
      <c r="U728" s="215"/>
      <c r="V728" s="215"/>
      <c r="W728" s="215"/>
      <c r="X728" s="215"/>
      <c r="Y728" s="215"/>
      <c r="Z728" s="215"/>
      <c r="AA728" s="215"/>
      <c r="AB728" s="215"/>
      <c r="AC728" s="215"/>
      <c r="AD728" s="215"/>
      <c r="AE728" s="215"/>
      <c r="AF728" s="215"/>
      <c r="AG728" s="215"/>
    </row>
    <row r="729" spans="1:33" ht="13.2">
      <c r="A729" s="215"/>
      <c r="B729" s="215"/>
      <c r="C729" s="215"/>
      <c r="D729" s="215"/>
      <c r="E729" s="215"/>
      <c r="F729" s="215"/>
      <c r="G729" s="215"/>
      <c r="H729" s="215"/>
      <c r="I729" s="215"/>
      <c r="J729" s="215"/>
      <c r="K729" s="215"/>
      <c r="L729" s="215"/>
      <c r="M729" s="215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  <c r="X729" s="215"/>
      <c r="Y729" s="215"/>
      <c r="Z729" s="215"/>
      <c r="AA729" s="215"/>
      <c r="AB729" s="215"/>
      <c r="AC729" s="215"/>
      <c r="AD729" s="215"/>
      <c r="AE729" s="215"/>
      <c r="AF729" s="215"/>
      <c r="AG729" s="215"/>
    </row>
    <row r="730" spans="1:33" ht="13.2">
      <c r="A730" s="215"/>
      <c r="B730" s="215"/>
      <c r="C730" s="215"/>
      <c r="D730" s="215"/>
      <c r="E730" s="215"/>
      <c r="F730" s="215"/>
      <c r="G730" s="215"/>
      <c r="H730" s="215"/>
      <c r="I730" s="215"/>
      <c r="J730" s="215"/>
      <c r="K730" s="215"/>
      <c r="L730" s="215"/>
      <c r="M730" s="215"/>
      <c r="N730" s="215"/>
      <c r="O730" s="215"/>
      <c r="P730" s="215"/>
      <c r="Q730" s="215"/>
      <c r="R730" s="215"/>
      <c r="S730" s="215"/>
      <c r="T730" s="215"/>
      <c r="U730" s="215"/>
      <c r="V730" s="215"/>
      <c r="W730" s="215"/>
      <c r="X730" s="215"/>
      <c r="Y730" s="215"/>
      <c r="Z730" s="215"/>
      <c r="AA730" s="215"/>
      <c r="AB730" s="215"/>
      <c r="AC730" s="215"/>
      <c r="AD730" s="215"/>
      <c r="AE730" s="215"/>
      <c r="AF730" s="215"/>
      <c r="AG730" s="215"/>
    </row>
    <row r="731" spans="1:33" ht="13.2">
      <c r="A731" s="215"/>
      <c r="B731" s="215"/>
      <c r="C731" s="215"/>
      <c r="D731" s="215"/>
      <c r="E731" s="215"/>
      <c r="F731" s="215"/>
      <c r="G731" s="215"/>
      <c r="H731" s="215"/>
      <c r="I731" s="215"/>
      <c r="J731" s="215"/>
      <c r="K731" s="215"/>
      <c r="L731" s="215"/>
      <c r="M731" s="215"/>
      <c r="N731" s="215"/>
      <c r="O731" s="215"/>
      <c r="P731" s="215"/>
      <c r="Q731" s="215"/>
      <c r="R731" s="215"/>
      <c r="S731" s="215"/>
      <c r="T731" s="215"/>
      <c r="U731" s="215"/>
      <c r="V731" s="215"/>
      <c r="W731" s="215"/>
      <c r="X731" s="215"/>
      <c r="Y731" s="215"/>
      <c r="Z731" s="215"/>
      <c r="AA731" s="215"/>
      <c r="AB731" s="215"/>
      <c r="AC731" s="215"/>
      <c r="AD731" s="215"/>
      <c r="AE731" s="215"/>
      <c r="AF731" s="215"/>
      <c r="AG731" s="215"/>
    </row>
    <row r="732" spans="1:33" ht="13.2">
      <c r="A732" s="215"/>
      <c r="B732" s="215"/>
      <c r="C732" s="215"/>
      <c r="D732" s="215"/>
      <c r="E732" s="215"/>
      <c r="F732" s="215"/>
      <c r="G732" s="215"/>
      <c r="H732" s="215"/>
      <c r="I732" s="215"/>
      <c r="J732" s="215"/>
      <c r="K732" s="215"/>
      <c r="L732" s="215"/>
      <c r="M732" s="215"/>
      <c r="N732" s="215"/>
      <c r="O732" s="215"/>
      <c r="P732" s="215"/>
      <c r="Q732" s="215"/>
      <c r="R732" s="215"/>
      <c r="S732" s="215"/>
      <c r="T732" s="215"/>
      <c r="U732" s="215"/>
      <c r="V732" s="215"/>
      <c r="W732" s="215"/>
      <c r="X732" s="215"/>
      <c r="Y732" s="215"/>
      <c r="Z732" s="215"/>
      <c r="AA732" s="215"/>
      <c r="AB732" s="215"/>
      <c r="AC732" s="215"/>
      <c r="AD732" s="215"/>
      <c r="AE732" s="215"/>
      <c r="AF732" s="215"/>
      <c r="AG732" s="215"/>
    </row>
    <row r="733" spans="1:33" ht="13.2">
      <c r="A733" s="215"/>
      <c r="B733" s="215"/>
      <c r="C733" s="215"/>
      <c r="D733" s="215"/>
      <c r="E733" s="215"/>
      <c r="F733" s="215"/>
      <c r="G733" s="215"/>
      <c r="H733" s="215"/>
      <c r="I733" s="215"/>
      <c r="J733" s="215"/>
      <c r="K733" s="215"/>
      <c r="L733" s="215"/>
      <c r="M733" s="215"/>
      <c r="N733" s="215"/>
      <c r="O733" s="215"/>
      <c r="P733" s="215"/>
      <c r="Q733" s="215"/>
      <c r="R733" s="215"/>
      <c r="S733" s="215"/>
      <c r="T733" s="215"/>
      <c r="U733" s="215"/>
      <c r="V733" s="215"/>
      <c r="W733" s="215"/>
      <c r="X733" s="215"/>
      <c r="Y733" s="215"/>
      <c r="Z733" s="215"/>
      <c r="AA733" s="215"/>
      <c r="AB733" s="215"/>
      <c r="AC733" s="215"/>
      <c r="AD733" s="215"/>
      <c r="AE733" s="215"/>
      <c r="AF733" s="215"/>
      <c r="AG733" s="215"/>
    </row>
    <row r="734" spans="1:33" ht="13.2">
      <c r="A734" s="215"/>
      <c r="B734" s="215"/>
      <c r="C734" s="215"/>
      <c r="D734" s="215"/>
      <c r="E734" s="215"/>
      <c r="F734" s="215"/>
      <c r="G734" s="215"/>
      <c r="H734" s="215"/>
      <c r="I734" s="215"/>
      <c r="J734" s="215"/>
      <c r="K734" s="215"/>
      <c r="L734" s="215"/>
      <c r="M734" s="215"/>
      <c r="N734" s="215"/>
      <c r="O734" s="215"/>
      <c r="P734" s="215"/>
      <c r="Q734" s="215"/>
      <c r="R734" s="215"/>
      <c r="S734" s="215"/>
      <c r="T734" s="215"/>
      <c r="U734" s="215"/>
      <c r="V734" s="215"/>
      <c r="W734" s="215"/>
      <c r="X734" s="215"/>
      <c r="Y734" s="215"/>
      <c r="Z734" s="215"/>
      <c r="AA734" s="215"/>
      <c r="AB734" s="215"/>
      <c r="AC734" s="215"/>
      <c r="AD734" s="215"/>
      <c r="AE734" s="215"/>
      <c r="AF734" s="215"/>
      <c r="AG734" s="215"/>
    </row>
    <row r="735" spans="1:33" ht="13.2">
      <c r="A735" s="215"/>
      <c r="B735" s="215"/>
      <c r="C735" s="215"/>
      <c r="D735" s="215"/>
      <c r="E735" s="215"/>
      <c r="F735" s="215"/>
      <c r="G735" s="215"/>
      <c r="H735" s="215"/>
      <c r="I735" s="215"/>
      <c r="J735" s="215"/>
      <c r="K735" s="215"/>
      <c r="L735" s="215"/>
      <c r="M735" s="215"/>
      <c r="N735" s="215"/>
      <c r="O735" s="215"/>
      <c r="P735" s="215"/>
      <c r="Q735" s="215"/>
      <c r="R735" s="215"/>
      <c r="S735" s="215"/>
      <c r="T735" s="215"/>
      <c r="U735" s="215"/>
      <c r="V735" s="215"/>
      <c r="W735" s="215"/>
      <c r="X735" s="215"/>
      <c r="Y735" s="215"/>
      <c r="Z735" s="215"/>
      <c r="AA735" s="215"/>
      <c r="AB735" s="215"/>
      <c r="AC735" s="215"/>
      <c r="AD735" s="215"/>
      <c r="AE735" s="215"/>
      <c r="AF735" s="215"/>
      <c r="AG735" s="215"/>
    </row>
    <row r="736" spans="1:33" ht="13.2">
      <c r="A736" s="215"/>
      <c r="B736" s="215"/>
      <c r="C736" s="215"/>
      <c r="D736" s="215"/>
      <c r="E736" s="215"/>
      <c r="F736" s="215"/>
      <c r="G736" s="215"/>
      <c r="H736" s="215"/>
      <c r="I736" s="215"/>
      <c r="J736" s="215"/>
      <c r="K736" s="215"/>
      <c r="L736" s="215"/>
      <c r="M736" s="215"/>
      <c r="N736" s="215"/>
      <c r="O736" s="215"/>
      <c r="P736" s="215"/>
      <c r="Q736" s="215"/>
      <c r="R736" s="215"/>
      <c r="S736" s="215"/>
      <c r="T736" s="215"/>
      <c r="U736" s="215"/>
      <c r="V736" s="215"/>
      <c r="W736" s="215"/>
      <c r="X736" s="215"/>
      <c r="Y736" s="215"/>
      <c r="Z736" s="215"/>
      <c r="AA736" s="215"/>
      <c r="AB736" s="215"/>
      <c r="AC736" s="215"/>
      <c r="AD736" s="215"/>
      <c r="AE736" s="215"/>
      <c r="AF736" s="215"/>
      <c r="AG736" s="215"/>
    </row>
    <row r="737" spans="1:33" ht="13.2">
      <c r="A737" s="215"/>
      <c r="B737" s="215"/>
      <c r="C737" s="215"/>
      <c r="D737" s="215"/>
      <c r="E737" s="215"/>
      <c r="F737" s="215"/>
      <c r="G737" s="215"/>
      <c r="H737" s="215"/>
      <c r="I737" s="215"/>
      <c r="J737" s="215"/>
      <c r="K737" s="215"/>
      <c r="L737" s="215"/>
      <c r="M737" s="215"/>
      <c r="N737" s="215"/>
      <c r="O737" s="215"/>
      <c r="P737" s="215"/>
      <c r="Q737" s="215"/>
      <c r="R737" s="215"/>
      <c r="S737" s="215"/>
      <c r="T737" s="215"/>
      <c r="U737" s="215"/>
      <c r="V737" s="215"/>
      <c r="W737" s="215"/>
      <c r="X737" s="215"/>
      <c r="Y737" s="215"/>
      <c r="Z737" s="215"/>
      <c r="AA737" s="215"/>
      <c r="AB737" s="215"/>
      <c r="AC737" s="215"/>
      <c r="AD737" s="215"/>
      <c r="AE737" s="215"/>
      <c r="AF737" s="215"/>
      <c r="AG737" s="215"/>
    </row>
    <row r="738" spans="1:33" ht="13.2">
      <c r="A738" s="215"/>
      <c r="B738" s="215"/>
      <c r="C738" s="215"/>
      <c r="D738" s="215"/>
      <c r="E738" s="215"/>
      <c r="F738" s="215"/>
      <c r="G738" s="215"/>
      <c r="H738" s="215"/>
      <c r="I738" s="215"/>
      <c r="J738" s="215"/>
      <c r="K738" s="215"/>
      <c r="L738" s="215"/>
      <c r="M738" s="215"/>
      <c r="N738" s="215"/>
      <c r="O738" s="215"/>
      <c r="P738" s="215"/>
      <c r="Q738" s="215"/>
      <c r="R738" s="215"/>
      <c r="S738" s="215"/>
      <c r="T738" s="215"/>
      <c r="U738" s="215"/>
      <c r="V738" s="215"/>
      <c r="W738" s="215"/>
      <c r="X738" s="215"/>
      <c r="Y738" s="215"/>
      <c r="Z738" s="215"/>
      <c r="AA738" s="215"/>
      <c r="AB738" s="215"/>
      <c r="AC738" s="215"/>
      <c r="AD738" s="215"/>
      <c r="AE738" s="215"/>
      <c r="AF738" s="215"/>
      <c r="AG738" s="215"/>
    </row>
    <row r="739" spans="1:33" ht="13.2">
      <c r="A739" s="215"/>
      <c r="B739" s="215"/>
      <c r="C739" s="215"/>
      <c r="D739" s="215"/>
      <c r="E739" s="215"/>
      <c r="F739" s="215"/>
      <c r="G739" s="215"/>
      <c r="H739" s="215"/>
      <c r="I739" s="215"/>
      <c r="J739" s="215"/>
      <c r="K739" s="215"/>
      <c r="L739" s="215"/>
      <c r="M739" s="215"/>
      <c r="N739" s="215"/>
      <c r="O739" s="215"/>
      <c r="P739" s="215"/>
      <c r="Q739" s="215"/>
      <c r="R739" s="215"/>
      <c r="S739" s="215"/>
      <c r="T739" s="215"/>
      <c r="U739" s="215"/>
      <c r="V739" s="215"/>
      <c r="W739" s="215"/>
      <c r="X739" s="215"/>
      <c r="Y739" s="215"/>
      <c r="Z739" s="215"/>
      <c r="AA739" s="215"/>
      <c r="AB739" s="215"/>
      <c r="AC739" s="215"/>
      <c r="AD739" s="215"/>
      <c r="AE739" s="215"/>
      <c r="AF739" s="215"/>
      <c r="AG739" s="215"/>
    </row>
    <row r="740" spans="1:33" ht="13.2">
      <c r="A740" s="215"/>
      <c r="B740" s="215"/>
      <c r="C740" s="215"/>
      <c r="D740" s="215"/>
      <c r="E740" s="215"/>
      <c r="F740" s="215"/>
      <c r="G740" s="215"/>
      <c r="H740" s="215"/>
      <c r="I740" s="215"/>
      <c r="J740" s="215"/>
      <c r="K740" s="215"/>
      <c r="L740" s="215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215"/>
      <c r="Z740" s="215"/>
      <c r="AA740" s="215"/>
      <c r="AB740" s="215"/>
      <c r="AC740" s="215"/>
      <c r="AD740" s="215"/>
      <c r="AE740" s="215"/>
      <c r="AF740" s="215"/>
      <c r="AG740" s="215"/>
    </row>
    <row r="741" spans="1:33" ht="13.2">
      <c r="A741" s="215"/>
      <c r="B741" s="215"/>
      <c r="C741" s="215"/>
      <c r="D741" s="215"/>
      <c r="E741" s="215"/>
      <c r="F741" s="215"/>
      <c r="G741" s="215"/>
      <c r="H741" s="215"/>
      <c r="I741" s="215"/>
      <c r="J741" s="215"/>
      <c r="K741" s="215"/>
      <c r="L741" s="215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215"/>
      <c r="Z741" s="215"/>
      <c r="AA741" s="215"/>
      <c r="AB741" s="215"/>
      <c r="AC741" s="215"/>
      <c r="AD741" s="215"/>
      <c r="AE741" s="215"/>
      <c r="AF741" s="215"/>
      <c r="AG741" s="215"/>
    </row>
    <row r="742" spans="1:33" ht="13.2">
      <c r="A742" s="215"/>
      <c r="B742" s="215"/>
      <c r="C742" s="215"/>
      <c r="D742" s="215"/>
      <c r="E742" s="215"/>
      <c r="F742" s="215"/>
      <c r="G742" s="215"/>
      <c r="H742" s="215"/>
      <c r="I742" s="215"/>
      <c r="J742" s="215"/>
      <c r="K742" s="215"/>
      <c r="L742" s="215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215"/>
      <c r="Z742" s="215"/>
      <c r="AA742" s="215"/>
      <c r="AB742" s="215"/>
      <c r="AC742" s="215"/>
      <c r="AD742" s="215"/>
      <c r="AE742" s="215"/>
      <c r="AF742" s="215"/>
      <c r="AG742" s="215"/>
    </row>
    <row r="743" spans="1:33" ht="13.2">
      <c r="A743" s="215"/>
      <c r="B743" s="215"/>
      <c r="C743" s="215"/>
      <c r="D743" s="215"/>
      <c r="E743" s="215"/>
      <c r="F743" s="21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215"/>
      <c r="Z743" s="215"/>
      <c r="AA743" s="215"/>
      <c r="AB743" s="215"/>
      <c r="AC743" s="215"/>
      <c r="AD743" s="215"/>
      <c r="AE743" s="215"/>
      <c r="AF743" s="215"/>
      <c r="AG743" s="215"/>
    </row>
    <row r="744" spans="1:33" ht="13.2">
      <c r="A744" s="215"/>
      <c r="B744" s="215"/>
      <c r="C744" s="215"/>
      <c r="D744" s="215"/>
      <c r="E744" s="215"/>
      <c r="F744" s="215"/>
      <c r="G744" s="215"/>
      <c r="H744" s="215"/>
      <c r="I744" s="215"/>
      <c r="J744" s="215"/>
      <c r="K744" s="215"/>
      <c r="L744" s="215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215"/>
      <c r="Z744" s="215"/>
      <c r="AA744" s="215"/>
      <c r="AB744" s="215"/>
      <c r="AC744" s="215"/>
      <c r="AD744" s="215"/>
      <c r="AE744" s="215"/>
      <c r="AF744" s="215"/>
      <c r="AG744" s="215"/>
    </row>
    <row r="745" spans="1:33" ht="13.2">
      <c r="A745" s="215"/>
      <c r="B745" s="215"/>
      <c r="C745" s="215"/>
      <c r="D745" s="215"/>
      <c r="E745" s="215"/>
      <c r="F745" s="21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215"/>
      <c r="Z745" s="215"/>
      <c r="AA745" s="215"/>
      <c r="AB745" s="215"/>
      <c r="AC745" s="215"/>
      <c r="AD745" s="215"/>
      <c r="AE745" s="215"/>
      <c r="AF745" s="215"/>
      <c r="AG745" s="215"/>
    </row>
    <row r="746" spans="1:33" ht="13.2">
      <c r="A746" s="215"/>
      <c r="B746" s="215"/>
      <c r="C746" s="215"/>
      <c r="D746" s="215"/>
      <c r="E746" s="215"/>
      <c r="F746" s="215"/>
      <c r="G746" s="215"/>
      <c r="H746" s="215"/>
      <c r="I746" s="215"/>
      <c r="J746" s="215"/>
      <c r="K746" s="215"/>
      <c r="L746" s="215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215"/>
      <c r="Z746" s="215"/>
      <c r="AA746" s="215"/>
      <c r="AB746" s="215"/>
      <c r="AC746" s="215"/>
      <c r="AD746" s="215"/>
      <c r="AE746" s="215"/>
      <c r="AF746" s="215"/>
      <c r="AG746" s="215"/>
    </row>
    <row r="747" spans="1:33" ht="13.2">
      <c r="A747" s="215"/>
      <c r="B747" s="215"/>
      <c r="C747" s="215"/>
      <c r="D747" s="215"/>
      <c r="E747" s="215"/>
      <c r="F747" s="215"/>
      <c r="G747" s="215"/>
      <c r="H747" s="215"/>
      <c r="I747" s="215"/>
      <c r="J747" s="215"/>
      <c r="K747" s="215"/>
      <c r="L747" s="215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215"/>
      <c r="Z747" s="215"/>
      <c r="AA747" s="215"/>
      <c r="AB747" s="215"/>
      <c r="AC747" s="215"/>
      <c r="AD747" s="215"/>
      <c r="AE747" s="215"/>
      <c r="AF747" s="215"/>
      <c r="AG747" s="215"/>
    </row>
    <row r="748" spans="1:33" ht="13.2">
      <c r="A748" s="215"/>
      <c r="B748" s="215"/>
      <c r="C748" s="215"/>
      <c r="D748" s="215"/>
      <c r="E748" s="215"/>
      <c r="F748" s="215"/>
      <c r="G748" s="215"/>
      <c r="H748" s="215"/>
      <c r="I748" s="215"/>
      <c r="J748" s="215"/>
      <c r="K748" s="215"/>
      <c r="L748" s="215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215"/>
      <c r="Z748" s="215"/>
      <c r="AA748" s="215"/>
      <c r="AB748" s="215"/>
      <c r="AC748" s="215"/>
      <c r="AD748" s="215"/>
      <c r="AE748" s="215"/>
      <c r="AF748" s="215"/>
      <c r="AG748" s="215"/>
    </row>
    <row r="749" spans="1:33" ht="13.2">
      <c r="A749" s="215"/>
      <c r="B749" s="215"/>
      <c r="C749" s="215"/>
      <c r="D749" s="215"/>
      <c r="E749" s="215"/>
      <c r="F749" s="215"/>
      <c r="G749" s="215"/>
      <c r="H749" s="215"/>
      <c r="I749" s="215"/>
      <c r="J749" s="215"/>
      <c r="K749" s="215"/>
      <c r="L749" s="215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215"/>
      <c r="Z749" s="215"/>
      <c r="AA749" s="215"/>
      <c r="AB749" s="215"/>
      <c r="AC749" s="215"/>
      <c r="AD749" s="215"/>
      <c r="AE749" s="215"/>
      <c r="AF749" s="215"/>
      <c r="AG749" s="215"/>
    </row>
    <row r="750" spans="1:33" ht="13.2">
      <c r="A750" s="215"/>
      <c r="B750" s="215"/>
      <c r="C750" s="215"/>
      <c r="D750" s="215"/>
      <c r="E750" s="215"/>
      <c r="F750" s="215"/>
      <c r="G750" s="215"/>
      <c r="H750" s="215"/>
      <c r="I750" s="215"/>
      <c r="J750" s="215"/>
      <c r="K750" s="215"/>
      <c r="L750" s="215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215"/>
      <c r="Z750" s="215"/>
      <c r="AA750" s="215"/>
      <c r="AB750" s="215"/>
      <c r="AC750" s="215"/>
      <c r="AD750" s="215"/>
      <c r="AE750" s="215"/>
      <c r="AF750" s="215"/>
      <c r="AG750" s="215"/>
    </row>
    <row r="751" spans="1:33" ht="13.2">
      <c r="A751" s="215"/>
      <c r="B751" s="215"/>
      <c r="C751" s="215"/>
      <c r="D751" s="215"/>
      <c r="E751" s="215"/>
      <c r="F751" s="215"/>
      <c r="G751" s="215"/>
      <c r="H751" s="215"/>
      <c r="I751" s="215"/>
      <c r="J751" s="215"/>
      <c r="K751" s="215"/>
      <c r="L751" s="215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215"/>
      <c r="Z751" s="215"/>
      <c r="AA751" s="215"/>
      <c r="AB751" s="215"/>
      <c r="AC751" s="215"/>
      <c r="AD751" s="215"/>
      <c r="AE751" s="215"/>
      <c r="AF751" s="215"/>
      <c r="AG751" s="215"/>
    </row>
    <row r="752" spans="1:33" ht="13.2">
      <c r="A752" s="215"/>
      <c r="B752" s="215"/>
      <c r="C752" s="215"/>
      <c r="D752" s="215"/>
      <c r="E752" s="215"/>
      <c r="F752" s="215"/>
      <c r="G752" s="215"/>
      <c r="H752" s="215"/>
      <c r="I752" s="215"/>
      <c r="J752" s="215"/>
      <c r="K752" s="215"/>
      <c r="L752" s="215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215"/>
      <c r="Z752" s="215"/>
      <c r="AA752" s="215"/>
      <c r="AB752" s="215"/>
      <c r="AC752" s="215"/>
      <c r="AD752" s="215"/>
      <c r="AE752" s="215"/>
      <c r="AF752" s="215"/>
      <c r="AG752" s="215"/>
    </row>
    <row r="753" spans="1:33" ht="13.2">
      <c r="A753" s="215"/>
      <c r="B753" s="215"/>
      <c r="C753" s="215"/>
      <c r="D753" s="215"/>
      <c r="E753" s="215"/>
      <c r="F753" s="215"/>
      <c r="G753" s="215"/>
      <c r="H753" s="215"/>
      <c r="I753" s="215"/>
      <c r="J753" s="215"/>
      <c r="K753" s="215"/>
      <c r="L753" s="215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215"/>
      <c r="Z753" s="215"/>
      <c r="AA753" s="215"/>
      <c r="AB753" s="215"/>
      <c r="AC753" s="215"/>
      <c r="AD753" s="215"/>
      <c r="AE753" s="215"/>
      <c r="AF753" s="215"/>
      <c r="AG753" s="215"/>
    </row>
    <row r="754" spans="1:33" ht="13.2">
      <c r="A754" s="215"/>
      <c r="B754" s="215"/>
      <c r="C754" s="215"/>
      <c r="D754" s="215"/>
      <c r="E754" s="215"/>
      <c r="F754" s="215"/>
      <c r="G754" s="215"/>
      <c r="H754" s="215"/>
      <c r="I754" s="215"/>
      <c r="J754" s="215"/>
      <c r="K754" s="215"/>
      <c r="L754" s="215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215"/>
      <c r="Z754" s="215"/>
      <c r="AA754" s="215"/>
      <c r="AB754" s="215"/>
      <c r="AC754" s="215"/>
      <c r="AD754" s="215"/>
      <c r="AE754" s="215"/>
      <c r="AF754" s="215"/>
      <c r="AG754" s="215"/>
    </row>
    <row r="755" spans="1:33" ht="13.2">
      <c r="A755" s="215"/>
      <c r="B755" s="215"/>
      <c r="C755" s="215"/>
      <c r="D755" s="215"/>
      <c r="E755" s="215"/>
      <c r="F755" s="215"/>
      <c r="G755" s="215"/>
      <c r="H755" s="215"/>
      <c r="I755" s="215"/>
      <c r="J755" s="215"/>
      <c r="K755" s="215"/>
      <c r="L755" s="215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215"/>
      <c r="Z755" s="215"/>
      <c r="AA755" s="215"/>
      <c r="AB755" s="215"/>
      <c r="AC755" s="215"/>
      <c r="AD755" s="215"/>
      <c r="AE755" s="215"/>
      <c r="AF755" s="215"/>
      <c r="AG755" s="215"/>
    </row>
    <row r="756" spans="1:33" ht="13.2">
      <c r="A756" s="215"/>
      <c r="B756" s="215"/>
      <c r="C756" s="215"/>
      <c r="D756" s="215"/>
      <c r="E756" s="215"/>
      <c r="F756" s="215"/>
      <c r="G756" s="215"/>
      <c r="H756" s="215"/>
      <c r="I756" s="215"/>
      <c r="J756" s="215"/>
      <c r="K756" s="215"/>
      <c r="L756" s="215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215"/>
      <c r="Z756" s="215"/>
      <c r="AA756" s="215"/>
      <c r="AB756" s="215"/>
      <c r="AC756" s="215"/>
      <c r="AD756" s="215"/>
      <c r="AE756" s="215"/>
      <c r="AF756" s="215"/>
      <c r="AG756" s="215"/>
    </row>
    <row r="757" spans="1:33" ht="13.2">
      <c r="A757" s="215"/>
      <c r="B757" s="215"/>
      <c r="C757" s="215"/>
      <c r="D757" s="215"/>
      <c r="E757" s="215"/>
      <c r="F757" s="215"/>
      <c r="G757" s="215"/>
      <c r="H757" s="215"/>
      <c r="I757" s="215"/>
      <c r="J757" s="215"/>
      <c r="K757" s="215"/>
      <c r="L757" s="215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215"/>
      <c r="Z757" s="215"/>
      <c r="AA757" s="215"/>
      <c r="AB757" s="215"/>
      <c r="AC757" s="215"/>
      <c r="AD757" s="215"/>
      <c r="AE757" s="215"/>
      <c r="AF757" s="215"/>
      <c r="AG757" s="215"/>
    </row>
    <row r="758" spans="1:33" ht="13.2">
      <c r="A758" s="215"/>
      <c r="B758" s="215"/>
      <c r="C758" s="215"/>
      <c r="D758" s="215"/>
      <c r="E758" s="215"/>
      <c r="F758" s="215"/>
      <c r="G758" s="215"/>
      <c r="H758" s="215"/>
      <c r="I758" s="215"/>
      <c r="J758" s="215"/>
      <c r="K758" s="215"/>
      <c r="L758" s="215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215"/>
      <c r="Z758" s="215"/>
      <c r="AA758" s="215"/>
      <c r="AB758" s="215"/>
      <c r="AC758" s="215"/>
      <c r="AD758" s="215"/>
      <c r="AE758" s="215"/>
      <c r="AF758" s="215"/>
      <c r="AG758" s="215"/>
    </row>
    <row r="759" spans="1:33" ht="13.2">
      <c r="A759" s="215"/>
      <c r="B759" s="215"/>
      <c r="C759" s="215"/>
      <c r="D759" s="215"/>
      <c r="E759" s="215"/>
      <c r="F759" s="215"/>
      <c r="G759" s="215"/>
      <c r="H759" s="215"/>
      <c r="I759" s="215"/>
      <c r="J759" s="215"/>
      <c r="K759" s="215"/>
      <c r="L759" s="215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215"/>
      <c r="Z759" s="215"/>
      <c r="AA759" s="215"/>
      <c r="AB759" s="215"/>
      <c r="AC759" s="215"/>
      <c r="AD759" s="215"/>
      <c r="AE759" s="215"/>
      <c r="AF759" s="215"/>
      <c r="AG759" s="215"/>
    </row>
    <row r="760" spans="1:33" ht="13.2">
      <c r="A760" s="215"/>
      <c r="B760" s="215"/>
      <c r="C760" s="215"/>
      <c r="D760" s="215"/>
      <c r="E760" s="215"/>
      <c r="F760" s="215"/>
      <c r="G760" s="215"/>
      <c r="H760" s="215"/>
      <c r="I760" s="215"/>
      <c r="J760" s="215"/>
      <c r="K760" s="215"/>
      <c r="L760" s="215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215"/>
      <c r="Z760" s="215"/>
      <c r="AA760" s="215"/>
      <c r="AB760" s="215"/>
      <c r="AC760" s="215"/>
      <c r="AD760" s="215"/>
      <c r="AE760" s="215"/>
      <c r="AF760" s="215"/>
      <c r="AG760" s="215"/>
    </row>
    <row r="761" spans="1:33" ht="13.2">
      <c r="A761" s="215"/>
      <c r="B761" s="215"/>
      <c r="C761" s="215"/>
      <c r="D761" s="215"/>
      <c r="E761" s="215"/>
      <c r="F761" s="215"/>
      <c r="G761" s="215"/>
      <c r="H761" s="215"/>
      <c r="I761" s="215"/>
      <c r="J761" s="215"/>
      <c r="K761" s="215"/>
      <c r="L761" s="215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215"/>
      <c r="Z761" s="215"/>
      <c r="AA761" s="215"/>
      <c r="AB761" s="215"/>
      <c r="AC761" s="215"/>
      <c r="AD761" s="215"/>
      <c r="AE761" s="215"/>
      <c r="AF761" s="215"/>
      <c r="AG761" s="215"/>
    </row>
    <row r="762" spans="1:33" ht="13.2">
      <c r="A762" s="215"/>
      <c r="B762" s="215"/>
      <c r="C762" s="215"/>
      <c r="D762" s="215"/>
      <c r="E762" s="215"/>
      <c r="F762" s="215"/>
      <c r="G762" s="215"/>
      <c r="H762" s="215"/>
      <c r="I762" s="215"/>
      <c r="J762" s="215"/>
      <c r="K762" s="215"/>
      <c r="L762" s="215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215"/>
      <c r="Z762" s="215"/>
      <c r="AA762" s="215"/>
      <c r="AB762" s="215"/>
      <c r="AC762" s="215"/>
      <c r="AD762" s="215"/>
      <c r="AE762" s="215"/>
      <c r="AF762" s="215"/>
      <c r="AG762" s="215"/>
    </row>
    <row r="763" spans="1:33" ht="13.2">
      <c r="A763" s="215"/>
      <c r="B763" s="215"/>
      <c r="C763" s="215"/>
      <c r="D763" s="215"/>
      <c r="E763" s="215"/>
      <c r="F763" s="215"/>
      <c r="G763" s="215"/>
      <c r="H763" s="215"/>
      <c r="I763" s="215"/>
      <c r="J763" s="215"/>
      <c r="K763" s="215"/>
      <c r="L763" s="215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215"/>
      <c r="Z763" s="215"/>
      <c r="AA763" s="215"/>
      <c r="AB763" s="215"/>
      <c r="AC763" s="215"/>
      <c r="AD763" s="215"/>
      <c r="AE763" s="215"/>
      <c r="AF763" s="215"/>
      <c r="AG763" s="215"/>
    </row>
    <row r="764" spans="1:33" ht="13.2">
      <c r="A764" s="215"/>
      <c r="B764" s="215"/>
      <c r="C764" s="215"/>
      <c r="D764" s="215"/>
      <c r="E764" s="215"/>
      <c r="F764" s="215"/>
      <c r="G764" s="215"/>
      <c r="H764" s="215"/>
      <c r="I764" s="215"/>
      <c r="J764" s="215"/>
      <c r="K764" s="215"/>
      <c r="L764" s="215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215"/>
      <c r="Z764" s="215"/>
      <c r="AA764" s="215"/>
      <c r="AB764" s="215"/>
      <c r="AC764" s="215"/>
      <c r="AD764" s="215"/>
      <c r="AE764" s="215"/>
      <c r="AF764" s="215"/>
      <c r="AG764" s="215"/>
    </row>
    <row r="765" spans="1:33" ht="13.2">
      <c r="A765" s="215"/>
      <c r="B765" s="215"/>
      <c r="C765" s="215"/>
      <c r="D765" s="215"/>
      <c r="E765" s="215"/>
      <c r="F765" s="215"/>
      <c r="G765" s="215"/>
      <c r="H765" s="215"/>
      <c r="I765" s="215"/>
      <c r="J765" s="215"/>
      <c r="K765" s="215"/>
      <c r="L765" s="215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215"/>
      <c r="Z765" s="215"/>
      <c r="AA765" s="215"/>
      <c r="AB765" s="215"/>
      <c r="AC765" s="215"/>
      <c r="AD765" s="215"/>
      <c r="AE765" s="215"/>
      <c r="AF765" s="215"/>
      <c r="AG765" s="215"/>
    </row>
    <row r="766" spans="1:33" ht="13.2">
      <c r="A766" s="215"/>
      <c r="B766" s="215"/>
      <c r="C766" s="215"/>
      <c r="D766" s="215"/>
      <c r="E766" s="215"/>
      <c r="F766" s="215"/>
      <c r="G766" s="215"/>
      <c r="H766" s="215"/>
      <c r="I766" s="215"/>
      <c r="J766" s="215"/>
      <c r="K766" s="215"/>
      <c r="L766" s="215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215"/>
      <c r="Z766" s="215"/>
      <c r="AA766" s="215"/>
      <c r="AB766" s="215"/>
      <c r="AC766" s="215"/>
      <c r="AD766" s="215"/>
      <c r="AE766" s="215"/>
      <c r="AF766" s="215"/>
      <c r="AG766" s="215"/>
    </row>
    <row r="767" spans="1:33" ht="13.2">
      <c r="A767" s="215"/>
      <c r="B767" s="215"/>
      <c r="C767" s="215"/>
      <c r="D767" s="215"/>
      <c r="E767" s="215"/>
      <c r="F767" s="215"/>
      <c r="G767" s="215"/>
      <c r="H767" s="215"/>
      <c r="I767" s="215"/>
      <c r="J767" s="215"/>
      <c r="K767" s="215"/>
      <c r="L767" s="215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215"/>
      <c r="Z767" s="215"/>
      <c r="AA767" s="215"/>
      <c r="AB767" s="215"/>
      <c r="AC767" s="215"/>
      <c r="AD767" s="215"/>
      <c r="AE767" s="215"/>
      <c r="AF767" s="215"/>
      <c r="AG767" s="215"/>
    </row>
    <row r="768" spans="1:33" ht="13.2">
      <c r="A768" s="215"/>
      <c r="B768" s="215"/>
      <c r="C768" s="215"/>
      <c r="D768" s="215"/>
      <c r="E768" s="215"/>
      <c r="F768" s="215"/>
      <c r="G768" s="215"/>
      <c r="H768" s="215"/>
      <c r="I768" s="215"/>
      <c r="J768" s="215"/>
      <c r="K768" s="215"/>
      <c r="L768" s="215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215"/>
      <c r="Z768" s="215"/>
      <c r="AA768" s="215"/>
      <c r="AB768" s="215"/>
      <c r="AC768" s="215"/>
      <c r="AD768" s="215"/>
      <c r="AE768" s="215"/>
      <c r="AF768" s="215"/>
      <c r="AG768" s="215"/>
    </row>
    <row r="769" spans="1:33" ht="13.2">
      <c r="A769" s="215"/>
      <c r="B769" s="215"/>
      <c r="C769" s="215"/>
      <c r="D769" s="215"/>
      <c r="E769" s="215"/>
      <c r="F769" s="215"/>
      <c r="G769" s="215"/>
      <c r="H769" s="215"/>
      <c r="I769" s="215"/>
      <c r="J769" s="215"/>
      <c r="K769" s="215"/>
      <c r="L769" s="215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215"/>
      <c r="Z769" s="215"/>
      <c r="AA769" s="215"/>
      <c r="AB769" s="215"/>
      <c r="AC769" s="215"/>
      <c r="AD769" s="215"/>
      <c r="AE769" s="215"/>
      <c r="AF769" s="215"/>
      <c r="AG769" s="215"/>
    </row>
    <row r="770" spans="1:33" ht="13.2">
      <c r="A770" s="215"/>
      <c r="B770" s="215"/>
      <c r="C770" s="215"/>
      <c r="D770" s="215"/>
      <c r="E770" s="215"/>
      <c r="F770" s="215"/>
      <c r="G770" s="215"/>
      <c r="H770" s="215"/>
      <c r="I770" s="215"/>
      <c r="J770" s="215"/>
      <c r="K770" s="215"/>
      <c r="L770" s="215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215"/>
      <c r="Z770" s="215"/>
      <c r="AA770" s="215"/>
      <c r="AB770" s="215"/>
      <c r="AC770" s="215"/>
      <c r="AD770" s="215"/>
      <c r="AE770" s="215"/>
      <c r="AF770" s="215"/>
      <c r="AG770" s="215"/>
    </row>
    <row r="771" spans="1:33" ht="13.2">
      <c r="A771" s="215"/>
      <c r="B771" s="215"/>
      <c r="C771" s="215"/>
      <c r="D771" s="215"/>
      <c r="E771" s="215"/>
      <c r="F771" s="215"/>
      <c r="G771" s="215"/>
      <c r="H771" s="215"/>
      <c r="I771" s="215"/>
      <c r="J771" s="215"/>
      <c r="K771" s="215"/>
      <c r="L771" s="215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215"/>
      <c r="Z771" s="215"/>
      <c r="AA771" s="215"/>
      <c r="AB771" s="215"/>
      <c r="AC771" s="215"/>
      <c r="AD771" s="215"/>
      <c r="AE771" s="215"/>
      <c r="AF771" s="215"/>
      <c r="AG771" s="215"/>
    </row>
    <row r="772" spans="1:33" ht="13.2">
      <c r="A772" s="215"/>
      <c r="B772" s="215"/>
      <c r="C772" s="215"/>
      <c r="D772" s="215"/>
      <c r="E772" s="215"/>
      <c r="F772" s="215"/>
      <c r="G772" s="215"/>
      <c r="H772" s="215"/>
      <c r="I772" s="215"/>
      <c r="J772" s="215"/>
      <c r="K772" s="215"/>
      <c r="L772" s="215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215"/>
      <c r="Z772" s="215"/>
      <c r="AA772" s="215"/>
      <c r="AB772" s="215"/>
      <c r="AC772" s="215"/>
      <c r="AD772" s="215"/>
      <c r="AE772" s="215"/>
      <c r="AF772" s="215"/>
      <c r="AG772" s="215"/>
    </row>
    <row r="773" spans="1:33" ht="13.2">
      <c r="A773" s="215"/>
      <c r="B773" s="215"/>
      <c r="C773" s="215"/>
      <c r="D773" s="215"/>
      <c r="E773" s="215"/>
      <c r="F773" s="215"/>
      <c r="G773" s="215"/>
      <c r="H773" s="215"/>
      <c r="I773" s="215"/>
      <c r="J773" s="215"/>
      <c r="K773" s="215"/>
      <c r="L773" s="215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215"/>
      <c r="Z773" s="215"/>
      <c r="AA773" s="215"/>
      <c r="AB773" s="215"/>
      <c r="AC773" s="215"/>
      <c r="AD773" s="215"/>
      <c r="AE773" s="215"/>
      <c r="AF773" s="215"/>
      <c r="AG773" s="215"/>
    </row>
    <row r="774" spans="1:33" ht="13.2">
      <c r="A774" s="215"/>
      <c r="B774" s="215"/>
      <c r="C774" s="215"/>
      <c r="D774" s="215"/>
      <c r="E774" s="215"/>
      <c r="F774" s="215"/>
      <c r="G774" s="215"/>
      <c r="H774" s="215"/>
      <c r="I774" s="215"/>
      <c r="J774" s="215"/>
      <c r="K774" s="215"/>
      <c r="L774" s="215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215"/>
      <c r="Z774" s="215"/>
      <c r="AA774" s="215"/>
      <c r="AB774" s="215"/>
      <c r="AC774" s="215"/>
      <c r="AD774" s="215"/>
      <c r="AE774" s="215"/>
      <c r="AF774" s="215"/>
      <c r="AG774" s="215"/>
    </row>
    <row r="775" spans="1:33" ht="13.2">
      <c r="A775" s="215"/>
      <c r="B775" s="215"/>
      <c r="C775" s="215"/>
      <c r="D775" s="215"/>
      <c r="E775" s="215"/>
      <c r="F775" s="215"/>
      <c r="G775" s="215"/>
      <c r="H775" s="215"/>
      <c r="I775" s="215"/>
      <c r="J775" s="215"/>
      <c r="K775" s="215"/>
      <c r="L775" s="215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215"/>
      <c r="Z775" s="215"/>
      <c r="AA775" s="215"/>
      <c r="AB775" s="215"/>
      <c r="AC775" s="215"/>
      <c r="AD775" s="215"/>
      <c r="AE775" s="215"/>
      <c r="AF775" s="215"/>
      <c r="AG775" s="215"/>
    </row>
    <row r="776" spans="1:33" ht="13.2">
      <c r="A776" s="215"/>
      <c r="B776" s="215"/>
      <c r="C776" s="215"/>
      <c r="D776" s="215"/>
      <c r="E776" s="215"/>
      <c r="F776" s="215"/>
      <c r="G776" s="215"/>
      <c r="H776" s="215"/>
      <c r="I776" s="215"/>
      <c r="J776" s="215"/>
      <c r="K776" s="215"/>
      <c r="L776" s="215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215"/>
      <c r="Z776" s="215"/>
      <c r="AA776" s="215"/>
      <c r="AB776" s="215"/>
      <c r="AC776" s="215"/>
      <c r="AD776" s="215"/>
      <c r="AE776" s="215"/>
      <c r="AF776" s="215"/>
      <c r="AG776" s="215"/>
    </row>
    <row r="777" spans="1:33" ht="13.2">
      <c r="A777" s="215"/>
      <c r="B777" s="215"/>
      <c r="C777" s="215"/>
      <c r="D777" s="215"/>
      <c r="E777" s="215"/>
      <c r="F777" s="215"/>
      <c r="G777" s="215"/>
      <c r="H777" s="215"/>
      <c r="I777" s="215"/>
      <c r="J777" s="215"/>
      <c r="K777" s="215"/>
      <c r="L777" s="215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215"/>
      <c r="Z777" s="215"/>
      <c r="AA777" s="215"/>
      <c r="AB777" s="215"/>
      <c r="AC777" s="215"/>
      <c r="AD777" s="215"/>
      <c r="AE777" s="215"/>
      <c r="AF777" s="215"/>
      <c r="AG777" s="215"/>
    </row>
    <row r="778" spans="1:33" ht="13.2">
      <c r="A778" s="215"/>
      <c r="B778" s="215"/>
      <c r="C778" s="215"/>
      <c r="D778" s="215"/>
      <c r="E778" s="215"/>
      <c r="F778" s="215"/>
      <c r="G778" s="215"/>
      <c r="H778" s="215"/>
      <c r="I778" s="215"/>
      <c r="J778" s="215"/>
      <c r="K778" s="215"/>
      <c r="L778" s="215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215"/>
      <c r="Z778" s="215"/>
      <c r="AA778" s="215"/>
      <c r="AB778" s="215"/>
      <c r="AC778" s="215"/>
      <c r="AD778" s="215"/>
      <c r="AE778" s="215"/>
      <c r="AF778" s="215"/>
      <c r="AG778" s="215"/>
    </row>
    <row r="779" spans="1:33" ht="13.2">
      <c r="A779" s="215"/>
      <c r="B779" s="215"/>
      <c r="C779" s="215"/>
      <c r="D779" s="215"/>
      <c r="E779" s="215"/>
      <c r="F779" s="215"/>
      <c r="G779" s="215"/>
      <c r="H779" s="215"/>
      <c r="I779" s="215"/>
      <c r="J779" s="215"/>
      <c r="K779" s="215"/>
      <c r="L779" s="215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215"/>
      <c r="Z779" s="215"/>
      <c r="AA779" s="215"/>
      <c r="AB779" s="215"/>
      <c r="AC779" s="215"/>
      <c r="AD779" s="215"/>
      <c r="AE779" s="215"/>
      <c r="AF779" s="215"/>
      <c r="AG779" s="215"/>
    </row>
    <row r="780" spans="1:33" ht="13.2">
      <c r="A780" s="215"/>
      <c r="B780" s="215"/>
      <c r="C780" s="215"/>
      <c r="D780" s="215"/>
      <c r="E780" s="215"/>
      <c r="F780" s="215"/>
      <c r="G780" s="215"/>
      <c r="H780" s="215"/>
      <c r="I780" s="215"/>
      <c r="J780" s="215"/>
      <c r="K780" s="215"/>
      <c r="L780" s="215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215"/>
      <c r="Z780" s="215"/>
      <c r="AA780" s="215"/>
      <c r="AB780" s="215"/>
      <c r="AC780" s="215"/>
      <c r="AD780" s="215"/>
      <c r="AE780" s="215"/>
      <c r="AF780" s="215"/>
      <c r="AG780" s="215"/>
    </row>
    <row r="781" spans="1:33" ht="13.2">
      <c r="A781" s="215"/>
      <c r="B781" s="215"/>
      <c r="C781" s="215"/>
      <c r="D781" s="215"/>
      <c r="E781" s="215"/>
      <c r="F781" s="215"/>
      <c r="G781" s="215"/>
      <c r="H781" s="215"/>
      <c r="I781" s="215"/>
      <c r="J781" s="215"/>
      <c r="K781" s="215"/>
      <c r="L781" s="215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215"/>
      <c r="Z781" s="215"/>
      <c r="AA781" s="215"/>
      <c r="AB781" s="215"/>
      <c r="AC781" s="215"/>
      <c r="AD781" s="215"/>
      <c r="AE781" s="215"/>
      <c r="AF781" s="215"/>
      <c r="AG781" s="215"/>
    </row>
    <row r="782" spans="1:33" ht="13.2">
      <c r="A782" s="215"/>
      <c r="B782" s="215"/>
      <c r="C782" s="215"/>
      <c r="D782" s="215"/>
      <c r="E782" s="215"/>
      <c r="F782" s="215"/>
      <c r="G782" s="215"/>
      <c r="H782" s="215"/>
      <c r="I782" s="215"/>
      <c r="J782" s="215"/>
      <c r="K782" s="215"/>
      <c r="L782" s="215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215"/>
      <c r="Z782" s="215"/>
      <c r="AA782" s="215"/>
      <c r="AB782" s="215"/>
      <c r="AC782" s="215"/>
      <c r="AD782" s="215"/>
      <c r="AE782" s="215"/>
      <c r="AF782" s="215"/>
      <c r="AG782" s="215"/>
    </row>
    <row r="783" spans="1:33" ht="13.2">
      <c r="A783" s="215"/>
      <c r="B783" s="215"/>
      <c r="C783" s="215"/>
      <c r="D783" s="215"/>
      <c r="E783" s="215"/>
      <c r="F783" s="215"/>
      <c r="G783" s="215"/>
      <c r="H783" s="215"/>
      <c r="I783" s="215"/>
      <c r="J783" s="215"/>
      <c r="K783" s="215"/>
      <c r="L783" s="215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215"/>
      <c r="Z783" s="215"/>
      <c r="AA783" s="215"/>
      <c r="AB783" s="215"/>
      <c r="AC783" s="215"/>
      <c r="AD783" s="215"/>
      <c r="AE783" s="215"/>
      <c r="AF783" s="215"/>
      <c r="AG783" s="215"/>
    </row>
    <row r="784" spans="1:33" ht="13.2">
      <c r="A784" s="215"/>
      <c r="B784" s="215"/>
      <c r="C784" s="215"/>
      <c r="D784" s="215"/>
      <c r="E784" s="215"/>
      <c r="F784" s="215"/>
      <c r="G784" s="215"/>
      <c r="H784" s="215"/>
      <c r="I784" s="215"/>
      <c r="J784" s="215"/>
      <c r="K784" s="215"/>
      <c r="L784" s="215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215"/>
      <c r="Z784" s="215"/>
      <c r="AA784" s="215"/>
      <c r="AB784" s="215"/>
      <c r="AC784" s="215"/>
      <c r="AD784" s="215"/>
      <c r="AE784" s="215"/>
      <c r="AF784" s="215"/>
      <c r="AG784" s="215"/>
    </row>
    <row r="785" spans="1:33" ht="13.2">
      <c r="A785" s="215"/>
      <c r="B785" s="215"/>
      <c r="C785" s="215"/>
      <c r="D785" s="215"/>
      <c r="E785" s="215"/>
      <c r="F785" s="215"/>
      <c r="G785" s="215"/>
      <c r="H785" s="215"/>
      <c r="I785" s="215"/>
      <c r="J785" s="215"/>
      <c r="K785" s="215"/>
      <c r="L785" s="215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215"/>
      <c r="Z785" s="215"/>
      <c r="AA785" s="215"/>
      <c r="AB785" s="215"/>
      <c r="AC785" s="215"/>
      <c r="AD785" s="215"/>
      <c r="AE785" s="215"/>
      <c r="AF785" s="215"/>
      <c r="AG785" s="215"/>
    </row>
    <row r="786" spans="1:33" ht="13.2">
      <c r="A786" s="215"/>
      <c r="B786" s="215"/>
      <c r="C786" s="215"/>
      <c r="D786" s="215"/>
      <c r="E786" s="215"/>
      <c r="F786" s="215"/>
      <c r="G786" s="215"/>
      <c r="H786" s="215"/>
      <c r="I786" s="215"/>
      <c r="J786" s="215"/>
      <c r="K786" s="215"/>
      <c r="L786" s="215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215"/>
      <c r="Z786" s="215"/>
      <c r="AA786" s="215"/>
      <c r="AB786" s="215"/>
      <c r="AC786" s="215"/>
      <c r="AD786" s="215"/>
      <c r="AE786" s="215"/>
      <c r="AF786" s="215"/>
      <c r="AG786" s="215"/>
    </row>
    <row r="787" spans="1:33" ht="13.2">
      <c r="A787" s="215"/>
      <c r="B787" s="215"/>
      <c r="C787" s="215"/>
      <c r="D787" s="215"/>
      <c r="E787" s="215"/>
      <c r="F787" s="215"/>
      <c r="G787" s="215"/>
      <c r="H787" s="215"/>
      <c r="I787" s="215"/>
      <c r="J787" s="215"/>
      <c r="K787" s="215"/>
      <c r="L787" s="215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215"/>
      <c r="Z787" s="215"/>
      <c r="AA787" s="215"/>
      <c r="AB787" s="215"/>
      <c r="AC787" s="215"/>
      <c r="AD787" s="215"/>
      <c r="AE787" s="215"/>
      <c r="AF787" s="215"/>
      <c r="AG787" s="215"/>
    </row>
    <row r="788" spans="1:33" ht="13.2">
      <c r="A788" s="215"/>
      <c r="B788" s="215"/>
      <c r="C788" s="215"/>
      <c r="D788" s="215"/>
      <c r="E788" s="215"/>
      <c r="F788" s="215"/>
      <c r="G788" s="215"/>
      <c r="H788" s="215"/>
      <c r="I788" s="215"/>
      <c r="J788" s="215"/>
      <c r="K788" s="215"/>
      <c r="L788" s="215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215"/>
      <c r="Z788" s="215"/>
      <c r="AA788" s="215"/>
      <c r="AB788" s="215"/>
      <c r="AC788" s="215"/>
      <c r="AD788" s="215"/>
      <c r="AE788" s="215"/>
      <c r="AF788" s="215"/>
      <c r="AG788" s="215"/>
    </row>
    <row r="789" spans="1:33" ht="13.2">
      <c r="A789" s="215"/>
      <c r="B789" s="215"/>
      <c r="C789" s="215"/>
      <c r="D789" s="215"/>
      <c r="E789" s="215"/>
      <c r="F789" s="215"/>
      <c r="G789" s="215"/>
      <c r="H789" s="215"/>
      <c r="I789" s="215"/>
      <c r="J789" s="215"/>
      <c r="K789" s="215"/>
      <c r="L789" s="215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215"/>
      <c r="Z789" s="215"/>
      <c r="AA789" s="215"/>
      <c r="AB789" s="215"/>
      <c r="AC789" s="215"/>
      <c r="AD789" s="215"/>
      <c r="AE789" s="215"/>
      <c r="AF789" s="215"/>
      <c r="AG789" s="215"/>
    </row>
    <row r="790" spans="1:33" ht="13.2">
      <c r="A790" s="215"/>
      <c r="B790" s="215"/>
      <c r="C790" s="215"/>
      <c r="D790" s="215"/>
      <c r="E790" s="215"/>
      <c r="F790" s="215"/>
      <c r="G790" s="215"/>
      <c r="H790" s="215"/>
      <c r="I790" s="215"/>
      <c r="J790" s="215"/>
      <c r="K790" s="215"/>
      <c r="L790" s="215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215"/>
      <c r="Z790" s="215"/>
      <c r="AA790" s="215"/>
      <c r="AB790" s="215"/>
      <c r="AC790" s="215"/>
      <c r="AD790" s="215"/>
      <c r="AE790" s="215"/>
      <c r="AF790" s="215"/>
      <c r="AG790" s="215"/>
    </row>
    <row r="791" spans="1:33" ht="13.2">
      <c r="A791" s="215"/>
      <c r="B791" s="215"/>
      <c r="C791" s="215"/>
      <c r="D791" s="215"/>
      <c r="E791" s="215"/>
      <c r="F791" s="215"/>
      <c r="G791" s="215"/>
      <c r="H791" s="215"/>
      <c r="I791" s="215"/>
      <c r="J791" s="215"/>
      <c r="K791" s="215"/>
      <c r="L791" s="215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215"/>
      <c r="Z791" s="215"/>
      <c r="AA791" s="215"/>
      <c r="AB791" s="215"/>
      <c r="AC791" s="215"/>
      <c r="AD791" s="215"/>
      <c r="AE791" s="215"/>
      <c r="AF791" s="215"/>
      <c r="AG791" s="215"/>
    </row>
    <row r="792" spans="1:33" ht="13.2">
      <c r="A792" s="215"/>
      <c r="B792" s="215"/>
      <c r="C792" s="215"/>
      <c r="D792" s="215"/>
      <c r="E792" s="215"/>
      <c r="F792" s="215"/>
      <c r="G792" s="215"/>
      <c r="H792" s="215"/>
      <c r="I792" s="215"/>
      <c r="J792" s="215"/>
      <c r="K792" s="215"/>
      <c r="L792" s="215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215"/>
      <c r="Z792" s="215"/>
      <c r="AA792" s="215"/>
      <c r="AB792" s="215"/>
      <c r="AC792" s="215"/>
      <c r="AD792" s="215"/>
      <c r="AE792" s="215"/>
      <c r="AF792" s="215"/>
      <c r="AG792" s="215"/>
    </row>
    <row r="793" spans="1:33" ht="13.2">
      <c r="A793" s="215"/>
      <c r="B793" s="215"/>
      <c r="C793" s="215"/>
      <c r="D793" s="215"/>
      <c r="E793" s="215"/>
      <c r="F793" s="215"/>
      <c r="G793" s="215"/>
      <c r="H793" s="215"/>
      <c r="I793" s="215"/>
      <c r="J793" s="215"/>
      <c r="K793" s="215"/>
      <c r="L793" s="215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215"/>
      <c r="Z793" s="215"/>
      <c r="AA793" s="215"/>
      <c r="AB793" s="215"/>
      <c r="AC793" s="215"/>
      <c r="AD793" s="215"/>
      <c r="AE793" s="215"/>
      <c r="AF793" s="215"/>
      <c r="AG793" s="215"/>
    </row>
    <row r="794" spans="1:33" ht="13.2">
      <c r="A794" s="215"/>
      <c r="B794" s="215"/>
      <c r="C794" s="215"/>
      <c r="D794" s="215"/>
      <c r="E794" s="215"/>
      <c r="F794" s="215"/>
      <c r="G794" s="215"/>
      <c r="H794" s="215"/>
      <c r="I794" s="215"/>
      <c r="J794" s="215"/>
      <c r="K794" s="215"/>
      <c r="L794" s="215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215"/>
      <c r="Z794" s="215"/>
      <c r="AA794" s="215"/>
      <c r="AB794" s="215"/>
      <c r="AC794" s="215"/>
      <c r="AD794" s="215"/>
      <c r="AE794" s="215"/>
      <c r="AF794" s="215"/>
      <c r="AG794" s="215"/>
    </row>
    <row r="795" spans="1:33" ht="13.2">
      <c r="A795" s="215"/>
      <c r="B795" s="215"/>
      <c r="C795" s="215"/>
      <c r="D795" s="215"/>
      <c r="E795" s="215"/>
      <c r="F795" s="215"/>
      <c r="G795" s="215"/>
      <c r="H795" s="215"/>
      <c r="I795" s="215"/>
      <c r="J795" s="215"/>
      <c r="K795" s="215"/>
      <c r="L795" s="215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215"/>
      <c r="Z795" s="215"/>
      <c r="AA795" s="215"/>
      <c r="AB795" s="215"/>
      <c r="AC795" s="215"/>
      <c r="AD795" s="215"/>
      <c r="AE795" s="215"/>
      <c r="AF795" s="215"/>
      <c r="AG795" s="215"/>
    </row>
    <row r="796" spans="1:33" ht="13.2">
      <c r="A796" s="215"/>
      <c r="B796" s="215"/>
      <c r="C796" s="215"/>
      <c r="D796" s="215"/>
      <c r="E796" s="215"/>
      <c r="F796" s="215"/>
      <c r="G796" s="215"/>
      <c r="H796" s="215"/>
      <c r="I796" s="215"/>
      <c r="J796" s="215"/>
      <c r="K796" s="215"/>
      <c r="L796" s="215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215"/>
      <c r="Z796" s="215"/>
      <c r="AA796" s="215"/>
      <c r="AB796" s="215"/>
      <c r="AC796" s="215"/>
      <c r="AD796" s="215"/>
      <c r="AE796" s="215"/>
      <c r="AF796" s="215"/>
      <c r="AG796" s="215"/>
    </row>
    <row r="797" spans="1:33" ht="13.2">
      <c r="A797" s="215"/>
      <c r="B797" s="215"/>
      <c r="C797" s="215"/>
      <c r="D797" s="215"/>
      <c r="E797" s="215"/>
      <c r="F797" s="215"/>
      <c r="G797" s="215"/>
      <c r="H797" s="215"/>
      <c r="I797" s="215"/>
      <c r="J797" s="215"/>
      <c r="K797" s="215"/>
      <c r="L797" s="215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215"/>
      <c r="Z797" s="215"/>
      <c r="AA797" s="215"/>
      <c r="AB797" s="215"/>
      <c r="AC797" s="215"/>
      <c r="AD797" s="215"/>
      <c r="AE797" s="215"/>
      <c r="AF797" s="215"/>
      <c r="AG797" s="215"/>
    </row>
    <row r="798" spans="1:33" ht="13.2">
      <c r="A798" s="215"/>
      <c r="B798" s="215"/>
      <c r="C798" s="215"/>
      <c r="D798" s="215"/>
      <c r="E798" s="215"/>
      <c r="F798" s="215"/>
      <c r="G798" s="215"/>
      <c r="H798" s="215"/>
      <c r="I798" s="215"/>
      <c r="J798" s="215"/>
      <c r="K798" s="215"/>
      <c r="L798" s="215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215"/>
      <c r="Z798" s="215"/>
      <c r="AA798" s="215"/>
      <c r="AB798" s="215"/>
      <c r="AC798" s="215"/>
      <c r="AD798" s="215"/>
      <c r="AE798" s="215"/>
      <c r="AF798" s="215"/>
      <c r="AG798" s="215"/>
    </row>
    <row r="799" spans="1:33" ht="13.2">
      <c r="A799" s="215"/>
      <c r="B799" s="215"/>
      <c r="C799" s="215"/>
      <c r="D799" s="215"/>
      <c r="E799" s="215"/>
      <c r="F799" s="215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215"/>
      <c r="Z799" s="215"/>
      <c r="AA799" s="215"/>
      <c r="AB799" s="215"/>
      <c r="AC799" s="215"/>
      <c r="AD799" s="215"/>
      <c r="AE799" s="215"/>
      <c r="AF799" s="215"/>
      <c r="AG799" s="215"/>
    </row>
    <row r="800" spans="1:33" ht="13.2">
      <c r="A800" s="215"/>
      <c r="B800" s="215"/>
      <c r="C800" s="215"/>
      <c r="D800" s="215"/>
      <c r="E800" s="215"/>
      <c r="F800" s="215"/>
      <c r="G800" s="215"/>
      <c r="H800" s="215"/>
      <c r="I800" s="215"/>
      <c r="J800" s="215"/>
      <c r="K800" s="215"/>
      <c r="L800" s="215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215"/>
      <c r="Z800" s="215"/>
      <c r="AA800" s="215"/>
      <c r="AB800" s="215"/>
      <c r="AC800" s="215"/>
      <c r="AD800" s="215"/>
      <c r="AE800" s="215"/>
      <c r="AF800" s="215"/>
      <c r="AG800" s="215"/>
    </row>
    <row r="801" spans="1:33" ht="13.2">
      <c r="A801" s="215"/>
      <c r="B801" s="215"/>
      <c r="C801" s="215"/>
      <c r="D801" s="215"/>
      <c r="E801" s="215"/>
      <c r="F801" s="215"/>
      <c r="G801" s="215"/>
      <c r="H801" s="215"/>
      <c r="I801" s="215"/>
      <c r="J801" s="215"/>
      <c r="K801" s="215"/>
      <c r="L801" s="215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215"/>
      <c r="Z801" s="215"/>
      <c r="AA801" s="215"/>
      <c r="AB801" s="215"/>
      <c r="AC801" s="215"/>
      <c r="AD801" s="215"/>
      <c r="AE801" s="215"/>
      <c r="AF801" s="215"/>
      <c r="AG801" s="215"/>
    </row>
    <row r="802" spans="1:33" ht="13.2">
      <c r="A802" s="215"/>
      <c r="B802" s="215"/>
      <c r="C802" s="215"/>
      <c r="D802" s="215"/>
      <c r="E802" s="215"/>
      <c r="F802" s="215"/>
      <c r="G802" s="215"/>
      <c r="H802" s="215"/>
      <c r="I802" s="215"/>
      <c r="J802" s="215"/>
      <c r="K802" s="215"/>
      <c r="L802" s="215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215"/>
      <c r="Z802" s="215"/>
      <c r="AA802" s="215"/>
      <c r="AB802" s="215"/>
      <c r="AC802" s="215"/>
      <c r="AD802" s="215"/>
      <c r="AE802" s="215"/>
      <c r="AF802" s="215"/>
      <c r="AG802" s="215"/>
    </row>
    <row r="803" spans="1:33" ht="13.2">
      <c r="A803" s="215"/>
      <c r="B803" s="215"/>
      <c r="C803" s="215"/>
      <c r="D803" s="215"/>
      <c r="E803" s="215"/>
      <c r="F803" s="21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215"/>
      <c r="Z803" s="215"/>
      <c r="AA803" s="215"/>
      <c r="AB803" s="215"/>
      <c r="AC803" s="215"/>
      <c r="AD803" s="215"/>
      <c r="AE803" s="215"/>
      <c r="AF803" s="215"/>
      <c r="AG803" s="215"/>
    </row>
    <row r="804" spans="1:33" ht="13.2">
      <c r="A804" s="215"/>
      <c r="B804" s="215"/>
      <c r="C804" s="215"/>
      <c r="D804" s="215"/>
      <c r="E804" s="215"/>
      <c r="F804" s="215"/>
      <c r="G804" s="215"/>
      <c r="H804" s="215"/>
      <c r="I804" s="215"/>
      <c r="J804" s="215"/>
      <c r="K804" s="215"/>
      <c r="L804" s="215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215"/>
      <c r="Z804" s="215"/>
      <c r="AA804" s="215"/>
      <c r="AB804" s="215"/>
      <c r="AC804" s="215"/>
      <c r="AD804" s="215"/>
      <c r="AE804" s="215"/>
      <c r="AF804" s="215"/>
      <c r="AG804" s="215"/>
    </row>
    <row r="805" spans="1:33" ht="13.2">
      <c r="A805" s="215"/>
      <c r="B805" s="215"/>
      <c r="C805" s="215"/>
      <c r="D805" s="215"/>
      <c r="E805" s="215"/>
      <c r="F805" s="21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215"/>
      <c r="Z805" s="215"/>
      <c r="AA805" s="215"/>
      <c r="AB805" s="215"/>
      <c r="AC805" s="215"/>
      <c r="AD805" s="215"/>
      <c r="AE805" s="215"/>
      <c r="AF805" s="215"/>
      <c r="AG805" s="215"/>
    </row>
    <row r="806" spans="1:33" ht="13.2">
      <c r="A806" s="215"/>
      <c r="B806" s="215"/>
      <c r="C806" s="215"/>
      <c r="D806" s="215"/>
      <c r="E806" s="215"/>
      <c r="F806" s="215"/>
      <c r="G806" s="215"/>
      <c r="H806" s="215"/>
      <c r="I806" s="215"/>
      <c r="J806" s="215"/>
      <c r="K806" s="215"/>
      <c r="L806" s="215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215"/>
      <c r="Z806" s="215"/>
      <c r="AA806" s="215"/>
      <c r="AB806" s="215"/>
      <c r="AC806" s="215"/>
      <c r="AD806" s="215"/>
      <c r="AE806" s="215"/>
      <c r="AF806" s="215"/>
      <c r="AG806" s="215"/>
    </row>
    <row r="807" spans="1:33" ht="13.2">
      <c r="A807" s="215"/>
      <c r="B807" s="215"/>
      <c r="C807" s="215"/>
      <c r="D807" s="215"/>
      <c r="E807" s="215"/>
      <c r="F807" s="215"/>
      <c r="G807" s="215"/>
      <c r="H807" s="215"/>
      <c r="I807" s="215"/>
      <c r="J807" s="215"/>
      <c r="K807" s="215"/>
      <c r="L807" s="215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215"/>
      <c r="Z807" s="215"/>
      <c r="AA807" s="215"/>
      <c r="AB807" s="215"/>
      <c r="AC807" s="215"/>
      <c r="AD807" s="215"/>
      <c r="AE807" s="215"/>
      <c r="AF807" s="215"/>
      <c r="AG807" s="215"/>
    </row>
    <row r="808" spans="1:33" ht="13.2">
      <c r="A808" s="215"/>
      <c r="B808" s="215"/>
      <c r="C808" s="215"/>
      <c r="D808" s="215"/>
      <c r="E808" s="215"/>
      <c r="F808" s="215"/>
      <c r="G808" s="215"/>
      <c r="H808" s="215"/>
      <c r="I808" s="215"/>
      <c r="J808" s="215"/>
      <c r="K808" s="215"/>
      <c r="L808" s="215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215"/>
      <c r="Z808" s="215"/>
      <c r="AA808" s="215"/>
      <c r="AB808" s="215"/>
      <c r="AC808" s="215"/>
      <c r="AD808" s="215"/>
      <c r="AE808" s="215"/>
      <c r="AF808" s="215"/>
      <c r="AG808" s="215"/>
    </row>
    <row r="809" spans="1:33" ht="13.2">
      <c r="A809" s="215"/>
      <c r="B809" s="215"/>
      <c r="C809" s="215"/>
      <c r="D809" s="215"/>
      <c r="E809" s="215"/>
      <c r="F809" s="215"/>
      <c r="G809" s="215"/>
      <c r="H809" s="215"/>
      <c r="I809" s="215"/>
      <c r="J809" s="215"/>
      <c r="K809" s="215"/>
      <c r="L809" s="215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215"/>
      <c r="Z809" s="215"/>
      <c r="AA809" s="215"/>
      <c r="AB809" s="215"/>
      <c r="AC809" s="215"/>
      <c r="AD809" s="215"/>
      <c r="AE809" s="215"/>
      <c r="AF809" s="215"/>
      <c r="AG809" s="215"/>
    </row>
    <row r="810" spans="1:33" ht="13.2">
      <c r="A810" s="215"/>
      <c r="B810" s="215"/>
      <c r="C810" s="215"/>
      <c r="D810" s="215"/>
      <c r="E810" s="215"/>
      <c r="F810" s="215"/>
      <c r="G810" s="215"/>
      <c r="H810" s="215"/>
      <c r="I810" s="215"/>
      <c r="J810" s="215"/>
      <c r="K810" s="215"/>
      <c r="L810" s="215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215"/>
      <c r="Z810" s="215"/>
      <c r="AA810" s="215"/>
      <c r="AB810" s="215"/>
      <c r="AC810" s="215"/>
      <c r="AD810" s="215"/>
      <c r="AE810" s="215"/>
      <c r="AF810" s="215"/>
      <c r="AG810" s="215"/>
    </row>
    <row r="811" spans="1:33" ht="13.2">
      <c r="A811" s="215"/>
      <c r="B811" s="215"/>
      <c r="C811" s="215"/>
      <c r="D811" s="215"/>
      <c r="E811" s="215"/>
      <c r="F811" s="215"/>
      <c r="G811" s="215"/>
      <c r="H811" s="215"/>
      <c r="I811" s="215"/>
      <c r="J811" s="215"/>
      <c r="K811" s="215"/>
      <c r="L811" s="215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215"/>
      <c r="Z811" s="215"/>
      <c r="AA811" s="215"/>
      <c r="AB811" s="215"/>
      <c r="AC811" s="215"/>
      <c r="AD811" s="215"/>
      <c r="AE811" s="215"/>
      <c r="AF811" s="215"/>
      <c r="AG811" s="215"/>
    </row>
    <row r="812" spans="1:33" ht="13.2">
      <c r="A812" s="215"/>
      <c r="B812" s="215"/>
      <c r="C812" s="215"/>
      <c r="D812" s="215"/>
      <c r="E812" s="215"/>
      <c r="F812" s="215"/>
      <c r="G812" s="215"/>
      <c r="H812" s="215"/>
      <c r="I812" s="215"/>
      <c r="J812" s="215"/>
      <c r="K812" s="215"/>
      <c r="L812" s="215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215"/>
      <c r="Z812" s="215"/>
      <c r="AA812" s="215"/>
      <c r="AB812" s="215"/>
      <c r="AC812" s="215"/>
      <c r="AD812" s="215"/>
      <c r="AE812" s="215"/>
      <c r="AF812" s="215"/>
      <c r="AG812" s="215"/>
    </row>
    <row r="813" spans="1:33" ht="13.2">
      <c r="A813" s="215"/>
      <c r="B813" s="215"/>
      <c r="C813" s="215"/>
      <c r="D813" s="215"/>
      <c r="E813" s="215"/>
      <c r="F813" s="215"/>
      <c r="G813" s="215"/>
      <c r="H813" s="215"/>
      <c r="I813" s="215"/>
      <c r="J813" s="215"/>
      <c r="K813" s="215"/>
      <c r="L813" s="215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215"/>
      <c r="Z813" s="215"/>
      <c r="AA813" s="215"/>
      <c r="AB813" s="215"/>
      <c r="AC813" s="215"/>
      <c r="AD813" s="215"/>
      <c r="AE813" s="215"/>
      <c r="AF813" s="215"/>
      <c r="AG813" s="215"/>
    </row>
    <row r="814" spans="1:33" ht="13.2">
      <c r="A814" s="215"/>
      <c r="B814" s="215"/>
      <c r="C814" s="215"/>
      <c r="D814" s="215"/>
      <c r="E814" s="215"/>
      <c r="F814" s="215"/>
      <c r="G814" s="215"/>
      <c r="H814" s="215"/>
      <c r="I814" s="215"/>
      <c r="J814" s="215"/>
      <c r="K814" s="215"/>
      <c r="L814" s="215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215"/>
      <c r="Z814" s="215"/>
      <c r="AA814" s="215"/>
      <c r="AB814" s="215"/>
      <c r="AC814" s="215"/>
      <c r="AD814" s="215"/>
      <c r="AE814" s="215"/>
      <c r="AF814" s="215"/>
      <c r="AG814" s="215"/>
    </row>
    <row r="815" spans="1:33" ht="13.2">
      <c r="A815" s="215"/>
      <c r="B815" s="215"/>
      <c r="C815" s="215"/>
      <c r="D815" s="215"/>
      <c r="E815" s="215"/>
      <c r="F815" s="215"/>
      <c r="G815" s="215"/>
      <c r="H815" s="215"/>
      <c r="I815" s="215"/>
      <c r="J815" s="215"/>
      <c r="K815" s="215"/>
      <c r="L815" s="215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215"/>
      <c r="Z815" s="215"/>
      <c r="AA815" s="215"/>
      <c r="AB815" s="215"/>
      <c r="AC815" s="215"/>
      <c r="AD815" s="215"/>
      <c r="AE815" s="215"/>
      <c r="AF815" s="215"/>
      <c r="AG815" s="215"/>
    </row>
    <row r="816" spans="1:33" ht="13.2">
      <c r="A816" s="215"/>
      <c r="B816" s="215"/>
      <c r="C816" s="215"/>
      <c r="D816" s="215"/>
      <c r="E816" s="215"/>
      <c r="F816" s="215"/>
      <c r="G816" s="215"/>
      <c r="H816" s="215"/>
      <c r="I816" s="215"/>
      <c r="J816" s="215"/>
      <c r="K816" s="215"/>
      <c r="L816" s="215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215"/>
      <c r="Z816" s="215"/>
      <c r="AA816" s="215"/>
      <c r="AB816" s="215"/>
      <c r="AC816" s="215"/>
      <c r="AD816" s="215"/>
      <c r="AE816" s="215"/>
      <c r="AF816" s="215"/>
      <c r="AG816" s="215"/>
    </row>
    <row r="817" spans="1:33" ht="13.2">
      <c r="A817" s="215"/>
      <c r="B817" s="215"/>
      <c r="C817" s="215"/>
      <c r="D817" s="215"/>
      <c r="E817" s="215"/>
      <c r="F817" s="215"/>
      <c r="G817" s="215"/>
      <c r="H817" s="215"/>
      <c r="I817" s="215"/>
      <c r="J817" s="215"/>
      <c r="K817" s="215"/>
      <c r="L817" s="215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215"/>
      <c r="Z817" s="215"/>
      <c r="AA817" s="215"/>
      <c r="AB817" s="215"/>
      <c r="AC817" s="215"/>
      <c r="AD817" s="215"/>
      <c r="AE817" s="215"/>
      <c r="AF817" s="215"/>
      <c r="AG817" s="215"/>
    </row>
    <row r="818" spans="1:33" ht="13.2">
      <c r="A818" s="215"/>
      <c r="B818" s="215"/>
      <c r="C818" s="215"/>
      <c r="D818" s="215"/>
      <c r="E818" s="215"/>
      <c r="F818" s="215"/>
      <c r="G818" s="215"/>
      <c r="H818" s="215"/>
      <c r="I818" s="215"/>
      <c r="J818" s="215"/>
      <c r="K818" s="215"/>
      <c r="L818" s="215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215"/>
      <c r="Z818" s="215"/>
      <c r="AA818" s="215"/>
      <c r="AB818" s="215"/>
      <c r="AC818" s="215"/>
      <c r="AD818" s="215"/>
      <c r="AE818" s="215"/>
      <c r="AF818" s="215"/>
      <c r="AG818" s="215"/>
    </row>
    <row r="819" spans="1:33" ht="13.2">
      <c r="A819" s="215"/>
      <c r="B819" s="215"/>
      <c r="C819" s="215"/>
      <c r="D819" s="215"/>
      <c r="E819" s="215"/>
      <c r="F819" s="215"/>
      <c r="G819" s="215"/>
      <c r="H819" s="215"/>
      <c r="I819" s="215"/>
      <c r="J819" s="215"/>
      <c r="K819" s="215"/>
      <c r="L819" s="215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215"/>
      <c r="Z819" s="215"/>
      <c r="AA819" s="215"/>
      <c r="AB819" s="215"/>
      <c r="AC819" s="215"/>
      <c r="AD819" s="215"/>
      <c r="AE819" s="215"/>
      <c r="AF819" s="215"/>
      <c r="AG819" s="215"/>
    </row>
    <row r="820" spans="1:33" ht="13.2">
      <c r="A820" s="215"/>
      <c r="B820" s="215"/>
      <c r="C820" s="215"/>
      <c r="D820" s="215"/>
      <c r="E820" s="215"/>
      <c r="F820" s="215"/>
      <c r="G820" s="215"/>
      <c r="H820" s="215"/>
      <c r="I820" s="215"/>
      <c r="J820" s="215"/>
      <c r="K820" s="215"/>
      <c r="L820" s="215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215"/>
      <c r="Z820" s="215"/>
      <c r="AA820" s="215"/>
      <c r="AB820" s="215"/>
      <c r="AC820" s="215"/>
      <c r="AD820" s="215"/>
      <c r="AE820" s="215"/>
      <c r="AF820" s="215"/>
      <c r="AG820" s="215"/>
    </row>
    <row r="821" spans="1:33" ht="13.2">
      <c r="A821" s="215"/>
      <c r="B821" s="215"/>
      <c r="C821" s="215"/>
      <c r="D821" s="215"/>
      <c r="E821" s="215"/>
      <c r="F821" s="215"/>
      <c r="G821" s="215"/>
      <c r="H821" s="215"/>
      <c r="I821" s="215"/>
      <c r="J821" s="215"/>
      <c r="K821" s="215"/>
      <c r="L821" s="215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215"/>
      <c r="Z821" s="215"/>
      <c r="AA821" s="215"/>
      <c r="AB821" s="215"/>
      <c r="AC821" s="215"/>
      <c r="AD821" s="215"/>
      <c r="AE821" s="215"/>
      <c r="AF821" s="215"/>
      <c r="AG821" s="215"/>
    </row>
    <row r="822" spans="1:33" ht="13.2">
      <c r="A822" s="215"/>
      <c r="B822" s="215"/>
      <c r="C822" s="215"/>
      <c r="D822" s="215"/>
      <c r="E822" s="215"/>
      <c r="F822" s="215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215"/>
      <c r="Z822" s="215"/>
      <c r="AA822" s="215"/>
      <c r="AB822" s="215"/>
      <c r="AC822" s="215"/>
      <c r="AD822" s="215"/>
      <c r="AE822" s="215"/>
      <c r="AF822" s="215"/>
      <c r="AG822" s="215"/>
    </row>
    <row r="823" spans="1:33" ht="13.2">
      <c r="A823" s="215"/>
      <c r="B823" s="215"/>
      <c r="C823" s="215"/>
      <c r="D823" s="215"/>
      <c r="E823" s="215"/>
      <c r="F823" s="215"/>
      <c r="G823" s="215"/>
      <c r="H823" s="215"/>
      <c r="I823" s="215"/>
      <c r="J823" s="215"/>
      <c r="K823" s="215"/>
      <c r="L823" s="215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215"/>
      <c r="Z823" s="215"/>
      <c r="AA823" s="215"/>
      <c r="AB823" s="215"/>
      <c r="AC823" s="215"/>
      <c r="AD823" s="215"/>
      <c r="AE823" s="215"/>
      <c r="AF823" s="215"/>
      <c r="AG823" s="215"/>
    </row>
    <row r="824" spans="1:33" ht="13.2">
      <c r="A824" s="215"/>
      <c r="B824" s="215"/>
      <c r="C824" s="215"/>
      <c r="D824" s="215"/>
      <c r="E824" s="215"/>
      <c r="F824" s="215"/>
      <c r="G824" s="215"/>
      <c r="H824" s="215"/>
      <c r="I824" s="215"/>
      <c r="J824" s="215"/>
      <c r="K824" s="215"/>
      <c r="L824" s="215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215"/>
      <c r="Z824" s="215"/>
      <c r="AA824" s="215"/>
      <c r="AB824" s="215"/>
      <c r="AC824" s="215"/>
      <c r="AD824" s="215"/>
      <c r="AE824" s="215"/>
      <c r="AF824" s="215"/>
      <c r="AG824" s="215"/>
    </row>
    <row r="825" spans="1:33" ht="13.2">
      <c r="A825" s="215"/>
      <c r="B825" s="215"/>
      <c r="C825" s="215"/>
      <c r="D825" s="215"/>
      <c r="E825" s="215"/>
      <c r="F825" s="215"/>
      <c r="G825" s="215"/>
      <c r="H825" s="215"/>
      <c r="I825" s="215"/>
      <c r="J825" s="215"/>
      <c r="K825" s="215"/>
      <c r="L825" s="215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215"/>
      <c r="Z825" s="215"/>
      <c r="AA825" s="215"/>
      <c r="AB825" s="215"/>
      <c r="AC825" s="215"/>
      <c r="AD825" s="215"/>
      <c r="AE825" s="215"/>
      <c r="AF825" s="215"/>
      <c r="AG825" s="215"/>
    </row>
    <row r="826" spans="1:33" ht="13.2">
      <c r="A826" s="215"/>
      <c r="B826" s="215"/>
      <c r="C826" s="215"/>
      <c r="D826" s="215"/>
      <c r="E826" s="215"/>
      <c r="F826" s="215"/>
      <c r="G826" s="215"/>
      <c r="H826" s="215"/>
      <c r="I826" s="215"/>
      <c r="J826" s="215"/>
      <c r="K826" s="215"/>
      <c r="L826" s="215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215"/>
      <c r="Z826" s="215"/>
      <c r="AA826" s="215"/>
      <c r="AB826" s="215"/>
      <c r="AC826" s="215"/>
      <c r="AD826" s="215"/>
      <c r="AE826" s="215"/>
      <c r="AF826" s="215"/>
      <c r="AG826" s="215"/>
    </row>
    <row r="827" spans="1:33" ht="13.2">
      <c r="A827" s="215"/>
      <c r="B827" s="215"/>
      <c r="C827" s="215"/>
      <c r="D827" s="215"/>
      <c r="E827" s="215"/>
      <c r="F827" s="215"/>
      <c r="G827" s="215"/>
      <c r="H827" s="215"/>
      <c r="I827" s="215"/>
      <c r="J827" s="215"/>
      <c r="K827" s="215"/>
      <c r="L827" s="215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215"/>
      <c r="Z827" s="215"/>
      <c r="AA827" s="215"/>
      <c r="AB827" s="215"/>
      <c r="AC827" s="215"/>
      <c r="AD827" s="215"/>
      <c r="AE827" s="215"/>
      <c r="AF827" s="215"/>
      <c r="AG827" s="215"/>
    </row>
    <row r="828" spans="1:33" ht="13.2">
      <c r="A828" s="215"/>
      <c r="B828" s="215"/>
      <c r="C828" s="215"/>
      <c r="D828" s="215"/>
      <c r="E828" s="215"/>
      <c r="F828" s="215"/>
      <c r="G828" s="215"/>
      <c r="H828" s="215"/>
      <c r="I828" s="215"/>
      <c r="J828" s="215"/>
      <c r="K828" s="215"/>
      <c r="L828" s="215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215"/>
      <c r="Z828" s="215"/>
      <c r="AA828" s="215"/>
      <c r="AB828" s="215"/>
      <c r="AC828" s="215"/>
      <c r="AD828" s="215"/>
      <c r="AE828" s="215"/>
      <c r="AF828" s="215"/>
      <c r="AG828" s="215"/>
    </row>
    <row r="829" spans="1:33" ht="13.2">
      <c r="A829" s="215"/>
      <c r="B829" s="215"/>
      <c r="C829" s="215"/>
      <c r="D829" s="215"/>
      <c r="E829" s="215"/>
      <c r="F829" s="215"/>
      <c r="G829" s="215"/>
      <c r="H829" s="215"/>
      <c r="I829" s="215"/>
      <c r="J829" s="215"/>
      <c r="K829" s="215"/>
      <c r="L829" s="215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215"/>
      <c r="Z829" s="215"/>
      <c r="AA829" s="215"/>
      <c r="AB829" s="215"/>
      <c r="AC829" s="215"/>
      <c r="AD829" s="215"/>
      <c r="AE829" s="215"/>
      <c r="AF829" s="215"/>
      <c r="AG829" s="215"/>
    </row>
    <row r="830" spans="1:33" ht="13.2">
      <c r="A830" s="215"/>
      <c r="B830" s="215"/>
      <c r="C830" s="215"/>
      <c r="D830" s="215"/>
      <c r="E830" s="215"/>
      <c r="F830" s="215"/>
      <c r="G830" s="215"/>
      <c r="H830" s="215"/>
      <c r="I830" s="215"/>
      <c r="J830" s="215"/>
      <c r="K830" s="215"/>
      <c r="L830" s="215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215"/>
      <c r="Z830" s="215"/>
      <c r="AA830" s="215"/>
      <c r="AB830" s="215"/>
      <c r="AC830" s="215"/>
      <c r="AD830" s="215"/>
      <c r="AE830" s="215"/>
      <c r="AF830" s="215"/>
      <c r="AG830" s="215"/>
    </row>
    <row r="831" spans="1:33" ht="13.2">
      <c r="A831" s="215"/>
      <c r="B831" s="215"/>
      <c r="C831" s="215"/>
      <c r="D831" s="215"/>
      <c r="E831" s="215"/>
      <c r="F831" s="215"/>
      <c r="G831" s="215"/>
      <c r="H831" s="215"/>
      <c r="I831" s="215"/>
      <c r="J831" s="215"/>
      <c r="K831" s="215"/>
      <c r="L831" s="215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215"/>
      <c r="Z831" s="215"/>
      <c r="AA831" s="215"/>
      <c r="AB831" s="215"/>
      <c r="AC831" s="215"/>
      <c r="AD831" s="215"/>
      <c r="AE831" s="215"/>
      <c r="AF831" s="215"/>
      <c r="AG831" s="215"/>
    </row>
    <row r="832" spans="1:33" ht="13.2">
      <c r="A832" s="215"/>
      <c r="B832" s="215"/>
      <c r="C832" s="215"/>
      <c r="D832" s="215"/>
      <c r="E832" s="215"/>
      <c r="F832" s="215"/>
      <c r="G832" s="215"/>
      <c r="H832" s="215"/>
      <c r="I832" s="215"/>
      <c r="J832" s="215"/>
      <c r="K832" s="215"/>
      <c r="L832" s="215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215"/>
      <c r="Z832" s="215"/>
      <c r="AA832" s="215"/>
      <c r="AB832" s="215"/>
      <c r="AC832" s="215"/>
      <c r="AD832" s="215"/>
      <c r="AE832" s="215"/>
      <c r="AF832" s="215"/>
      <c r="AG832" s="215"/>
    </row>
    <row r="833" spans="1:33" ht="13.2">
      <c r="A833" s="215"/>
      <c r="B833" s="215"/>
      <c r="C833" s="215"/>
      <c r="D833" s="215"/>
      <c r="E833" s="215"/>
      <c r="F833" s="215"/>
      <c r="G833" s="215"/>
      <c r="H833" s="215"/>
      <c r="I833" s="215"/>
      <c r="J833" s="215"/>
      <c r="K833" s="215"/>
      <c r="L833" s="215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215"/>
      <c r="Z833" s="215"/>
      <c r="AA833" s="215"/>
      <c r="AB833" s="215"/>
      <c r="AC833" s="215"/>
      <c r="AD833" s="215"/>
      <c r="AE833" s="215"/>
      <c r="AF833" s="215"/>
      <c r="AG833" s="215"/>
    </row>
    <row r="834" spans="1:33" ht="13.2">
      <c r="A834" s="215"/>
      <c r="B834" s="215"/>
      <c r="C834" s="215"/>
      <c r="D834" s="215"/>
      <c r="E834" s="215"/>
      <c r="F834" s="215"/>
      <c r="G834" s="215"/>
      <c r="H834" s="215"/>
      <c r="I834" s="215"/>
      <c r="J834" s="215"/>
      <c r="K834" s="215"/>
      <c r="L834" s="215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215"/>
      <c r="Z834" s="215"/>
      <c r="AA834" s="215"/>
      <c r="AB834" s="215"/>
      <c r="AC834" s="215"/>
      <c r="AD834" s="215"/>
      <c r="AE834" s="215"/>
      <c r="AF834" s="215"/>
      <c r="AG834" s="215"/>
    </row>
    <row r="835" spans="1:33" ht="13.2">
      <c r="A835" s="215"/>
      <c r="B835" s="215"/>
      <c r="C835" s="215"/>
      <c r="D835" s="215"/>
      <c r="E835" s="215"/>
      <c r="F835" s="215"/>
      <c r="G835" s="215"/>
      <c r="H835" s="215"/>
      <c r="I835" s="215"/>
      <c r="J835" s="215"/>
      <c r="K835" s="215"/>
      <c r="L835" s="215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215"/>
      <c r="Z835" s="215"/>
      <c r="AA835" s="215"/>
      <c r="AB835" s="215"/>
      <c r="AC835" s="215"/>
      <c r="AD835" s="215"/>
      <c r="AE835" s="215"/>
      <c r="AF835" s="215"/>
      <c r="AG835" s="215"/>
    </row>
    <row r="836" spans="1:33" ht="13.2">
      <c r="A836" s="215"/>
      <c r="B836" s="215"/>
      <c r="C836" s="215"/>
      <c r="D836" s="215"/>
      <c r="E836" s="215"/>
      <c r="F836" s="215"/>
      <c r="G836" s="215"/>
      <c r="H836" s="215"/>
      <c r="I836" s="215"/>
      <c r="J836" s="215"/>
      <c r="K836" s="215"/>
      <c r="L836" s="215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215"/>
      <c r="Z836" s="215"/>
      <c r="AA836" s="215"/>
      <c r="AB836" s="215"/>
      <c r="AC836" s="215"/>
      <c r="AD836" s="215"/>
      <c r="AE836" s="215"/>
      <c r="AF836" s="215"/>
      <c r="AG836" s="215"/>
    </row>
    <row r="837" spans="1:33" ht="13.2">
      <c r="A837" s="215"/>
      <c r="B837" s="215"/>
      <c r="C837" s="215"/>
      <c r="D837" s="215"/>
      <c r="E837" s="215"/>
      <c r="F837" s="215"/>
      <c r="G837" s="215"/>
      <c r="H837" s="215"/>
      <c r="I837" s="215"/>
      <c r="J837" s="215"/>
      <c r="K837" s="215"/>
      <c r="L837" s="215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215"/>
      <c r="Z837" s="215"/>
      <c r="AA837" s="215"/>
      <c r="AB837" s="215"/>
      <c r="AC837" s="215"/>
      <c r="AD837" s="215"/>
      <c r="AE837" s="215"/>
      <c r="AF837" s="215"/>
      <c r="AG837" s="215"/>
    </row>
    <row r="838" spans="1:33" ht="13.2">
      <c r="A838" s="215"/>
      <c r="B838" s="215"/>
      <c r="C838" s="215"/>
      <c r="D838" s="215"/>
      <c r="E838" s="21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  <c r="AA838" s="215"/>
      <c r="AB838" s="215"/>
      <c r="AC838" s="215"/>
      <c r="AD838" s="215"/>
      <c r="AE838" s="215"/>
      <c r="AF838" s="215"/>
      <c r="AG838" s="215"/>
    </row>
    <row r="839" spans="1:33" ht="13.2">
      <c r="A839" s="215"/>
      <c r="B839" s="215"/>
      <c r="C839" s="215"/>
      <c r="D839" s="215"/>
      <c r="E839" s="215"/>
      <c r="F839" s="215"/>
      <c r="G839" s="215"/>
      <c r="H839" s="215"/>
      <c r="I839" s="215"/>
      <c r="J839" s="215"/>
      <c r="K839" s="215"/>
      <c r="L839" s="215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215"/>
      <c r="Z839" s="215"/>
      <c r="AA839" s="215"/>
      <c r="AB839" s="215"/>
      <c r="AC839" s="215"/>
      <c r="AD839" s="215"/>
      <c r="AE839" s="215"/>
      <c r="AF839" s="215"/>
      <c r="AG839" s="215"/>
    </row>
    <row r="840" spans="1:33" ht="13.2">
      <c r="A840" s="215"/>
      <c r="B840" s="215"/>
      <c r="C840" s="215"/>
      <c r="D840" s="215"/>
      <c r="E840" s="215"/>
      <c r="F840" s="21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  <c r="Z840" s="215"/>
      <c r="AA840" s="215"/>
      <c r="AB840" s="215"/>
      <c r="AC840" s="215"/>
      <c r="AD840" s="215"/>
      <c r="AE840" s="215"/>
      <c r="AF840" s="215"/>
      <c r="AG840" s="215"/>
    </row>
    <row r="841" spans="1:33" ht="13.2">
      <c r="A841" s="215"/>
      <c r="B841" s="215"/>
      <c r="C841" s="215"/>
      <c r="D841" s="215"/>
      <c r="E841" s="215"/>
      <c r="F841" s="215"/>
      <c r="G841" s="215"/>
      <c r="H841" s="215"/>
      <c r="I841" s="215"/>
      <c r="J841" s="215"/>
      <c r="K841" s="215"/>
      <c r="L841" s="215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215"/>
      <c r="Z841" s="215"/>
      <c r="AA841" s="215"/>
      <c r="AB841" s="215"/>
      <c r="AC841" s="215"/>
      <c r="AD841" s="215"/>
      <c r="AE841" s="215"/>
      <c r="AF841" s="215"/>
      <c r="AG841" s="215"/>
    </row>
    <row r="842" spans="1:33" ht="13.2">
      <c r="A842" s="215"/>
      <c r="B842" s="215"/>
      <c r="C842" s="215"/>
      <c r="D842" s="215"/>
      <c r="E842" s="215"/>
      <c r="F842" s="215"/>
      <c r="G842" s="215"/>
      <c r="H842" s="215"/>
      <c r="I842" s="215"/>
      <c r="J842" s="215"/>
      <c r="K842" s="215"/>
      <c r="L842" s="215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215"/>
      <c r="Z842" s="215"/>
      <c r="AA842" s="215"/>
      <c r="AB842" s="215"/>
      <c r="AC842" s="215"/>
      <c r="AD842" s="215"/>
      <c r="AE842" s="215"/>
      <c r="AF842" s="215"/>
      <c r="AG842" s="215"/>
    </row>
    <row r="843" spans="1:33" ht="13.2">
      <c r="A843" s="215"/>
      <c r="B843" s="215"/>
      <c r="C843" s="215"/>
      <c r="D843" s="215"/>
      <c r="E843" s="215"/>
      <c r="F843" s="215"/>
      <c r="G843" s="215"/>
      <c r="H843" s="215"/>
      <c r="I843" s="215"/>
      <c r="J843" s="215"/>
      <c r="K843" s="215"/>
      <c r="L843" s="215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215"/>
      <c r="Z843" s="215"/>
      <c r="AA843" s="215"/>
      <c r="AB843" s="215"/>
      <c r="AC843" s="215"/>
      <c r="AD843" s="215"/>
      <c r="AE843" s="215"/>
      <c r="AF843" s="215"/>
      <c r="AG843" s="215"/>
    </row>
    <row r="844" spans="1:33" ht="13.2">
      <c r="A844" s="215"/>
      <c r="B844" s="215"/>
      <c r="C844" s="215"/>
      <c r="D844" s="215"/>
      <c r="E844" s="215"/>
      <c r="F844" s="215"/>
      <c r="G844" s="215"/>
      <c r="H844" s="215"/>
      <c r="I844" s="215"/>
      <c r="J844" s="215"/>
      <c r="K844" s="215"/>
      <c r="L844" s="215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215"/>
      <c r="Z844" s="215"/>
      <c r="AA844" s="215"/>
      <c r="AB844" s="215"/>
      <c r="AC844" s="215"/>
      <c r="AD844" s="215"/>
      <c r="AE844" s="215"/>
      <c r="AF844" s="215"/>
      <c r="AG844" s="215"/>
    </row>
    <row r="845" spans="1:33" ht="13.2">
      <c r="A845" s="215"/>
      <c r="B845" s="215"/>
      <c r="C845" s="215"/>
      <c r="D845" s="215"/>
      <c r="E845" s="215"/>
      <c r="F845" s="215"/>
      <c r="G845" s="215"/>
      <c r="H845" s="215"/>
      <c r="I845" s="215"/>
      <c r="J845" s="215"/>
      <c r="K845" s="215"/>
      <c r="L845" s="215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215"/>
      <c r="Z845" s="215"/>
      <c r="AA845" s="215"/>
      <c r="AB845" s="215"/>
      <c r="AC845" s="215"/>
      <c r="AD845" s="215"/>
      <c r="AE845" s="215"/>
      <c r="AF845" s="215"/>
      <c r="AG845" s="215"/>
    </row>
    <row r="846" spans="1:33" ht="13.2">
      <c r="A846" s="215"/>
      <c r="B846" s="215"/>
      <c r="C846" s="215"/>
      <c r="D846" s="215"/>
      <c r="E846" s="215"/>
      <c r="F846" s="21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  <c r="Z846" s="215"/>
      <c r="AA846" s="215"/>
      <c r="AB846" s="215"/>
      <c r="AC846" s="215"/>
      <c r="AD846" s="215"/>
      <c r="AE846" s="215"/>
      <c r="AF846" s="215"/>
      <c r="AG846" s="215"/>
    </row>
    <row r="847" spans="1:33" ht="13.2">
      <c r="A847" s="215"/>
      <c r="B847" s="215"/>
      <c r="C847" s="215"/>
      <c r="D847" s="215"/>
      <c r="E847" s="215"/>
      <c r="F847" s="215"/>
      <c r="G847" s="215"/>
      <c r="H847" s="215"/>
      <c r="I847" s="215"/>
      <c r="J847" s="215"/>
      <c r="K847" s="215"/>
      <c r="L847" s="215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215"/>
      <c r="Z847" s="215"/>
      <c r="AA847" s="215"/>
      <c r="AB847" s="215"/>
      <c r="AC847" s="215"/>
      <c r="AD847" s="215"/>
      <c r="AE847" s="215"/>
      <c r="AF847" s="215"/>
      <c r="AG847" s="215"/>
    </row>
    <row r="848" spans="1:33" ht="13.2">
      <c r="A848" s="215"/>
      <c r="B848" s="215"/>
      <c r="C848" s="215"/>
      <c r="D848" s="215"/>
      <c r="E848" s="215"/>
      <c r="F848" s="215"/>
      <c r="G848" s="215"/>
      <c r="H848" s="215"/>
      <c r="I848" s="215"/>
      <c r="J848" s="215"/>
      <c r="K848" s="215"/>
      <c r="L848" s="215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215"/>
      <c r="Z848" s="215"/>
      <c r="AA848" s="215"/>
      <c r="AB848" s="215"/>
      <c r="AC848" s="215"/>
      <c r="AD848" s="215"/>
      <c r="AE848" s="215"/>
      <c r="AF848" s="215"/>
      <c r="AG848" s="215"/>
    </row>
    <row r="849" spans="1:33" ht="13.2">
      <c r="A849" s="215"/>
      <c r="B849" s="215"/>
      <c r="C849" s="215"/>
      <c r="D849" s="215"/>
      <c r="E849" s="215"/>
      <c r="F849" s="215"/>
      <c r="G849" s="215"/>
      <c r="H849" s="215"/>
      <c r="I849" s="215"/>
      <c r="J849" s="215"/>
      <c r="K849" s="215"/>
      <c r="L849" s="215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215"/>
      <c r="Z849" s="215"/>
      <c r="AA849" s="215"/>
      <c r="AB849" s="215"/>
      <c r="AC849" s="215"/>
      <c r="AD849" s="215"/>
      <c r="AE849" s="215"/>
      <c r="AF849" s="215"/>
      <c r="AG849" s="215"/>
    </row>
    <row r="850" spans="1:33" ht="13.2">
      <c r="A850" s="215"/>
      <c r="B850" s="215"/>
      <c r="C850" s="215"/>
      <c r="D850" s="215"/>
      <c r="E850" s="215"/>
      <c r="F850" s="215"/>
      <c r="G850" s="215"/>
      <c r="H850" s="215"/>
      <c r="I850" s="215"/>
      <c r="J850" s="215"/>
      <c r="K850" s="215"/>
      <c r="L850" s="215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215"/>
      <c r="Z850" s="215"/>
      <c r="AA850" s="215"/>
      <c r="AB850" s="215"/>
      <c r="AC850" s="215"/>
      <c r="AD850" s="215"/>
      <c r="AE850" s="215"/>
      <c r="AF850" s="215"/>
      <c r="AG850" s="215"/>
    </row>
    <row r="851" spans="1:33" ht="13.2">
      <c r="A851" s="215"/>
      <c r="B851" s="215"/>
      <c r="C851" s="215"/>
      <c r="D851" s="215"/>
      <c r="E851" s="215"/>
      <c r="F851" s="215"/>
      <c r="G851" s="215"/>
      <c r="H851" s="215"/>
      <c r="I851" s="215"/>
      <c r="J851" s="215"/>
      <c r="K851" s="215"/>
      <c r="L851" s="215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215"/>
      <c r="Z851" s="215"/>
      <c r="AA851" s="215"/>
      <c r="AB851" s="215"/>
      <c r="AC851" s="215"/>
      <c r="AD851" s="215"/>
      <c r="AE851" s="215"/>
      <c r="AF851" s="215"/>
      <c r="AG851" s="215"/>
    </row>
    <row r="852" spans="1:33" ht="13.2">
      <c r="A852" s="215"/>
      <c r="B852" s="215"/>
      <c r="C852" s="215"/>
      <c r="D852" s="215"/>
      <c r="E852" s="215"/>
      <c r="F852" s="21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215"/>
      <c r="Z852" s="215"/>
      <c r="AA852" s="215"/>
      <c r="AB852" s="215"/>
      <c r="AC852" s="215"/>
      <c r="AD852" s="215"/>
      <c r="AE852" s="215"/>
      <c r="AF852" s="215"/>
      <c r="AG852" s="215"/>
    </row>
    <row r="853" spans="1:33" ht="13.2">
      <c r="A853" s="215"/>
      <c r="B853" s="215"/>
      <c r="C853" s="215"/>
      <c r="D853" s="215"/>
      <c r="E853" s="215"/>
      <c r="F853" s="215"/>
      <c r="G853" s="215"/>
      <c r="H853" s="215"/>
      <c r="I853" s="215"/>
      <c r="J853" s="215"/>
      <c r="K853" s="215"/>
      <c r="L853" s="215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215"/>
      <c r="Z853" s="215"/>
      <c r="AA853" s="215"/>
      <c r="AB853" s="215"/>
      <c r="AC853" s="215"/>
      <c r="AD853" s="215"/>
      <c r="AE853" s="215"/>
      <c r="AF853" s="215"/>
      <c r="AG853" s="215"/>
    </row>
    <row r="854" spans="1:33" ht="13.2">
      <c r="A854" s="215"/>
      <c r="B854" s="215"/>
      <c r="C854" s="215"/>
      <c r="D854" s="215"/>
      <c r="E854" s="215"/>
      <c r="F854" s="215"/>
      <c r="G854" s="215"/>
      <c r="H854" s="215"/>
      <c r="I854" s="215"/>
      <c r="J854" s="215"/>
      <c r="K854" s="215"/>
      <c r="L854" s="215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215"/>
      <c r="Z854" s="215"/>
      <c r="AA854" s="215"/>
      <c r="AB854" s="215"/>
      <c r="AC854" s="215"/>
      <c r="AD854" s="215"/>
      <c r="AE854" s="215"/>
      <c r="AF854" s="215"/>
      <c r="AG854" s="215"/>
    </row>
    <row r="855" spans="1:33" ht="13.2">
      <c r="A855" s="215"/>
      <c r="B855" s="215"/>
      <c r="C855" s="215"/>
      <c r="D855" s="215"/>
      <c r="E855" s="215"/>
      <c r="F855" s="21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215"/>
      <c r="Z855" s="215"/>
      <c r="AA855" s="215"/>
      <c r="AB855" s="215"/>
      <c r="AC855" s="215"/>
      <c r="AD855" s="215"/>
      <c r="AE855" s="215"/>
      <c r="AF855" s="215"/>
      <c r="AG855" s="215"/>
    </row>
    <row r="856" spans="1:33" ht="13.2">
      <c r="A856" s="215"/>
      <c r="B856" s="215"/>
      <c r="C856" s="215"/>
      <c r="D856" s="215"/>
      <c r="E856" s="215"/>
      <c r="F856" s="215"/>
      <c r="G856" s="215"/>
      <c r="H856" s="215"/>
      <c r="I856" s="215"/>
      <c r="J856" s="215"/>
      <c r="K856" s="215"/>
      <c r="L856" s="215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215"/>
      <c r="Z856" s="215"/>
      <c r="AA856" s="215"/>
      <c r="AB856" s="215"/>
      <c r="AC856" s="215"/>
      <c r="AD856" s="215"/>
      <c r="AE856" s="215"/>
      <c r="AF856" s="215"/>
      <c r="AG856" s="215"/>
    </row>
    <row r="857" spans="1:33" ht="13.2">
      <c r="A857" s="215"/>
      <c r="B857" s="215"/>
      <c r="C857" s="215"/>
      <c r="D857" s="215"/>
      <c r="E857" s="215"/>
      <c r="F857" s="21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215"/>
      <c r="Z857" s="215"/>
      <c r="AA857" s="215"/>
      <c r="AB857" s="215"/>
      <c r="AC857" s="215"/>
      <c r="AD857" s="215"/>
      <c r="AE857" s="215"/>
      <c r="AF857" s="215"/>
      <c r="AG857" s="215"/>
    </row>
    <row r="858" spans="1:33" ht="13.2">
      <c r="A858" s="215"/>
      <c r="B858" s="215"/>
      <c r="C858" s="215"/>
      <c r="D858" s="215"/>
      <c r="E858" s="215"/>
      <c r="F858" s="215"/>
      <c r="G858" s="215"/>
      <c r="H858" s="215"/>
      <c r="I858" s="215"/>
      <c r="J858" s="215"/>
      <c r="K858" s="215"/>
      <c r="L858" s="215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215"/>
      <c r="Z858" s="215"/>
      <c r="AA858" s="215"/>
      <c r="AB858" s="215"/>
      <c r="AC858" s="215"/>
      <c r="AD858" s="215"/>
      <c r="AE858" s="215"/>
      <c r="AF858" s="215"/>
      <c r="AG858" s="215"/>
    </row>
    <row r="859" spans="1:33" ht="13.2">
      <c r="A859" s="215"/>
      <c r="B859" s="215"/>
      <c r="C859" s="215"/>
      <c r="D859" s="215"/>
      <c r="E859" s="215"/>
      <c r="F859" s="215"/>
      <c r="G859" s="215"/>
      <c r="H859" s="215"/>
      <c r="I859" s="215"/>
      <c r="J859" s="215"/>
      <c r="K859" s="215"/>
      <c r="L859" s="215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215"/>
      <c r="Z859" s="215"/>
      <c r="AA859" s="215"/>
      <c r="AB859" s="215"/>
      <c r="AC859" s="215"/>
      <c r="AD859" s="215"/>
      <c r="AE859" s="215"/>
      <c r="AF859" s="215"/>
      <c r="AG859" s="215"/>
    </row>
    <row r="860" spans="1:33" ht="13.2">
      <c r="A860" s="215"/>
      <c r="B860" s="215"/>
      <c r="C860" s="215"/>
      <c r="D860" s="215"/>
      <c r="E860" s="215"/>
      <c r="F860" s="215"/>
      <c r="G860" s="215"/>
      <c r="H860" s="215"/>
      <c r="I860" s="215"/>
      <c r="J860" s="215"/>
      <c r="K860" s="215"/>
      <c r="L860" s="215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215"/>
      <c r="Z860" s="215"/>
      <c r="AA860" s="215"/>
      <c r="AB860" s="215"/>
      <c r="AC860" s="215"/>
      <c r="AD860" s="215"/>
      <c r="AE860" s="215"/>
      <c r="AF860" s="215"/>
      <c r="AG860" s="215"/>
    </row>
    <row r="861" spans="1:33" ht="13.2">
      <c r="A861" s="215"/>
      <c r="B861" s="215"/>
      <c r="C861" s="215"/>
      <c r="D861" s="215"/>
      <c r="E861" s="215"/>
      <c r="F861" s="215"/>
      <c r="G861" s="215"/>
      <c r="H861" s="215"/>
      <c r="I861" s="215"/>
      <c r="J861" s="215"/>
      <c r="K861" s="215"/>
      <c r="L861" s="215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215"/>
      <c r="Z861" s="215"/>
      <c r="AA861" s="215"/>
      <c r="AB861" s="215"/>
      <c r="AC861" s="215"/>
      <c r="AD861" s="215"/>
      <c r="AE861" s="215"/>
      <c r="AF861" s="215"/>
      <c r="AG861" s="215"/>
    </row>
    <row r="862" spans="1:33" ht="13.2">
      <c r="A862" s="215"/>
      <c r="B862" s="215"/>
      <c r="C862" s="215"/>
      <c r="D862" s="215"/>
      <c r="E862" s="215"/>
      <c r="F862" s="215"/>
      <c r="G862" s="215"/>
      <c r="H862" s="215"/>
      <c r="I862" s="215"/>
      <c r="J862" s="215"/>
      <c r="K862" s="215"/>
      <c r="L862" s="215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215"/>
      <c r="Z862" s="215"/>
      <c r="AA862" s="215"/>
      <c r="AB862" s="215"/>
      <c r="AC862" s="215"/>
      <c r="AD862" s="215"/>
      <c r="AE862" s="215"/>
      <c r="AF862" s="215"/>
      <c r="AG862" s="215"/>
    </row>
    <row r="863" spans="1:33" ht="13.2">
      <c r="A863" s="215"/>
      <c r="B863" s="215"/>
      <c r="C863" s="215"/>
      <c r="D863" s="215"/>
      <c r="E863" s="215"/>
      <c r="F863" s="215"/>
      <c r="G863" s="215"/>
      <c r="H863" s="215"/>
      <c r="I863" s="215"/>
      <c r="J863" s="215"/>
      <c r="K863" s="215"/>
      <c r="L863" s="215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215"/>
      <c r="Z863" s="215"/>
      <c r="AA863" s="215"/>
      <c r="AB863" s="215"/>
      <c r="AC863" s="215"/>
      <c r="AD863" s="215"/>
      <c r="AE863" s="215"/>
      <c r="AF863" s="215"/>
      <c r="AG863" s="215"/>
    </row>
    <row r="864" spans="1:33" ht="13.2">
      <c r="A864" s="215"/>
      <c r="B864" s="215"/>
      <c r="C864" s="215"/>
      <c r="D864" s="215"/>
      <c r="E864" s="215"/>
      <c r="F864" s="215"/>
      <c r="G864" s="215"/>
      <c r="H864" s="215"/>
      <c r="I864" s="215"/>
      <c r="J864" s="215"/>
      <c r="K864" s="215"/>
      <c r="L864" s="215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215"/>
      <c r="Z864" s="215"/>
      <c r="AA864" s="215"/>
      <c r="AB864" s="215"/>
      <c r="AC864" s="215"/>
      <c r="AD864" s="215"/>
      <c r="AE864" s="215"/>
      <c r="AF864" s="215"/>
      <c r="AG864" s="215"/>
    </row>
    <row r="865" spans="1:33" ht="13.2">
      <c r="A865" s="215"/>
      <c r="B865" s="215"/>
      <c r="C865" s="215"/>
      <c r="D865" s="215"/>
      <c r="E865" s="215"/>
      <c r="F865" s="215"/>
      <c r="G865" s="215"/>
      <c r="H865" s="215"/>
      <c r="I865" s="215"/>
      <c r="J865" s="215"/>
      <c r="K865" s="215"/>
      <c r="L865" s="215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215"/>
      <c r="Z865" s="215"/>
      <c r="AA865" s="215"/>
      <c r="AB865" s="215"/>
      <c r="AC865" s="215"/>
      <c r="AD865" s="215"/>
      <c r="AE865" s="215"/>
      <c r="AF865" s="215"/>
      <c r="AG865" s="215"/>
    </row>
    <row r="866" spans="1:33" ht="13.2">
      <c r="A866" s="215"/>
      <c r="B866" s="215"/>
      <c r="C866" s="215"/>
      <c r="D866" s="215"/>
      <c r="E866" s="215"/>
      <c r="F866" s="215"/>
      <c r="G866" s="215"/>
      <c r="H866" s="215"/>
      <c r="I866" s="215"/>
      <c r="J866" s="215"/>
      <c r="K866" s="215"/>
      <c r="L866" s="215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215"/>
      <c r="Z866" s="215"/>
      <c r="AA866" s="215"/>
      <c r="AB866" s="215"/>
      <c r="AC866" s="215"/>
      <c r="AD866" s="215"/>
      <c r="AE866" s="215"/>
      <c r="AF866" s="215"/>
      <c r="AG866" s="215"/>
    </row>
    <row r="867" spans="1:33" ht="13.2">
      <c r="A867" s="215"/>
      <c r="B867" s="215"/>
      <c r="C867" s="215"/>
      <c r="D867" s="215"/>
      <c r="E867" s="215"/>
      <c r="F867" s="215"/>
      <c r="G867" s="215"/>
      <c r="H867" s="215"/>
      <c r="I867" s="215"/>
      <c r="J867" s="215"/>
      <c r="K867" s="215"/>
      <c r="L867" s="215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215"/>
      <c r="Z867" s="215"/>
      <c r="AA867" s="215"/>
      <c r="AB867" s="215"/>
      <c r="AC867" s="215"/>
      <c r="AD867" s="215"/>
      <c r="AE867" s="215"/>
      <c r="AF867" s="215"/>
      <c r="AG867" s="215"/>
    </row>
    <row r="868" spans="1:33" ht="13.2">
      <c r="A868" s="215"/>
      <c r="B868" s="215"/>
      <c r="C868" s="215"/>
      <c r="D868" s="215"/>
      <c r="E868" s="215"/>
      <c r="F868" s="215"/>
      <c r="G868" s="215"/>
      <c r="H868" s="215"/>
      <c r="I868" s="215"/>
      <c r="J868" s="215"/>
      <c r="K868" s="215"/>
      <c r="L868" s="215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215"/>
      <c r="Z868" s="215"/>
      <c r="AA868" s="215"/>
      <c r="AB868" s="215"/>
      <c r="AC868" s="215"/>
      <c r="AD868" s="215"/>
      <c r="AE868" s="215"/>
      <c r="AF868" s="215"/>
      <c r="AG868" s="215"/>
    </row>
    <row r="869" spans="1:33" ht="13.2">
      <c r="A869" s="215"/>
      <c r="B869" s="215"/>
      <c r="C869" s="215"/>
      <c r="D869" s="215"/>
      <c r="E869" s="215"/>
      <c r="F869" s="215"/>
      <c r="G869" s="215"/>
      <c r="H869" s="215"/>
      <c r="I869" s="215"/>
      <c r="J869" s="215"/>
      <c r="K869" s="215"/>
      <c r="L869" s="215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215"/>
      <c r="Z869" s="215"/>
      <c r="AA869" s="215"/>
      <c r="AB869" s="215"/>
      <c r="AC869" s="215"/>
      <c r="AD869" s="215"/>
      <c r="AE869" s="215"/>
      <c r="AF869" s="215"/>
      <c r="AG869" s="215"/>
    </row>
    <row r="870" spans="1:33" ht="13.2">
      <c r="A870" s="215"/>
      <c r="B870" s="215"/>
      <c r="C870" s="215"/>
      <c r="D870" s="215"/>
      <c r="E870" s="215"/>
      <c r="F870" s="215"/>
      <c r="G870" s="215"/>
      <c r="H870" s="215"/>
      <c r="I870" s="215"/>
      <c r="J870" s="215"/>
      <c r="K870" s="215"/>
      <c r="L870" s="215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215"/>
      <c r="Z870" s="215"/>
      <c r="AA870" s="215"/>
      <c r="AB870" s="215"/>
      <c r="AC870" s="215"/>
      <c r="AD870" s="215"/>
      <c r="AE870" s="215"/>
      <c r="AF870" s="215"/>
      <c r="AG870" s="215"/>
    </row>
    <row r="871" spans="1:33" ht="13.2">
      <c r="A871" s="215"/>
      <c r="B871" s="215"/>
      <c r="C871" s="215"/>
      <c r="D871" s="215"/>
      <c r="E871" s="215"/>
      <c r="F871" s="215"/>
      <c r="G871" s="215"/>
      <c r="H871" s="215"/>
      <c r="I871" s="215"/>
      <c r="J871" s="215"/>
      <c r="K871" s="215"/>
      <c r="L871" s="215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215"/>
      <c r="Z871" s="215"/>
      <c r="AA871" s="215"/>
      <c r="AB871" s="215"/>
      <c r="AC871" s="215"/>
      <c r="AD871" s="215"/>
      <c r="AE871" s="215"/>
      <c r="AF871" s="215"/>
      <c r="AG871" s="215"/>
    </row>
    <row r="872" spans="1:33" ht="13.2">
      <c r="A872" s="215"/>
      <c r="B872" s="215"/>
      <c r="C872" s="215"/>
      <c r="D872" s="215"/>
      <c r="E872" s="215"/>
      <c r="F872" s="215"/>
      <c r="G872" s="215"/>
      <c r="H872" s="215"/>
      <c r="I872" s="215"/>
      <c r="J872" s="215"/>
      <c r="K872" s="215"/>
      <c r="L872" s="215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215"/>
      <c r="Z872" s="215"/>
      <c r="AA872" s="215"/>
      <c r="AB872" s="215"/>
      <c r="AC872" s="215"/>
      <c r="AD872" s="215"/>
      <c r="AE872" s="215"/>
      <c r="AF872" s="215"/>
      <c r="AG872" s="215"/>
    </row>
    <row r="873" spans="1:33" ht="13.2">
      <c r="A873" s="215"/>
      <c r="B873" s="215"/>
      <c r="C873" s="215"/>
      <c r="D873" s="215"/>
      <c r="E873" s="215"/>
      <c r="F873" s="215"/>
      <c r="G873" s="215"/>
      <c r="H873" s="215"/>
      <c r="I873" s="215"/>
      <c r="J873" s="215"/>
      <c r="K873" s="215"/>
      <c r="L873" s="215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215"/>
      <c r="Z873" s="215"/>
      <c r="AA873" s="215"/>
      <c r="AB873" s="215"/>
      <c r="AC873" s="215"/>
      <c r="AD873" s="215"/>
      <c r="AE873" s="215"/>
      <c r="AF873" s="215"/>
      <c r="AG873" s="215"/>
    </row>
    <row r="874" spans="1:33" ht="13.2">
      <c r="A874" s="215"/>
      <c r="B874" s="215"/>
      <c r="C874" s="215"/>
      <c r="D874" s="215"/>
      <c r="E874" s="215"/>
      <c r="F874" s="215"/>
      <c r="G874" s="215"/>
      <c r="H874" s="215"/>
      <c r="I874" s="215"/>
      <c r="J874" s="215"/>
      <c r="K874" s="215"/>
      <c r="L874" s="215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215"/>
      <c r="Z874" s="215"/>
      <c r="AA874" s="215"/>
      <c r="AB874" s="215"/>
      <c r="AC874" s="215"/>
      <c r="AD874" s="215"/>
      <c r="AE874" s="215"/>
      <c r="AF874" s="215"/>
      <c r="AG874" s="215"/>
    </row>
    <row r="875" spans="1:33" ht="13.2">
      <c r="A875" s="215"/>
      <c r="B875" s="215"/>
      <c r="C875" s="215"/>
      <c r="D875" s="215"/>
      <c r="E875" s="215"/>
      <c r="F875" s="215"/>
      <c r="G875" s="215"/>
      <c r="H875" s="215"/>
      <c r="I875" s="215"/>
      <c r="J875" s="215"/>
      <c r="K875" s="215"/>
      <c r="L875" s="215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215"/>
      <c r="Z875" s="215"/>
      <c r="AA875" s="215"/>
      <c r="AB875" s="215"/>
      <c r="AC875" s="215"/>
      <c r="AD875" s="215"/>
      <c r="AE875" s="215"/>
      <c r="AF875" s="215"/>
      <c r="AG875" s="215"/>
    </row>
    <row r="876" spans="1:33" ht="13.2">
      <c r="A876" s="215"/>
      <c r="B876" s="215"/>
      <c r="C876" s="215"/>
      <c r="D876" s="215"/>
      <c r="E876" s="215"/>
      <c r="F876" s="215"/>
      <c r="G876" s="215"/>
      <c r="H876" s="215"/>
      <c r="I876" s="215"/>
      <c r="J876" s="215"/>
      <c r="K876" s="215"/>
      <c r="L876" s="215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215"/>
      <c r="Z876" s="215"/>
      <c r="AA876" s="215"/>
      <c r="AB876" s="215"/>
      <c r="AC876" s="215"/>
      <c r="AD876" s="215"/>
      <c r="AE876" s="215"/>
      <c r="AF876" s="215"/>
      <c r="AG876" s="215"/>
    </row>
    <row r="877" spans="1:33" ht="13.2">
      <c r="A877" s="215"/>
      <c r="B877" s="215"/>
      <c r="C877" s="215"/>
      <c r="D877" s="215"/>
      <c r="E877" s="215"/>
      <c r="F877" s="215"/>
      <c r="G877" s="215"/>
      <c r="H877" s="215"/>
      <c r="I877" s="215"/>
      <c r="J877" s="215"/>
      <c r="K877" s="215"/>
      <c r="L877" s="215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215"/>
      <c r="Z877" s="215"/>
      <c r="AA877" s="215"/>
      <c r="AB877" s="215"/>
      <c r="AC877" s="215"/>
      <c r="AD877" s="215"/>
      <c r="AE877" s="215"/>
      <c r="AF877" s="215"/>
      <c r="AG877" s="215"/>
    </row>
    <row r="878" spans="1:33" ht="13.2">
      <c r="A878" s="215"/>
      <c r="B878" s="215"/>
      <c r="C878" s="215"/>
      <c r="D878" s="215"/>
      <c r="E878" s="215"/>
      <c r="F878" s="215"/>
      <c r="G878" s="215"/>
      <c r="H878" s="215"/>
      <c r="I878" s="215"/>
      <c r="J878" s="215"/>
      <c r="K878" s="215"/>
      <c r="L878" s="215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215"/>
      <c r="Z878" s="215"/>
      <c r="AA878" s="215"/>
      <c r="AB878" s="215"/>
      <c r="AC878" s="215"/>
      <c r="AD878" s="215"/>
      <c r="AE878" s="215"/>
      <c r="AF878" s="215"/>
      <c r="AG878" s="215"/>
    </row>
    <row r="879" spans="1:33" ht="13.2">
      <c r="A879" s="215"/>
      <c r="B879" s="215"/>
      <c r="C879" s="215"/>
      <c r="D879" s="215"/>
      <c r="E879" s="215"/>
      <c r="F879" s="215"/>
      <c r="G879" s="215"/>
      <c r="H879" s="215"/>
      <c r="I879" s="215"/>
      <c r="J879" s="215"/>
      <c r="K879" s="215"/>
      <c r="L879" s="215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215"/>
      <c r="Z879" s="215"/>
      <c r="AA879" s="215"/>
      <c r="AB879" s="215"/>
      <c r="AC879" s="215"/>
      <c r="AD879" s="215"/>
      <c r="AE879" s="215"/>
      <c r="AF879" s="215"/>
      <c r="AG879" s="215"/>
    </row>
    <row r="880" spans="1:33" ht="13.2">
      <c r="A880" s="215"/>
      <c r="B880" s="215"/>
      <c r="C880" s="215"/>
      <c r="D880" s="215"/>
      <c r="E880" s="215"/>
      <c r="F880" s="215"/>
      <c r="G880" s="215"/>
      <c r="H880" s="215"/>
      <c r="I880" s="215"/>
      <c r="J880" s="215"/>
      <c r="K880" s="215"/>
      <c r="L880" s="215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215"/>
      <c r="Z880" s="215"/>
      <c r="AA880" s="215"/>
      <c r="AB880" s="215"/>
      <c r="AC880" s="215"/>
      <c r="AD880" s="215"/>
      <c r="AE880" s="215"/>
      <c r="AF880" s="215"/>
      <c r="AG880" s="215"/>
    </row>
    <row r="881" spans="1:33" ht="13.2">
      <c r="A881" s="215"/>
      <c r="B881" s="215"/>
      <c r="C881" s="215"/>
      <c r="D881" s="215"/>
      <c r="E881" s="215"/>
      <c r="F881" s="215"/>
      <c r="G881" s="215"/>
      <c r="H881" s="215"/>
      <c r="I881" s="215"/>
      <c r="J881" s="215"/>
      <c r="K881" s="215"/>
      <c r="L881" s="215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215"/>
      <c r="Z881" s="215"/>
      <c r="AA881" s="215"/>
      <c r="AB881" s="215"/>
      <c r="AC881" s="215"/>
      <c r="AD881" s="215"/>
      <c r="AE881" s="215"/>
      <c r="AF881" s="215"/>
      <c r="AG881" s="215"/>
    </row>
    <row r="882" spans="1:33" ht="13.2">
      <c r="A882" s="215"/>
      <c r="B882" s="215"/>
      <c r="C882" s="215"/>
      <c r="D882" s="215"/>
      <c r="E882" s="215"/>
      <c r="F882" s="215"/>
      <c r="G882" s="215"/>
      <c r="H882" s="215"/>
      <c r="I882" s="215"/>
      <c r="J882" s="215"/>
      <c r="K882" s="215"/>
      <c r="L882" s="215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215"/>
      <c r="Z882" s="215"/>
      <c r="AA882" s="215"/>
      <c r="AB882" s="215"/>
      <c r="AC882" s="215"/>
      <c r="AD882" s="215"/>
      <c r="AE882" s="215"/>
      <c r="AF882" s="215"/>
      <c r="AG882" s="215"/>
    </row>
    <row r="883" spans="1:33" ht="13.2">
      <c r="A883" s="215"/>
      <c r="B883" s="215"/>
      <c r="C883" s="215"/>
      <c r="D883" s="215"/>
      <c r="E883" s="215"/>
      <c r="F883" s="215"/>
      <c r="G883" s="215"/>
      <c r="H883" s="215"/>
      <c r="I883" s="215"/>
      <c r="J883" s="215"/>
      <c r="K883" s="215"/>
      <c r="L883" s="215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215"/>
      <c r="Z883" s="215"/>
      <c r="AA883" s="215"/>
      <c r="AB883" s="215"/>
      <c r="AC883" s="215"/>
      <c r="AD883" s="215"/>
      <c r="AE883" s="215"/>
      <c r="AF883" s="215"/>
      <c r="AG883" s="215"/>
    </row>
    <row r="884" spans="1:33" ht="13.2">
      <c r="A884" s="215"/>
      <c r="B884" s="215"/>
      <c r="C884" s="215"/>
      <c r="D884" s="215"/>
      <c r="E884" s="215"/>
      <c r="F884" s="215"/>
      <c r="G884" s="215"/>
      <c r="H884" s="215"/>
      <c r="I884" s="215"/>
      <c r="J884" s="215"/>
      <c r="K884" s="215"/>
      <c r="L884" s="215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215"/>
      <c r="Z884" s="215"/>
      <c r="AA884" s="215"/>
      <c r="AB884" s="215"/>
      <c r="AC884" s="215"/>
      <c r="AD884" s="215"/>
      <c r="AE884" s="215"/>
      <c r="AF884" s="215"/>
      <c r="AG884" s="215"/>
    </row>
    <row r="885" spans="1:33" ht="13.2">
      <c r="A885" s="215"/>
      <c r="B885" s="215"/>
      <c r="C885" s="215"/>
      <c r="D885" s="215"/>
      <c r="E885" s="215"/>
      <c r="F885" s="215"/>
      <c r="G885" s="215"/>
      <c r="H885" s="215"/>
      <c r="I885" s="215"/>
      <c r="J885" s="215"/>
      <c r="K885" s="215"/>
      <c r="L885" s="215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215"/>
      <c r="Z885" s="215"/>
      <c r="AA885" s="215"/>
      <c r="AB885" s="215"/>
      <c r="AC885" s="215"/>
      <c r="AD885" s="215"/>
      <c r="AE885" s="215"/>
      <c r="AF885" s="215"/>
      <c r="AG885" s="215"/>
    </row>
    <row r="886" spans="1:33" ht="13.2">
      <c r="A886" s="215"/>
      <c r="B886" s="215"/>
      <c r="C886" s="215"/>
      <c r="D886" s="215"/>
      <c r="E886" s="215"/>
      <c r="F886" s="215"/>
      <c r="G886" s="215"/>
      <c r="H886" s="215"/>
      <c r="I886" s="215"/>
      <c r="J886" s="215"/>
      <c r="K886" s="215"/>
      <c r="L886" s="215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215"/>
      <c r="Z886" s="215"/>
      <c r="AA886" s="215"/>
      <c r="AB886" s="215"/>
      <c r="AC886" s="215"/>
      <c r="AD886" s="215"/>
      <c r="AE886" s="215"/>
      <c r="AF886" s="215"/>
      <c r="AG886" s="215"/>
    </row>
    <row r="887" spans="1:33" ht="13.2">
      <c r="A887" s="215"/>
      <c r="B887" s="215"/>
      <c r="C887" s="215"/>
      <c r="D887" s="215"/>
      <c r="E887" s="215"/>
      <c r="F887" s="215"/>
      <c r="G887" s="215"/>
      <c r="H887" s="215"/>
      <c r="I887" s="215"/>
      <c r="J887" s="215"/>
      <c r="K887" s="215"/>
      <c r="L887" s="215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215"/>
      <c r="Z887" s="215"/>
      <c r="AA887" s="215"/>
      <c r="AB887" s="215"/>
      <c r="AC887" s="215"/>
      <c r="AD887" s="215"/>
      <c r="AE887" s="215"/>
      <c r="AF887" s="215"/>
      <c r="AG887" s="215"/>
    </row>
    <row r="888" spans="1:33" ht="13.2">
      <c r="A888" s="215"/>
      <c r="B888" s="215"/>
      <c r="C888" s="215"/>
      <c r="D888" s="215"/>
      <c r="E888" s="215"/>
      <c r="F888" s="215"/>
      <c r="G888" s="215"/>
      <c r="H888" s="215"/>
      <c r="I888" s="215"/>
      <c r="J888" s="215"/>
      <c r="K888" s="215"/>
      <c r="L888" s="215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215"/>
      <c r="Z888" s="215"/>
      <c r="AA888" s="215"/>
      <c r="AB888" s="215"/>
      <c r="AC888" s="215"/>
      <c r="AD888" s="215"/>
      <c r="AE888" s="215"/>
      <c r="AF888" s="215"/>
      <c r="AG888" s="215"/>
    </row>
    <row r="889" spans="1:33" ht="13.2">
      <c r="A889" s="215"/>
      <c r="B889" s="215"/>
      <c r="C889" s="215"/>
      <c r="D889" s="215"/>
      <c r="E889" s="215"/>
      <c r="F889" s="215"/>
      <c r="G889" s="215"/>
      <c r="H889" s="215"/>
      <c r="I889" s="215"/>
      <c r="J889" s="215"/>
      <c r="K889" s="215"/>
      <c r="L889" s="215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215"/>
      <c r="Z889" s="215"/>
      <c r="AA889" s="215"/>
      <c r="AB889" s="215"/>
      <c r="AC889" s="215"/>
      <c r="AD889" s="215"/>
      <c r="AE889" s="215"/>
      <c r="AF889" s="215"/>
      <c r="AG889" s="215"/>
    </row>
    <row r="890" spans="1:33" ht="13.2">
      <c r="A890" s="215"/>
      <c r="B890" s="215"/>
      <c r="C890" s="215"/>
      <c r="D890" s="215"/>
      <c r="E890" s="215"/>
      <c r="F890" s="215"/>
      <c r="G890" s="215"/>
      <c r="H890" s="215"/>
      <c r="I890" s="215"/>
      <c r="J890" s="215"/>
      <c r="K890" s="215"/>
      <c r="L890" s="215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215"/>
      <c r="Z890" s="215"/>
      <c r="AA890" s="215"/>
      <c r="AB890" s="215"/>
      <c r="AC890" s="215"/>
      <c r="AD890" s="215"/>
      <c r="AE890" s="215"/>
      <c r="AF890" s="215"/>
      <c r="AG890" s="215"/>
    </row>
    <row r="891" spans="1:33" ht="13.2">
      <c r="A891" s="215"/>
      <c r="B891" s="215"/>
      <c r="C891" s="215"/>
      <c r="D891" s="215"/>
      <c r="E891" s="215"/>
      <c r="F891" s="215"/>
      <c r="G891" s="215"/>
      <c r="H891" s="215"/>
      <c r="I891" s="215"/>
      <c r="J891" s="215"/>
      <c r="K891" s="215"/>
      <c r="L891" s="215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215"/>
      <c r="Z891" s="215"/>
      <c r="AA891" s="215"/>
      <c r="AB891" s="215"/>
      <c r="AC891" s="215"/>
      <c r="AD891" s="215"/>
      <c r="AE891" s="215"/>
      <c r="AF891" s="215"/>
      <c r="AG891" s="215"/>
    </row>
    <row r="892" spans="1:33" ht="13.2">
      <c r="A892" s="215"/>
      <c r="B892" s="215"/>
      <c r="C892" s="215"/>
      <c r="D892" s="215"/>
      <c r="E892" s="215"/>
      <c r="F892" s="215"/>
      <c r="G892" s="215"/>
      <c r="H892" s="215"/>
      <c r="I892" s="215"/>
      <c r="J892" s="215"/>
      <c r="K892" s="215"/>
      <c r="L892" s="215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215"/>
      <c r="Z892" s="215"/>
      <c r="AA892" s="215"/>
      <c r="AB892" s="215"/>
      <c r="AC892" s="215"/>
      <c r="AD892" s="215"/>
      <c r="AE892" s="215"/>
      <c r="AF892" s="215"/>
      <c r="AG892" s="215"/>
    </row>
    <row r="893" spans="1:33" ht="13.2">
      <c r="A893" s="215"/>
      <c r="B893" s="215"/>
      <c r="C893" s="215"/>
      <c r="D893" s="215"/>
      <c r="E893" s="215"/>
      <c r="F893" s="215"/>
      <c r="G893" s="215"/>
      <c r="H893" s="215"/>
      <c r="I893" s="215"/>
      <c r="J893" s="215"/>
      <c r="K893" s="215"/>
      <c r="L893" s="215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215"/>
      <c r="Z893" s="215"/>
      <c r="AA893" s="215"/>
      <c r="AB893" s="215"/>
      <c r="AC893" s="215"/>
      <c r="AD893" s="215"/>
      <c r="AE893" s="215"/>
      <c r="AF893" s="215"/>
      <c r="AG893" s="215"/>
    </row>
    <row r="894" spans="1:33" ht="13.2">
      <c r="A894" s="215"/>
      <c r="B894" s="215"/>
      <c r="C894" s="215"/>
      <c r="D894" s="215"/>
      <c r="E894" s="215"/>
      <c r="F894" s="215"/>
      <c r="G894" s="215"/>
      <c r="H894" s="215"/>
      <c r="I894" s="215"/>
      <c r="J894" s="215"/>
      <c r="K894" s="215"/>
      <c r="L894" s="215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215"/>
      <c r="Z894" s="215"/>
      <c r="AA894" s="215"/>
      <c r="AB894" s="215"/>
      <c r="AC894" s="215"/>
      <c r="AD894" s="215"/>
      <c r="AE894" s="215"/>
      <c r="AF894" s="215"/>
      <c r="AG894" s="215"/>
    </row>
    <row r="895" spans="1:33" ht="13.2">
      <c r="A895" s="215"/>
      <c r="B895" s="215"/>
      <c r="C895" s="215"/>
      <c r="D895" s="215"/>
      <c r="E895" s="215"/>
      <c r="F895" s="215"/>
      <c r="G895" s="215"/>
      <c r="H895" s="215"/>
      <c r="I895" s="215"/>
      <c r="J895" s="215"/>
      <c r="K895" s="215"/>
      <c r="L895" s="215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215"/>
      <c r="Z895" s="215"/>
      <c r="AA895" s="215"/>
      <c r="AB895" s="215"/>
      <c r="AC895" s="215"/>
      <c r="AD895" s="215"/>
      <c r="AE895" s="215"/>
      <c r="AF895" s="215"/>
      <c r="AG895" s="215"/>
    </row>
    <row r="896" spans="1:33" ht="13.2">
      <c r="A896" s="215"/>
      <c r="B896" s="215"/>
      <c r="C896" s="215"/>
      <c r="D896" s="215"/>
      <c r="E896" s="215"/>
      <c r="F896" s="215"/>
      <c r="G896" s="215"/>
      <c r="H896" s="215"/>
      <c r="I896" s="215"/>
      <c r="J896" s="215"/>
      <c r="K896" s="215"/>
      <c r="L896" s="215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215"/>
      <c r="Z896" s="215"/>
      <c r="AA896" s="215"/>
      <c r="AB896" s="215"/>
      <c r="AC896" s="215"/>
      <c r="AD896" s="215"/>
      <c r="AE896" s="215"/>
      <c r="AF896" s="215"/>
      <c r="AG896" s="215"/>
    </row>
    <row r="897" spans="1:33" ht="13.2">
      <c r="A897" s="215"/>
      <c r="B897" s="215"/>
      <c r="C897" s="215"/>
      <c r="D897" s="215"/>
      <c r="E897" s="215"/>
      <c r="F897" s="215"/>
      <c r="G897" s="215"/>
      <c r="H897" s="215"/>
      <c r="I897" s="215"/>
      <c r="J897" s="215"/>
      <c r="K897" s="215"/>
      <c r="L897" s="215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215"/>
      <c r="Z897" s="215"/>
      <c r="AA897" s="215"/>
      <c r="AB897" s="215"/>
      <c r="AC897" s="215"/>
      <c r="AD897" s="215"/>
      <c r="AE897" s="215"/>
      <c r="AF897" s="215"/>
      <c r="AG897" s="215"/>
    </row>
    <row r="898" spans="1:33" ht="13.2">
      <c r="A898" s="215"/>
      <c r="B898" s="215"/>
      <c r="C898" s="215"/>
      <c r="D898" s="215"/>
      <c r="E898" s="215"/>
      <c r="F898" s="215"/>
      <c r="G898" s="215"/>
      <c r="H898" s="215"/>
      <c r="I898" s="215"/>
      <c r="J898" s="215"/>
      <c r="K898" s="215"/>
      <c r="L898" s="215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215"/>
      <c r="Z898" s="215"/>
      <c r="AA898" s="215"/>
      <c r="AB898" s="215"/>
      <c r="AC898" s="215"/>
      <c r="AD898" s="215"/>
      <c r="AE898" s="215"/>
      <c r="AF898" s="215"/>
      <c r="AG898" s="215"/>
    </row>
    <row r="899" spans="1:33" ht="13.2">
      <c r="A899" s="215"/>
      <c r="B899" s="215"/>
      <c r="C899" s="215"/>
      <c r="D899" s="215"/>
      <c r="E899" s="215"/>
      <c r="F899" s="215"/>
      <c r="G899" s="215"/>
      <c r="H899" s="215"/>
      <c r="I899" s="215"/>
      <c r="J899" s="215"/>
      <c r="K899" s="215"/>
      <c r="L899" s="215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215"/>
      <c r="Z899" s="215"/>
      <c r="AA899" s="215"/>
      <c r="AB899" s="215"/>
      <c r="AC899" s="215"/>
      <c r="AD899" s="215"/>
      <c r="AE899" s="215"/>
      <c r="AF899" s="215"/>
      <c r="AG899" s="215"/>
    </row>
    <row r="900" spans="1:33" ht="13.2">
      <c r="A900" s="215"/>
      <c r="B900" s="215"/>
      <c r="C900" s="215"/>
      <c r="D900" s="215"/>
      <c r="E900" s="215"/>
      <c r="F900" s="215"/>
      <c r="G900" s="215"/>
      <c r="H900" s="215"/>
      <c r="I900" s="215"/>
      <c r="J900" s="215"/>
      <c r="K900" s="215"/>
      <c r="L900" s="215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215"/>
      <c r="Z900" s="215"/>
      <c r="AA900" s="215"/>
      <c r="AB900" s="215"/>
      <c r="AC900" s="215"/>
      <c r="AD900" s="215"/>
      <c r="AE900" s="215"/>
      <c r="AF900" s="215"/>
      <c r="AG900" s="215"/>
    </row>
    <row r="901" spans="1:33" ht="13.2">
      <c r="A901" s="215"/>
      <c r="B901" s="215"/>
      <c r="C901" s="215"/>
      <c r="D901" s="215"/>
      <c r="E901" s="215"/>
      <c r="F901" s="215"/>
      <c r="G901" s="215"/>
      <c r="H901" s="215"/>
      <c r="I901" s="215"/>
      <c r="J901" s="215"/>
      <c r="K901" s="215"/>
      <c r="L901" s="215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215"/>
      <c r="Z901" s="215"/>
      <c r="AA901" s="215"/>
      <c r="AB901" s="215"/>
      <c r="AC901" s="215"/>
      <c r="AD901" s="215"/>
      <c r="AE901" s="215"/>
      <c r="AF901" s="215"/>
      <c r="AG901" s="215"/>
    </row>
    <row r="902" spans="1:33" ht="13.2">
      <c r="A902" s="215"/>
      <c r="B902" s="215"/>
      <c r="C902" s="215"/>
      <c r="D902" s="215"/>
      <c r="E902" s="215"/>
      <c r="F902" s="215"/>
      <c r="G902" s="215"/>
      <c r="H902" s="215"/>
      <c r="I902" s="215"/>
      <c r="J902" s="215"/>
      <c r="K902" s="215"/>
      <c r="L902" s="215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215"/>
      <c r="Z902" s="215"/>
      <c r="AA902" s="215"/>
      <c r="AB902" s="215"/>
      <c r="AC902" s="215"/>
      <c r="AD902" s="215"/>
      <c r="AE902" s="215"/>
      <c r="AF902" s="215"/>
      <c r="AG902" s="215"/>
    </row>
    <row r="903" spans="1:33" ht="13.2">
      <c r="A903" s="215"/>
      <c r="B903" s="215"/>
      <c r="C903" s="215"/>
      <c r="D903" s="215"/>
      <c r="E903" s="215"/>
      <c r="F903" s="215"/>
      <c r="G903" s="215"/>
      <c r="H903" s="215"/>
      <c r="I903" s="215"/>
      <c r="J903" s="215"/>
      <c r="K903" s="215"/>
      <c r="L903" s="215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215"/>
      <c r="Z903" s="215"/>
      <c r="AA903" s="215"/>
      <c r="AB903" s="215"/>
      <c r="AC903" s="215"/>
      <c r="AD903" s="215"/>
      <c r="AE903" s="215"/>
      <c r="AF903" s="215"/>
      <c r="AG903" s="215"/>
    </row>
    <row r="904" spans="1:33" ht="13.2">
      <c r="A904" s="215"/>
      <c r="B904" s="215"/>
      <c r="C904" s="215"/>
      <c r="D904" s="215"/>
      <c r="E904" s="215"/>
      <c r="F904" s="215"/>
      <c r="G904" s="215"/>
      <c r="H904" s="215"/>
      <c r="I904" s="215"/>
      <c r="J904" s="215"/>
      <c r="K904" s="215"/>
      <c r="L904" s="215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215"/>
      <c r="Z904" s="215"/>
      <c r="AA904" s="215"/>
      <c r="AB904" s="215"/>
      <c r="AC904" s="215"/>
      <c r="AD904" s="215"/>
      <c r="AE904" s="215"/>
      <c r="AF904" s="215"/>
      <c r="AG904" s="215"/>
    </row>
    <row r="905" spans="1:33" ht="13.2">
      <c r="A905" s="215"/>
      <c r="B905" s="215"/>
      <c r="C905" s="215"/>
      <c r="D905" s="215"/>
      <c r="E905" s="215"/>
      <c r="F905" s="215"/>
      <c r="G905" s="215"/>
      <c r="H905" s="215"/>
      <c r="I905" s="215"/>
      <c r="J905" s="215"/>
      <c r="K905" s="215"/>
      <c r="L905" s="215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215"/>
      <c r="Z905" s="215"/>
      <c r="AA905" s="215"/>
      <c r="AB905" s="215"/>
      <c r="AC905" s="215"/>
      <c r="AD905" s="215"/>
      <c r="AE905" s="215"/>
      <c r="AF905" s="215"/>
      <c r="AG905" s="215"/>
    </row>
    <row r="906" spans="1:33" ht="13.2">
      <c r="A906" s="215"/>
      <c r="B906" s="215"/>
      <c r="C906" s="215"/>
      <c r="D906" s="215"/>
      <c r="E906" s="215"/>
      <c r="F906" s="215"/>
      <c r="G906" s="215"/>
      <c r="H906" s="215"/>
      <c r="I906" s="215"/>
      <c r="J906" s="215"/>
      <c r="K906" s="215"/>
      <c r="L906" s="215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215"/>
      <c r="Z906" s="215"/>
      <c r="AA906" s="215"/>
      <c r="AB906" s="215"/>
      <c r="AC906" s="215"/>
      <c r="AD906" s="215"/>
      <c r="AE906" s="215"/>
      <c r="AF906" s="215"/>
      <c r="AG906" s="215"/>
    </row>
    <row r="907" spans="1:33" ht="13.2">
      <c r="A907" s="215"/>
      <c r="B907" s="215"/>
      <c r="C907" s="215"/>
      <c r="D907" s="215"/>
      <c r="E907" s="215"/>
      <c r="F907" s="215"/>
      <c r="G907" s="215"/>
      <c r="H907" s="215"/>
      <c r="I907" s="215"/>
      <c r="J907" s="215"/>
      <c r="K907" s="215"/>
      <c r="L907" s="215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215"/>
      <c r="Z907" s="215"/>
      <c r="AA907" s="215"/>
      <c r="AB907" s="215"/>
      <c r="AC907" s="215"/>
      <c r="AD907" s="215"/>
      <c r="AE907" s="215"/>
      <c r="AF907" s="215"/>
      <c r="AG907" s="215"/>
    </row>
    <row r="908" spans="1:33" ht="13.2">
      <c r="A908" s="215"/>
      <c r="B908" s="215"/>
      <c r="C908" s="215"/>
      <c r="D908" s="215"/>
      <c r="E908" s="215"/>
      <c r="F908" s="215"/>
      <c r="G908" s="215"/>
      <c r="H908" s="215"/>
      <c r="I908" s="215"/>
      <c r="J908" s="215"/>
      <c r="K908" s="215"/>
      <c r="L908" s="215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215"/>
      <c r="Z908" s="215"/>
      <c r="AA908" s="215"/>
      <c r="AB908" s="215"/>
      <c r="AC908" s="215"/>
      <c r="AD908" s="215"/>
      <c r="AE908" s="215"/>
      <c r="AF908" s="215"/>
      <c r="AG908" s="215"/>
    </row>
    <row r="909" spans="1:33" ht="13.2">
      <c r="A909" s="215"/>
      <c r="B909" s="215"/>
      <c r="C909" s="215"/>
      <c r="D909" s="215"/>
      <c r="E909" s="215"/>
      <c r="F909" s="215"/>
      <c r="G909" s="215"/>
      <c r="H909" s="215"/>
      <c r="I909" s="215"/>
      <c r="J909" s="215"/>
      <c r="K909" s="215"/>
      <c r="L909" s="215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215"/>
      <c r="Z909" s="215"/>
      <c r="AA909" s="215"/>
      <c r="AB909" s="215"/>
      <c r="AC909" s="215"/>
      <c r="AD909" s="215"/>
      <c r="AE909" s="215"/>
      <c r="AF909" s="215"/>
      <c r="AG909" s="215"/>
    </row>
    <row r="910" spans="1:33" ht="13.2">
      <c r="A910" s="215"/>
      <c r="B910" s="215"/>
      <c r="C910" s="215"/>
      <c r="D910" s="215"/>
      <c r="E910" s="215"/>
      <c r="F910" s="215"/>
      <c r="G910" s="215"/>
      <c r="H910" s="215"/>
      <c r="I910" s="215"/>
      <c r="J910" s="215"/>
      <c r="K910" s="215"/>
      <c r="L910" s="215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215"/>
      <c r="Z910" s="215"/>
      <c r="AA910" s="215"/>
      <c r="AB910" s="215"/>
      <c r="AC910" s="215"/>
      <c r="AD910" s="215"/>
      <c r="AE910" s="215"/>
      <c r="AF910" s="215"/>
      <c r="AG910" s="215"/>
    </row>
    <row r="911" spans="1:33" ht="13.2">
      <c r="A911" s="215"/>
      <c r="B911" s="215"/>
      <c r="C911" s="215"/>
      <c r="D911" s="215"/>
      <c r="E911" s="215"/>
      <c r="F911" s="215"/>
      <c r="G911" s="215"/>
      <c r="H911" s="215"/>
      <c r="I911" s="215"/>
      <c r="J911" s="215"/>
      <c r="K911" s="215"/>
      <c r="L911" s="215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215"/>
      <c r="Z911" s="215"/>
      <c r="AA911" s="215"/>
      <c r="AB911" s="215"/>
      <c r="AC911" s="215"/>
      <c r="AD911" s="215"/>
      <c r="AE911" s="215"/>
      <c r="AF911" s="215"/>
      <c r="AG911" s="215"/>
    </row>
    <row r="912" spans="1:33" ht="13.2">
      <c r="A912" s="215"/>
      <c r="B912" s="215"/>
      <c r="C912" s="215"/>
      <c r="D912" s="215"/>
      <c r="E912" s="215"/>
      <c r="F912" s="215"/>
      <c r="G912" s="215"/>
      <c r="H912" s="215"/>
      <c r="I912" s="215"/>
      <c r="J912" s="215"/>
      <c r="K912" s="215"/>
      <c r="L912" s="215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215"/>
      <c r="Z912" s="215"/>
      <c r="AA912" s="215"/>
      <c r="AB912" s="215"/>
      <c r="AC912" s="215"/>
      <c r="AD912" s="215"/>
      <c r="AE912" s="215"/>
      <c r="AF912" s="215"/>
      <c r="AG912" s="215"/>
    </row>
    <row r="913" spans="1:33" ht="13.2">
      <c r="A913" s="215"/>
      <c r="B913" s="215"/>
      <c r="C913" s="215"/>
      <c r="D913" s="215"/>
      <c r="E913" s="215"/>
      <c r="F913" s="215"/>
      <c r="G913" s="215"/>
      <c r="H913" s="215"/>
      <c r="I913" s="215"/>
      <c r="J913" s="215"/>
      <c r="K913" s="215"/>
      <c r="L913" s="215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215"/>
      <c r="Z913" s="215"/>
      <c r="AA913" s="215"/>
      <c r="AB913" s="215"/>
      <c r="AC913" s="215"/>
      <c r="AD913" s="215"/>
      <c r="AE913" s="215"/>
      <c r="AF913" s="215"/>
      <c r="AG913" s="215"/>
    </row>
    <row r="914" spans="1:33" ht="13.2">
      <c r="A914" s="215"/>
      <c r="B914" s="215"/>
      <c r="C914" s="215"/>
      <c r="D914" s="215"/>
      <c r="E914" s="215"/>
      <c r="F914" s="215"/>
      <c r="G914" s="215"/>
      <c r="H914" s="215"/>
      <c r="I914" s="215"/>
      <c r="J914" s="215"/>
      <c r="K914" s="215"/>
      <c r="L914" s="215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215"/>
      <c r="Z914" s="215"/>
      <c r="AA914" s="215"/>
      <c r="AB914" s="215"/>
      <c r="AC914" s="215"/>
      <c r="AD914" s="215"/>
      <c r="AE914" s="215"/>
      <c r="AF914" s="215"/>
      <c r="AG914" s="215"/>
    </row>
    <row r="915" spans="1:33" ht="13.2">
      <c r="A915" s="215"/>
      <c r="B915" s="215"/>
      <c r="C915" s="215"/>
      <c r="D915" s="215"/>
      <c r="E915" s="215"/>
      <c r="F915" s="215"/>
      <c r="G915" s="215"/>
      <c r="H915" s="215"/>
      <c r="I915" s="215"/>
      <c r="J915" s="215"/>
      <c r="K915" s="215"/>
      <c r="L915" s="215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215"/>
      <c r="Z915" s="215"/>
      <c r="AA915" s="215"/>
      <c r="AB915" s="215"/>
      <c r="AC915" s="215"/>
      <c r="AD915" s="215"/>
      <c r="AE915" s="215"/>
      <c r="AF915" s="215"/>
      <c r="AG915" s="215"/>
    </row>
    <row r="916" spans="1:33" ht="13.2">
      <c r="A916" s="215"/>
      <c r="B916" s="215"/>
      <c r="C916" s="215"/>
      <c r="D916" s="215"/>
      <c r="E916" s="215"/>
      <c r="F916" s="215"/>
      <c r="G916" s="215"/>
      <c r="H916" s="215"/>
      <c r="I916" s="215"/>
      <c r="J916" s="215"/>
      <c r="K916" s="215"/>
      <c r="L916" s="215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215"/>
      <c r="Z916" s="215"/>
      <c r="AA916" s="215"/>
      <c r="AB916" s="215"/>
      <c r="AC916" s="215"/>
      <c r="AD916" s="215"/>
      <c r="AE916" s="215"/>
      <c r="AF916" s="215"/>
      <c r="AG916" s="215"/>
    </row>
    <row r="917" spans="1:33" ht="13.2">
      <c r="A917" s="215"/>
      <c r="B917" s="215"/>
      <c r="C917" s="215"/>
      <c r="D917" s="215"/>
      <c r="E917" s="215"/>
      <c r="F917" s="215"/>
      <c r="G917" s="215"/>
      <c r="H917" s="215"/>
      <c r="I917" s="215"/>
      <c r="J917" s="215"/>
      <c r="K917" s="215"/>
      <c r="L917" s="215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215"/>
      <c r="Z917" s="215"/>
      <c r="AA917" s="215"/>
      <c r="AB917" s="215"/>
      <c r="AC917" s="215"/>
      <c r="AD917" s="215"/>
      <c r="AE917" s="215"/>
      <c r="AF917" s="215"/>
      <c r="AG917" s="215"/>
    </row>
    <row r="918" spans="1:33" ht="13.2">
      <c r="A918" s="215"/>
      <c r="B918" s="215"/>
      <c r="C918" s="215"/>
      <c r="D918" s="215"/>
      <c r="E918" s="215"/>
      <c r="F918" s="215"/>
      <c r="G918" s="215"/>
      <c r="H918" s="215"/>
      <c r="I918" s="215"/>
      <c r="J918" s="215"/>
      <c r="K918" s="215"/>
      <c r="L918" s="215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215"/>
      <c r="Z918" s="215"/>
      <c r="AA918" s="215"/>
      <c r="AB918" s="215"/>
      <c r="AC918" s="215"/>
      <c r="AD918" s="215"/>
      <c r="AE918" s="215"/>
      <c r="AF918" s="215"/>
      <c r="AG918" s="215"/>
    </row>
    <row r="919" spans="1:33" ht="13.2">
      <c r="A919" s="215"/>
      <c r="B919" s="215"/>
      <c r="C919" s="215"/>
      <c r="D919" s="215"/>
      <c r="E919" s="215"/>
      <c r="F919" s="215"/>
      <c r="G919" s="215"/>
      <c r="H919" s="215"/>
      <c r="I919" s="215"/>
      <c r="J919" s="215"/>
      <c r="K919" s="215"/>
      <c r="L919" s="215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215"/>
      <c r="Z919" s="215"/>
      <c r="AA919" s="215"/>
      <c r="AB919" s="215"/>
      <c r="AC919" s="215"/>
      <c r="AD919" s="215"/>
      <c r="AE919" s="215"/>
      <c r="AF919" s="215"/>
      <c r="AG919" s="215"/>
    </row>
    <row r="920" spans="1:33" ht="13.2">
      <c r="A920" s="215"/>
      <c r="B920" s="215"/>
      <c r="C920" s="215"/>
      <c r="D920" s="215"/>
      <c r="E920" s="215"/>
      <c r="F920" s="215"/>
      <c r="G920" s="215"/>
      <c r="H920" s="215"/>
      <c r="I920" s="215"/>
      <c r="J920" s="215"/>
      <c r="K920" s="215"/>
      <c r="L920" s="215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215"/>
      <c r="Z920" s="215"/>
      <c r="AA920" s="215"/>
      <c r="AB920" s="215"/>
      <c r="AC920" s="215"/>
      <c r="AD920" s="215"/>
      <c r="AE920" s="215"/>
      <c r="AF920" s="215"/>
      <c r="AG920" s="215"/>
    </row>
    <row r="921" spans="1:33" ht="13.2">
      <c r="A921" s="215"/>
      <c r="B921" s="215"/>
      <c r="C921" s="215"/>
      <c r="D921" s="215"/>
      <c r="E921" s="21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215"/>
      <c r="Z921" s="215"/>
      <c r="AA921" s="215"/>
      <c r="AB921" s="215"/>
      <c r="AC921" s="215"/>
      <c r="AD921" s="215"/>
      <c r="AE921" s="215"/>
      <c r="AF921" s="215"/>
      <c r="AG921" s="215"/>
    </row>
    <row r="922" spans="1:33" ht="13.2">
      <c r="A922" s="215"/>
      <c r="B922" s="215"/>
      <c r="C922" s="215"/>
      <c r="D922" s="215"/>
      <c r="E922" s="215"/>
      <c r="F922" s="215"/>
      <c r="G922" s="215"/>
      <c r="H922" s="215"/>
      <c r="I922" s="215"/>
      <c r="J922" s="215"/>
      <c r="K922" s="215"/>
      <c r="L922" s="215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215"/>
      <c r="Z922" s="215"/>
      <c r="AA922" s="215"/>
      <c r="AB922" s="215"/>
      <c r="AC922" s="215"/>
      <c r="AD922" s="215"/>
      <c r="AE922" s="215"/>
      <c r="AF922" s="215"/>
      <c r="AG922" s="215"/>
    </row>
    <row r="923" spans="1:33" ht="13.2">
      <c r="A923" s="215"/>
      <c r="B923" s="215"/>
      <c r="C923" s="215"/>
      <c r="D923" s="215"/>
      <c r="E923" s="215"/>
      <c r="F923" s="21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215"/>
      <c r="Z923" s="215"/>
      <c r="AA923" s="215"/>
      <c r="AB923" s="215"/>
      <c r="AC923" s="215"/>
      <c r="AD923" s="215"/>
      <c r="AE923" s="215"/>
      <c r="AF923" s="215"/>
      <c r="AG923" s="215"/>
    </row>
    <row r="924" spans="1:33" ht="13.2">
      <c r="A924" s="215"/>
      <c r="B924" s="215"/>
      <c r="C924" s="215"/>
      <c r="D924" s="215"/>
      <c r="E924" s="215"/>
      <c r="F924" s="215"/>
      <c r="G924" s="215"/>
      <c r="H924" s="215"/>
      <c r="I924" s="215"/>
      <c r="J924" s="215"/>
      <c r="K924" s="215"/>
      <c r="L924" s="215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215"/>
      <c r="Z924" s="215"/>
      <c r="AA924" s="215"/>
      <c r="AB924" s="215"/>
      <c r="AC924" s="215"/>
      <c r="AD924" s="215"/>
      <c r="AE924" s="215"/>
      <c r="AF924" s="215"/>
      <c r="AG924" s="215"/>
    </row>
    <row r="925" spans="1:33" ht="13.2">
      <c r="A925" s="215"/>
      <c r="B925" s="215"/>
      <c r="C925" s="215"/>
      <c r="D925" s="215"/>
      <c r="E925" s="215"/>
      <c r="F925" s="215"/>
      <c r="G925" s="215"/>
      <c r="H925" s="215"/>
      <c r="I925" s="215"/>
      <c r="J925" s="215"/>
      <c r="K925" s="215"/>
      <c r="L925" s="215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215"/>
      <c r="Z925" s="215"/>
      <c r="AA925" s="215"/>
      <c r="AB925" s="215"/>
      <c r="AC925" s="215"/>
      <c r="AD925" s="215"/>
      <c r="AE925" s="215"/>
      <c r="AF925" s="215"/>
      <c r="AG925" s="215"/>
    </row>
    <row r="926" spans="1:33" ht="13.2">
      <c r="A926" s="215"/>
      <c r="B926" s="215"/>
      <c r="C926" s="215"/>
      <c r="D926" s="215"/>
      <c r="E926" s="215"/>
      <c r="F926" s="215"/>
      <c r="G926" s="215"/>
      <c r="H926" s="215"/>
      <c r="I926" s="215"/>
      <c r="J926" s="215"/>
      <c r="K926" s="215"/>
      <c r="L926" s="215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215"/>
      <c r="Z926" s="215"/>
      <c r="AA926" s="215"/>
      <c r="AB926" s="215"/>
      <c r="AC926" s="215"/>
      <c r="AD926" s="215"/>
      <c r="AE926" s="215"/>
      <c r="AF926" s="215"/>
      <c r="AG926" s="215"/>
    </row>
    <row r="927" spans="1:33" ht="13.2">
      <c r="A927" s="215"/>
      <c r="B927" s="215"/>
      <c r="C927" s="215"/>
      <c r="D927" s="215"/>
      <c r="E927" s="215"/>
      <c r="F927" s="215"/>
      <c r="G927" s="215"/>
      <c r="H927" s="215"/>
      <c r="I927" s="215"/>
      <c r="J927" s="215"/>
      <c r="K927" s="215"/>
      <c r="L927" s="215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215"/>
      <c r="Z927" s="215"/>
      <c r="AA927" s="215"/>
      <c r="AB927" s="215"/>
      <c r="AC927" s="215"/>
      <c r="AD927" s="215"/>
      <c r="AE927" s="215"/>
      <c r="AF927" s="215"/>
      <c r="AG927" s="215"/>
    </row>
    <row r="928" spans="1:33" ht="13.2">
      <c r="A928" s="215"/>
      <c r="B928" s="215"/>
      <c r="C928" s="215"/>
      <c r="D928" s="215"/>
      <c r="E928" s="215"/>
      <c r="F928" s="215"/>
      <c r="G928" s="215"/>
      <c r="H928" s="215"/>
      <c r="I928" s="215"/>
      <c r="J928" s="215"/>
      <c r="K928" s="215"/>
      <c r="L928" s="215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215"/>
      <c r="Z928" s="215"/>
      <c r="AA928" s="215"/>
      <c r="AB928" s="215"/>
      <c r="AC928" s="215"/>
      <c r="AD928" s="215"/>
      <c r="AE928" s="215"/>
      <c r="AF928" s="215"/>
      <c r="AG928" s="215"/>
    </row>
    <row r="929" spans="1:33" ht="13.2">
      <c r="A929" s="215"/>
      <c r="B929" s="215"/>
      <c r="C929" s="215"/>
      <c r="D929" s="215"/>
      <c r="E929" s="215"/>
      <c r="F929" s="215"/>
      <c r="G929" s="215"/>
      <c r="H929" s="215"/>
      <c r="I929" s="215"/>
      <c r="J929" s="215"/>
      <c r="K929" s="215"/>
      <c r="L929" s="215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215"/>
      <c r="Z929" s="215"/>
      <c r="AA929" s="215"/>
      <c r="AB929" s="215"/>
      <c r="AC929" s="215"/>
      <c r="AD929" s="215"/>
      <c r="AE929" s="215"/>
      <c r="AF929" s="215"/>
      <c r="AG929" s="215"/>
    </row>
    <row r="930" spans="1:33" ht="13.2">
      <c r="A930" s="215"/>
      <c r="B930" s="215"/>
      <c r="C930" s="215"/>
      <c r="D930" s="215"/>
      <c r="E930" s="215"/>
      <c r="F930" s="215"/>
      <c r="G930" s="215"/>
      <c r="H930" s="215"/>
      <c r="I930" s="215"/>
      <c r="J930" s="215"/>
      <c r="K930" s="215"/>
      <c r="L930" s="215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215"/>
      <c r="Z930" s="215"/>
      <c r="AA930" s="215"/>
      <c r="AB930" s="215"/>
      <c r="AC930" s="215"/>
      <c r="AD930" s="215"/>
      <c r="AE930" s="215"/>
      <c r="AF930" s="215"/>
      <c r="AG930" s="215"/>
    </row>
    <row r="931" spans="1:33" ht="13.2">
      <c r="A931" s="215"/>
      <c r="B931" s="215"/>
      <c r="C931" s="215"/>
      <c r="D931" s="215"/>
      <c r="E931" s="215"/>
      <c r="F931" s="215"/>
      <c r="G931" s="215"/>
      <c r="H931" s="215"/>
      <c r="I931" s="215"/>
      <c r="J931" s="215"/>
      <c r="K931" s="215"/>
      <c r="L931" s="215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215"/>
      <c r="Z931" s="215"/>
      <c r="AA931" s="215"/>
      <c r="AB931" s="215"/>
      <c r="AC931" s="215"/>
      <c r="AD931" s="215"/>
      <c r="AE931" s="215"/>
      <c r="AF931" s="215"/>
      <c r="AG931" s="215"/>
    </row>
    <row r="932" spans="1:33" ht="13.2">
      <c r="A932" s="215"/>
      <c r="B932" s="215"/>
      <c r="C932" s="215"/>
      <c r="D932" s="215"/>
      <c r="E932" s="215"/>
      <c r="F932" s="215"/>
      <c r="G932" s="215"/>
      <c r="H932" s="215"/>
      <c r="I932" s="215"/>
      <c r="J932" s="215"/>
      <c r="K932" s="215"/>
      <c r="L932" s="215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215"/>
      <c r="Z932" s="215"/>
      <c r="AA932" s="215"/>
      <c r="AB932" s="215"/>
      <c r="AC932" s="215"/>
      <c r="AD932" s="215"/>
      <c r="AE932" s="215"/>
      <c r="AF932" s="215"/>
      <c r="AG932" s="215"/>
    </row>
    <row r="933" spans="1:33" ht="13.2">
      <c r="A933" s="215"/>
      <c r="B933" s="215"/>
      <c r="C933" s="215"/>
      <c r="D933" s="215"/>
      <c r="E933" s="215"/>
      <c r="F933" s="215"/>
      <c r="G933" s="215"/>
      <c r="H933" s="215"/>
      <c r="I933" s="215"/>
      <c r="J933" s="215"/>
      <c r="K933" s="215"/>
      <c r="L933" s="215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215"/>
      <c r="Z933" s="215"/>
      <c r="AA933" s="215"/>
      <c r="AB933" s="215"/>
      <c r="AC933" s="215"/>
      <c r="AD933" s="215"/>
      <c r="AE933" s="215"/>
      <c r="AF933" s="215"/>
      <c r="AG933" s="215"/>
    </row>
    <row r="934" spans="1:33" ht="13.2">
      <c r="A934" s="215"/>
      <c r="B934" s="215"/>
      <c r="C934" s="215"/>
      <c r="D934" s="215"/>
      <c r="E934" s="215"/>
      <c r="F934" s="215"/>
      <c r="G934" s="215"/>
      <c r="H934" s="215"/>
      <c r="I934" s="215"/>
      <c r="J934" s="215"/>
      <c r="K934" s="215"/>
      <c r="L934" s="215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215"/>
      <c r="Z934" s="215"/>
      <c r="AA934" s="215"/>
      <c r="AB934" s="215"/>
      <c r="AC934" s="215"/>
      <c r="AD934" s="215"/>
      <c r="AE934" s="215"/>
      <c r="AF934" s="215"/>
      <c r="AG934" s="215"/>
    </row>
    <row r="935" spans="1:33" ht="13.2">
      <c r="A935" s="215"/>
      <c r="B935" s="215"/>
      <c r="C935" s="215"/>
      <c r="D935" s="215"/>
      <c r="E935" s="215"/>
      <c r="F935" s="215"/>
      <c r="G935" s="215"/>
      <c r="H935" s="215"/>
      <c r="I935" s="215"/>
      <c r="J935" s="215"/>
      <c r="K935" s="215"/>
      <c r="L935" s="215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215"/>
      <c r="Z935" s="215"/>
      <c r="AA935" s="215"/>
      <c r="AB935" s="215"/>
      <c r="AC935" s="215"/>
      <c r="AD935" s="215"/>
      <c r="AE935" s="215"/>
      <c r="AF935" s="215"/>
      <c r="AG935" s="215"/>
    </row>
    <row r="936" spans="1:33" ht="13.2">
      <c r="A936" s="215"/>
      <c r="B936" s="215"/>
      <c r="C936" s="215"/>
      <c r="D936" s="215"/>
      <c r="E936" s="215"/>
      <c r="F936" s="215"/>
      <c r="G936" s="215"/>
      <c r="H936" s="215"/>
      <c r="I936" s="215"/>
      <c r="J936" s="215"/>
      <c r="K936" s="215"/>
      <c r="L936" s="215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215"/>
      <c r="Z936" s="215"/>
      <c r="AA936" s="215"/>
      <c r="AB936" s="215"/>
      <c r="AC936" s="215"/>
      <c r="AD936" s="215"/>
      <c r="AE936" s="215"/>
      <c r="AF936" s="215"/>
      <c r="AG936" s="215"/>
    </row>
    <row r="937" spans="1:33" ht="13.2">
      <c r="A937" s="215"/>
      <c r="B937" s="215"/>
      <c r="C937" s="215"/>
      <c r="D937" s="215"/>
      <c r="E937" s="215"/>
      <c r="F937" s="215"/>
      <c r="G937" s="215"/>
      <c r="H937" s="215"/>
      <c r="I937" s="215"/>
      <c r="J937" s="215"/>
      <c r="K937" s="215"/>
      <c r="L937" s="215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215"/>
      <c r="Z937" s="215"/>
      <c r="AA937" s="215"/>
      <c r="AB937" s="215"/>
      <c r="AC937" s="215"/>
      <c r="AD937" s="215"/>
      <c r="AE937" s="215"/>
      <c r="AF937" s="215"/>
      <c r="AG937" s="215"/>
    </row>
    <row r="938" spans="1:33" ht="13.2">
      <c r="A938" s="215"/>
      <c r="B938" s="215"/>
      <c r="C938" s="215"/>
      <c r="D938" s="215"/>
      <c r="E938" s="215"/>
      <c r="F938" s="215"/>
      <c r="G938" s="215"/>
      <c r="H938" s="215"/>
      <c r="I938" s="215"/>
      <c r="J938" s="215"/>
      <c r="K938" s="215"/>
      <c r="L938" s="215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215"/>
      <c r="Z938" s="215"/>
      <c r="AA938" s="215"/>
      <c r="AB938" s="215"/>
      <c r="AC938" s="215"/>
      <c r="AD938" s="215"/>
      <c r="AE938" s="215"/>
      <c r="AF938" s="215"/>
      <c r="AG938" s="215"/>
    </row>
    <row r="939" spans="1:33" ht="13.2">
      <c r="A939" s="215"/>
      <c r="B939" s="215"/>
      <c r="C939" s="215"/>
      <c r="D939" s="215"/>
      <c r="E939" s="215"/>
      <c r="F939" s="215"/>
      <c r="G939" s="215"/>
      <c r="H939" s="215"/>
      <c r="I939" s="215"/>
      <c r="J939" s="215"/>
      <c r="K939" s="215"/>
      <c r="L939" s="215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215"/>
      <c r="Z939" s="215"/>
      <c r="AA939" s="215"/>
      <c r="AB939" s="215"/>
      <c r="AC939" s="215"/>
      <c r="AD939" s="215"/>
      <c r="AE939" s="215"/>
      <c r="AF939" s="215"/>
      <c r="AG939" s="215"/>
    </row>
    <row r="940" spans="1:33" ht="13.2">
      <c r="A940" s="215"/>
      <c r="B940" s="215"/>
      <c r="C940" s="215"/>
      <c r="D940" s="215"/>
      <c r="E940" s="21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215"/>
      <c r="Z940" s="215"/>
      <c r="AA940" s="215"/>
      <c r="AB940" s="215"/>
      <c r="AC940" s="215"/>
      <c r="AD940" s="215"/>
      <c r="AE940" s="215"/>
      <c r="AF940" s="215"/>
      <c r="AG940" s="215"/>
    </row>
    <row r="941" spans="1:33" ht="13.2">
      <c r="A941" s="215"/>
      <c r="B941" s="215"/>
      <c r="C941" s="215"/>
      <c r="D941" s="215"/>
      <c r="E941" s="215"/>
      <c r="F941" s="215"/>
      <c r="G941" s="215"/>
      <c r="H941" s="215"/>
      <c r="I941" s="215"/>
      <c r="J941" s="215"/>
      <c r="K941" s="215"/>
      <c r="L941" s="215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215"/>
      <c r="Z941" s="215"/>
      <c r="AA941" s="215"/>
      <c r="AB941" s="215"/>
      <c r="AC941" s="215"/>
      <c r="AD941" s="215"/>
      <c r="AE941" s="215"/>
      <c r="AF941" s="215"/>
      <c r="AG941" s="215"/>
    </row>
    <row r="942" spans="1:33" ht="13.2">
      <c r="A942" s="215"/>
      <c r="B942" s="215"/>
      <c r="C942" s="215"/>
      <c r="D942" s="215"/>
      <c r="E942" s="21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215"/>
      <c r="Z942" s="215"/>
      <c r="AA942" s="215"/>
      <c r="AB942" s="215"/>
      <c r="AC942" s="215"/>
      <c r="AD942" s="215"/>
      <c r="AE942" s="215"/>
      <c r="AF942" s="215"/>
      <c r="AG942" s="215"/>
    </row>
    <row r="943" spans="1:33" ht="13.2">
      <c r="A943" s="215"/>
      <c r="B943" s="215"/>
      <c r="C943" s="215"/>
      <c r="D943" s="215"/>
      <c r="E943" s="215"/>
      <c r="F943" s="215"/>
      <c r="G943" s="215"/>
      <c r="H943" s="215"/>
      <c r="I943" s="215"/>
      <c r="J943" s="215"/>
      <c r="K943" s="215"/>
      <c r="L943" s="215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215"/>
      <c r="Z943" s="215"/>
      <c r="AA943" s="215"/>
      <c r="AB943" s="215"/>
      <c r="AC943" s="215"/>
      <c r="AD943" s="215"/>
      <c r="AE943" s="215"/>
      <c r="AF943" s="215"/>
      <c r="AG943" s="215"/>
    </row>
    <row r="944" spans="1:33" ht="13.2">
      <c r="A944" s="215"/>
      <c r="B944" s="215"/>
      <c r="C944" s="215"/>
      <c r="D944" s="215"/>
      <c r="E944" s="215"/>
      <c r="F944" s="215"/>
      <c r="G944" s="215"/>
      <c r="H944" s="215"/>
      <c r="I944" s="215"/>
      <c r="J944" s="215"/>
      <c r="K944" s="215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215"/>
      <c r="Z944" s="215"/>
      <c r="AA944" s="215"/>
      <c r="AB944" s="215"/>
      <c r="AC944" s="215"/>
      <c r="AD944" s="215"/>
      <c r="AE944" s="215"/>
      <c r="AF944" s="215"/>
      <c r="AG944" s="215"/>
    </row>
    <row r="945" spans="1:33" ht="13.2">
      <c r="A945" s="215"/>
      <c r="B945" s="215"/>
      <c r="C945" s="215"/>
      <c r="D945" s="215"/>
      <c r="E945" s="215"/>
      <c r="F945" s="215"/>
      <c r="G945" s="215"/>
      <c r="H945" s="215"/>
      <c r="I945" s="215"/>
      <c r="J945" s="215"/>
      <c r="K945" s="215"/>
      <c r="L945" s="215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215"/>
      <c r="Z945" s="215"/>
      <c r="AA945" s="215"/>
      <c r="AB945" s="215"/>
      <c r="AC945" s="215"/>
      <c r="AD945" s="215"/>
      <c r="AE945" s="215"/>
      <c r="AF945" s="215"/>
      <c r="AG945" s="215"/>
    </row>
    <row r="946" spans="1:33" ht="13.2">
      <c r="A946" s="215"/>
      <c r="B946" s="215"/>
      <c r="C946" s="215"/>
      <c r="D946" s="215"/>
      <c r="E946" s="215"/>
      <c r="F946" s="215"/>
      <c r="G946" s="215"/>
      <c r="H946" s="215"/>
      <c r="I946" s="215"/>
      <c r="J946" s="215"/>
      <c r="K946" s="215"/>
      <c r="L946" s="215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215"/>
      <c r="Z946" s="215"/>
      <c r="AA946" s="215"/>
      <c r="AB946" s="215"/>
      <c r="AC946" s="215"/>
      <c r="AD946" s="215"/>
      <c r="AE946" s="215"/>
      <c r="AF946" s="215"/>
      <c r="AG946" s="215"/>
    </row>
    <row r="947" spans="1:33" ht="13.2">
      <c r="A947" s="215"/>
      <c r="B947" s="215"/>
      <c r="C947" s="215"/>
      <c r="D947" s="215"/>
      <c r="E947" s="215"/>
      <c r="F947" s="215"/>
      <c r="G947" s="215"/>
      <c r="H947" s="215"/>
      <c r="I947" s="215"/>
      <c r="J947" s="215"/>
      <c r="K947" s="215"/>
      <c r="L947" s="215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215"/>
      <c r="Z947" s="215"/>
      <c r="AA947" s="215"/>
      <c r="AB947" s="215"/>
      <c r="AC947" s="215"/>
      <c r="AD947" s="215"/>
      <c r="AE947" s="215"/>
      <c r="AF947" s="215"/>
      <c r="AG947" s="215"/>
    </row>
    <row r="948" spans="1:33" ht="13.2">
      <c r="A948" s="215"/>
      <c r="B948" s="215"/>
      <c r="C948" s="215"/>
      <c r="D948" s="215"/>
      <c r="E948" s="215"/>
      <c r="F948" s="215"/>
      <c r="G948" s="215"/>
      <c r="H948" s="215"/>
      <c r="I948" s="215"/>
      <c r="J948" s="215"/>
      <c r="K948" s="215"/>
      <c r="L948" s="215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215"/>
      <c r="Z948" s="215"/>
      <c r="AA948" s="215"/>
      <c r="AB948" s="215"/>
      <c r="AC948" s="215"/>
      <c r="AD948" s="215"/>
      <c r="AE948" s="215"/>
      <c r="AF948" s="215"/>
      <c r="AG948" s="215"/>
    </row>
    <row r="949" spans="1:33" ht="13.2">
      <c r="A949" s="215"/>
      <c r="B949" s="215"/>
      <c r="C949" s="215"/>
      <c r="D949" s="215"/>
      <c r="E949" s="215"/>
      <c r="F949" s="215"/>
      <c r="G949" s="215"/>
      <c r="H949" s="215"/>
      <c r="I949" s="215"/>
      <c r="J949" s="215"/>
      <c r="K949" s="215"/>
      <c r="L949" s="215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215"/>
      <c r="Z949" s="215"/>
      <c r="AA949" s="215"/>
      <c r="AB949" s="215"/>
      <c r="AC949" s="215"/>
      <c r="AD949" s="215"/>
      <c r="AE949" s="215"/>
      <c r="AF949" s="215"/>
      <c r="AG949" s="215"/>
    </row>
    <row r="950" spans="1:33" ht="13.2">
      <c r="A950" s="215"/>
      <c r="B950" s="215"/>
      <c r="C950" s="215"/>
      <c r="D950" s="215"/>
      <c r="E950" s="215"/>
      <c r="F950" s="215"/>
      <c r="G950" s="215"/>
      <c r="H950" s="215"/>
      <c r="I950" s="215"/>
      <c r="J950" s="215"/>
      <c r="K950" s="215"/>
      <c r="L950" s="215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215"/>
      <c r="Z950" s="215"/>
      <c r="AA950" s="215"/>
      <c r="AB950" s="215"/>
      <c r="AC950" s="215"/>
      <c r="AD950" s="215"/>
      <c r="AE950" s="215"/>
      <c r="AF950" s="215"/>
      <c r="AG950" s="215"/>
    </row>
    <row r="951" spans="1:33" ht="13.2">
      <c r="A951" s="215"/>
      <c r="B951" s="215"/>
      <c r="C951" s="215"/>
      <c r="D951" s="215"/>
      <c r="E951" s="215"/>
      <c r="F951" s="215"/>
      <c r="G951" s="215"/>
      <c r="H951" s="215"/>
      <c r="I951" s="215"/>
      <c r="J951" s="215"/>
      <c r="K951" s="215"/>
      <c r="L951" s="215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215"/>
      <c r="Z951" s="215"/>
      <c r="AA951" s="215"/>
      <c r="AB951" s="215"/>
      <c r="AC951" s="215"/>
      <c r="AD951" s="215"/>
      <c r="AE951" s="215"/>
      <c r="AF951" s="215"/>
      <c r="AG951" s="215"/>
    </row>
    <row r="952" spans="1:33" ht="13.2">
      <c r="A952" s="215"/>
      <c r="B952" s="215"/>
      <c r="C952" s="215"/>
      <c r="D952" s="215"/>
      <c r="E952" s="215"/>
      <c r="F952" s="215"/>
      <c r="G952" s="215"/>
      <c r="H952" s="215"/>
      <c r="I952" s="215"/>
      <c r="J952" s="215"/>
      <c r="K952" s="215"/>
      <c r="L952" s="215"/>
      <c r="M952" s="215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215"/>
      <c r="Z952" s="215"/>
      <c r="AA952" s="215"/>
      <c r="AB952" s="215"/>
      <c r="AC952" s="215"/>
      <c r="AD952" s="215"/>
      <c r="AE952" s="215"/>
      <c r="AF952" s="215"/>
      <c r="AG952" s="215"/>
    </row>
    <row r="953" spans="1:33" ht="13.2">
      <c r="A953" s="215"/>
      <c r="B953" s="215"/>
      <c r="C953" s="215"/>
      <c r="D953" s="215"/>
      <c r="E953" s="215"/>
      <c r="F953" s="215"/>
      <c r="G953" s="215"/>
      <c r="H953" s="215"/>
      <c r="I953" s="215"/>
      <c r="J953" s="215"/>
      <c r="K953" s="215"/>
      <c r="L953" s="215"/>
      <c r="M953" s="215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215"/>
      <c r="Z953" s="215"/>
      <c r="AA953" s="215"/>
      <c r="AB953" s="215"/>
      <c r="AC953" s="215"/>
      <c r="AD953" s="215"/>
      <c r="AE953" s="215"/>
      <c r="AF953" s="215"/>
      <c r="AG953" s="215"/>
    </row>
    <row r="954" spans="1:33" ht="13.2">
      <c r="A954" s="215"/>
      <c r="B954" s="215"/>
      <c r="C954" s="215"/>
      <c r="D954" s="215"/>
      <c r="E954" s="215"/>
      <c r="F954" s="215"/>
      <c r="G954" s="215"/>
      <c r="H954" s="215"/>
      <c r="I954" s="215"/>
      <c r="J954" s="215"/>
      <c r="K954" s="215"/>
      <c r="L954" s="215"/>
      <c r="M954" s="215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215"/>
      <c r="Z954" s="215"/>
      <c r="AA954" s="215"/>
      <c r="AB954" s="215"/>
      <c r="AC954" s="215"/>
      <c r="AD954" s="215"/>
      <c r="AE954" s="215"/>
      <c r="AF954" s="215"/>
      <c r="AG954" s="215"/>
    </row>
    <row r="955" spans="1:33" ht="13.2">
      <c r="A955" s="215"/>
      <c r="B955" s="215"/>
      <c r="C955" s="215"/>
      <c r="D955" s="215"/>
      <c r="E955" s="215"/>
      <c r="F955" s="215"/>
      <c r="G955" s="215"/>
      <c r="H955" s="215"/>
      <c r="I955" s="215"/>
      <c r="J955" s="215"/>
      <c r="K955" s="215"/>
      <c r="L955" s="215"/>
      <c r="M955" s="215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  <c r="Z955" s="215"/>
      <c r="AA955" s="215"/>
      <c r="AB955" s="215"/>
      <c r="AC955" s="215"/>
      <c r="AD955" s="215"/>
      <c r="AE955" s="215"/>
      <c r="AF955" s="215"/>
      <c r="AG955" s="215"/>
    </row>
    <row r="956" spans="1:33" ht="13.2">
      <c r="A956" s="215"/>
      <c r="B956" s="215"/>
      <c r="C956" s="215"/>
      <c r="D956" s="215"/>
      <c r="E956" s="215"/>
      <c r="F956" s="215"/>
      <c r="G956" s="215"/>
      <c r="H956" s="215"/>
      <c r="I956" s="215"/>
      <c r="J956" s="215"/>
      <c r="K956" s="215"/>
      <c r="L956" s="215"/>
      <c r="M956" s="215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  <c r="Z956" s="215"/>
      <c r="AA956" s="215"/>
      <c r="AB956" s="215"/>
      <c r="AC956" s="215"/>
      <c r="AD956" s="215"/>
      <c r="AE956" s="215"/>
      <c r="AF956" s="215"/>
      <c r="AG956" s="215"/>
    </row>
    <row r="957" spans="1:33" ht="13.2">
      <c r="A957" s="215"/>
      <c r="B957" s="215"/>
      <c r="C957" s="215"/>
      <c r="D957" s="215"/>
      <c r="E957" s="215"/>
      <c r="F957" s="215"/>
      <c r="G957" s="215"/>
      <c r="H957" s="215"/>
      <c r="I957" s="215"/>
      <c r="J957" s="215"/>
      <c r="K957" s="215"/>
      <c r="L957" s="215"/>
      <c r="M957" s="215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  <c r="Z957" s="215"/>
      <c r="AA957" s="215"/>
      <c r="AB957" s="215"/>
      <c r="AC957" s="215"/>
      <c r="AD957" s="215"/>
      <c r="AE957" s="215"/>
      <c r="AF957" s="215"/>
      <c r="AG957" s="215"/>
    </row>
    <row r="958" spans="1:33" ht="13.2">
      <c r="A958" s="215"/>
      <c r="B958" s="215"/>
      <c r="C958" s="215"/>
      <c r="D958" s="215"/>
      <c r="E958" s="215"/>
      <c r="F958" s="215"/>
      <c r="G958" s="215"/>
      <c r="H958" s="215"/>
      <c r="I958" s="215"/>
      <c r="J958" s="215"/>
      <c r="K958" s="215"/>
      <c r="L958" s="215"/>
      <c r="M958" s="215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  <c r="Z958" s="215"/>
      <c r="AA958" s="215"/>
      <c r="AB958" s="215"/>
      <c r="AC958" s="215"/>
      <c r="AD958" s="215"/>
      <c r="AE958" s="215"/>
      <c r="AF958" s="215"/>
      <c r="AG958" s="215"/>
    </row>
    <row r="959" spans="1:33" ht="13.2">
      <c r="A959" s="215"/>
      <c r="B959" s="215"/>
      <c r="C959" s="215"/>
      <c r="D959" s="215"/>
      <c r="E959" s="215"/>
      <c r="F959" s="215"/>
      <c r="G959" s="215"/>
      <c r="H959" s="215"/>
      <c r="I959" s="215"/>
      <c r="J959" s="215"/>
      <c r="K959" s="215"/>
      <c r="L959" s="215"/>
      <c r="M959" s="215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  <c r="Z959" s="215"/>
      <c r="AA959" s="215"/>
      <c r="AB959" s="215"/>
      <c r="AC959" s="215"/>
      <c r="AD959" s="215"/>
      <c r="AE959" s="215"/>
      <c r="AF959" s="215"/>
      <c r="AG959" s="215"/>
    </row>
    <row r="960" spans="1:33" ht="13.2">
      <c r="A960" s="215"/>
      <c r="B960" s="215"/>
      <c r="C960" s="215"/>
      <c r="D960" s="215"/>
      <c r="E960" s="215"/>
      <c r="F960" s="215"/>
      <c r="G960" s="215"/>
      <c r="H960" s="215"/>
      <c r="I960" s="215"/>
      <c r="J960" s="215"/>
      <c r="K960" s="215"/>
      <c r="L960" s="215"/>
      <c r="M960" s="215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  <c r="Z960" s="215"/>
      <c r="AA960" s="215"/>
      <c r="AB960" s="215"/>
      <c r="AC960" s="215"/>
      <c r="AD960" s="215"/>
      <c r="AE960" s="215"/>
      <c r="AF960" s="215"/>
      <c r="AG960" s="215"/>
    </row>
    <row r="961" spans="1:33" ht="13.2">
      <c r="A961" s="215"/>
      <c r="B961" s="215"/>
      <c r="C961" s="215"/>
      <c r="D961" s="215"/>
      <c r="E961" s="215"/>
      <c r="F961" s="215"/>
      <c r="G961" s="215"/>
      <c r="H961" s="215"/>
      <c r="I961" s="215"/>
      <c r="J961" s="215"/>
      <c r="K961" s="215"/>
      <c r="L961" s="215"/>
      <c r="M961" s="215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  <c r="Z961" s="215"/>
      <c r="AA961" s="215"/>
      <c r="AB961" s="215"/>
      <c r="AC961" s="215"/>
      <c r="AD961" s="215"/>
      <c r="AE961" s="215"/>
      <c r="AF961" s="215"/>
      <c r="AG961" s="215"/>
    </row>
    <row r="962" spans="1:33" ht="13.2">
      <c r="A962" s="215"/>
      <c r="B962" s="215"/>
      <c r="C962" s="215"/>
      <c r="D962" s="215"/>
      <c r="E962" s="215"/>
      <c r="F962" s="215"/>
      <c r="G962" s="215"/>
      <c r="H962" s="215"/>
      <c r="I962" s="215"/>
      <c r="J962" s="215"/>
      <c r="K962" s="215"/>
      <c r="L962" s="215"/>
      <c r="M962" s="215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  <c r="Z962" s="215"/>
      <c r="AA962" s="215"/>
      <c r="AB962" s="215"/>
      <c r="AC962" s="215"/>
      <c r="AD962" s="215"/>
      <c r="AE962" s="215"/>
      <c r="AF962" s="215"/>
      <c r="AG962" s="215"/>
    </row>
    <row r="963" spans="1:33" ht="13.2">
      <c r="A963" s="215"/>
      <c r="B963" s="215"/>
      <c r="C963" s="215"/>
      <c r="D963" s="215"/>
      <c r="E963" s="215"/>
      <c r="F963" s="215"/>
      <c r="G963" s="215"/>
      <c r="H963" s="215"/>
      <c r="I963" s="215"/>
      <c r="J963" s="215"/>
      <c r="K963" s="215"/>
      <c r="L963" s="215"/>
      <c r="M963" s="215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215"/>
      <c r="Z963" s="215"/>
      <c r="AA963" s="215"/>
      <c r="AB963" s="215"/>
      <c r="AC963" s="215"/>
      <c r="AD963" s="215"/>
      <c r="AE963" s="215"/>
      <c r="AF963" s="215"/>
      <c r="AG963" s="215"/>
    </row>
    <row r="964" spans="1:33" ht="13.2">
      <c r="A964" s="215"/>
      <c r="B964" s="215"/>
      <c r="C964" s="215"/>
      <c r="D964" s="215"/>
      <c r="E964" s="215"/>
      <c r="F964" s="215"/>
      <c r="G964" s="215"/>
      <c r="H964" s="215"/>
      <c r="I964" s="215"/>
      <c r="J964" s="215"/>
      <c r="K964" s="215"/>
      <c r="L964" s="215"/>
      <c r="M964" s="215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215"/>
      <c r="Z964" s="215"/>
      <c r="AA964" s="215"/>
      <c r="AB964" s="215"/>
      <c r="AC964" s="215"/>
      <c r="AD964" s="215"/>
      <c r="AE964" s="215"/>
      <c r="AF964" s="215"/>
      <c r="AG964" s="215"/>
    </row>
    <row r="965" spans="1:33" ht="13.2">
      <c r="A965" s="215"/>
      <c r="B965" s="215"/>
      <c r="C965" s="215"/>
      <c r="D965" s="215"/>
      <c r="E965" s="215"/>
      <c r="F965" s="215"/>
      <c r="G965" s="215"/>
      <c r="H965" s="215"/>
      <c r="I965" s="215"/>
      <c r="J965" s="215"/>
      <c r="K965" s="215"/>
      <c r="L965" s="215"/>
      <c r="M965" s="215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215"/>
      <c r="Z965" s="215"/>
      <c r="AA965" s="215"/>
      <c r="AB965" s="215"/>
      <c r="AC965" s="215"/>
      <c r="AD965" s="215"/>
      <c r="AE965" s="215"/>
      <c r="AF965" s="215"/>
      <c r="AG965" s="215"/>
    </row>
    <row r="966" spans="1:33" ht="13.2">
      <c r="A966" s="215"/>
      <c r="B966" s="215"/>
      <c r="C966" s="215"/>
      <c r="D966" s="215"/>
      <c r="E966" s="215"/>
      <c r="F966" s="215"/>
      <c r="G966" s="215"/>
      <c r="H966" s="215"/>
      <c r="I966" s="215"/>
      <c r="J966" s="215"/>
      <c r="K966" s="215"/>
      <c r="L966" s="215"/>
      <c r="M966" s="215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215"/>
      <c r="Z966" s="215"/>
      <c r="AA966" s="215"/>
      <c r="AB966" s="215"/>
      <c r="AC966" s="215"/>
      <c r="AD966" s="215"/>
      <c r="AE966" s="215"/>
      <c r="AF966" s="215"/>
      <c r="AG966" s="215"/>
    </row>
    <row r="967" spans="1:33" ht="13.2">
      <c r="A967" s="215"/>
      <c r="B967" s="215"/>
      <c r="C967" s="215"/>
      <c r="D967" s="215"/>
      <c r="E967" s="215"/>
      <c r="F967" s="215"/>
      <c r="G967" s="215"/>
      <c r="H967" s="215"/>
      <c r="I967" s="215"/>
      <c r="J967" s="215"/>
      <c r="K967" s="215"/>
      <c r="L967" s="215"/>
      <c r="M967" s="215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215"/>
      <c r="Z967" s="215"/>
      <c r="AA967" s="215"/>
      <c r="AB967" s="215"/>
      <c r="AC967" s="215"/>
      <c r="AD967" s="215"/>
      <c r="AE967" s="215"/>
      <c r="AF967" s="215"/>
      <c r="AG967" s="215"/>
    </row>
    <row r="968" spans="1:33" ht="13.2">
      <c r="A968" s="215"/>
      <c r="B968" s="215"/>
      <c r="C968" s="215"/>
      <c r="D968" s="215"/>
      <c r="E968" s="215"/>
      <c r="F968" s="215"/>
      <c r="G968" s="215"/>
      <c r="H968" s="215"/>
      <c r="I968" s="215"/>
      <c r="J968" s="215"/>
      <c r="K968" s="215"/>
      <c r="L968" s="215"/>
      <c r="M968" s="215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215"/>
      <c r="Z968" s="215"/>
      <c r="AA968" s="215"/>
      <c r="AB968" s="215"/>
      <c r="AC968" s="215"/>
      <c r="AD968" s="215"/>
      <c r="AE968" s="215"/>
      <c r="AF968" s="215"/>
      <c r="AG968" s="215"/>
    </row>
    <row r="969" spans="1:33" ht="13.2">
      <c r="A969" s="215"/>
      <c r="B969" s="215"/>
      <c r="C969" s="215"/>
      <c r="D969" s="215"/>
      <c r="E969" s="215"/>
      <c r="F969" s="215"/>
      <c r="G969" s="215"/>
      <c r="H969" s="215"/>
      <c r="I969" s="215"/>
      <c r="J969" s="215"/>
      <c r="K969" s="215"/>
      <c r="L969" s="215"/>
      <c r="M969" s="215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215"/>
      <c r="Z969" s="215"/>
      <c r="AA969" s="215"/>
      <c r="AB969" s="215"/>
      <c r="AC969" s="215"/>
      <c r="AD969" s="215"/>
      <c r="AE969" s="215"/>
      <c r="AF969" s="215"/>
      <c r="AG969" s="215"/>
    </row>
    <row r="970" spans="1:33" ht="13.2">
      <c r="A970" s="215"/>
      <c r="B970" s="215"/>
      <c r="C970" s="215"/>
      <c r="D970" s="215"/>
      <c r="E970" s="215"/>
      <c r="F970" s="215"/>
      <c r="G970" s="215"/>
      <c r="H970" s="215"/>
      <c r="I970" s="215"/>
      <c r="J970" s="215"/>
      <c r="K970" s="215"/>
      <c r="L970" s="215"/>
      <c r="M970" s="215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215"/>
      <c r="Z970" s="215"/>
      <c r="AA970" s="215"/>
      <c r="AB970" s="215"/>
      <c r="AC970" s="215"/>
      <c r="AD970" s="215"/>
      <c r="AE970" s="215"/>
      <c r="AF970" s="215"/>
      <c r="AG970" s="215"/>
    </row>
    <row r="971" spans="1:33" ht="13.2">
      <c r="A971" s="215"/>
      <c r="B971" s="215"/>
      <c r="C971" s="215"/>
      <c r="D971" s="215"/>
      <c r="E971" s="215"/>
      <c r="F971" s="215"/>
      <c r="G971" s="215"/>
      <c r="H971" s="215"/>
      <c r="I971" s="215"/>
      <c r="J971" s="215"/>
      <c r="K971" s="215"/>
      <c r="L971" s="215"/>
      <c r="M971" s="215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215"/>
      <c r="Z971" s="215"/>
      <c r="AA971" s="215"/>
      <c r="AB971" s="215"/>
      <c r="AC971" s="215"/>
      <c r="AD971" s="215"/>
      <c r="AE971" s="215"/>
      <c r="AF971" s="215"/>
      <c r="AG971" s="215"/>
    </row>
    <row r="972" spans="1:33" ht="13.2">
      <c r="A972" s="215"/>
      <c r="B972" s="215"/>
      <c r="C972" s="215"/>
      <c r="D972" s="215"/>
      <c r="E972" s="215"/>
      <c r="F972" s="215"/>
      <c r="G972" s="215"/>
      <c r="H972" s="215"/>
      <c r="I972" s="215"/>
      <c r="J972" s="215"/>
      <c r="K972" s="215"/>
      <c r="L972" s="215"/>
      <c r="M972" s="215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215"/>
      <c r="Z972" s="215"/>
      <c r="AA972" s="215"/>
      <c r="AB972" s="215"/>
      <c r="AC972" s="215"/>
      <c r="AD972" s="215"/>
      <c r="AE972" s="215"/>
      <c r="AF972" s="215"/>
      <c r="AG972" s="215"/>
    </row>
    <row r="973" spans="1:33" ht="13.2">
      <c r="A973" s="215"/>
      <c r="B973" s="215"/>
      <c r="C973" s="215"/>
      <c r="D973" s="215"/>
      <c r="E973" s="215"/>
      <c r="F973" s="215"/>
      <c r="G973" s="215"/>
      <c r="H973" s="215"/>
      <c r="I973" s="215"/>
      <c r="J973" s="215"/>
      <c r="K973" s="215"/>
      <c r="L973" s="215"/>
      <c r="M973" s="215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215"/>
      <c r="Z973" s="215"/>
      <c r="AA973" s="215"/>
      <c r="AB973" s="215"/>
      <c r="AC973" s="215"/>
      <c r="AD973" s="215"/>
      <c r="AE973" s="215"/>
      <c r="AF973" s="215"/>
      <c r="AG973" s="215"/>
    </row>
    <row r="974" spans="1:33" ht="13.2">
      <c r="A974" s="215"/>
      <c r="B974" s="215"/>
      <c r="C974" s="215"/>
      <c r="D974" s="215"/>
      <c r="E974" s="215"/>
      <c r="F974" s="215"/>
      <c r="G974" s="215"/>
      <c r="H974" s="215"/>
      <c r="I974" s="215"/>
      <c r="J974" s="215"/>
      <c r="K974" s="215"/>
      <c r="L974" s="215"/>
      <c r="M974" s="215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215"/>
      <c r="Z974" s="215"/>
      <c r="AA974" s="215"/>
      <c r="AB974" s="215"/>
      <c r="AC974" s="215"/>
      <c r="AD974" s="215"/>
      <c r="AE974" s="215"/>
      <c r="AF974" s="215"/>
      <c r="AG974" s="215"/>
    </row>
    <row r="975" spans="1:33" ht="13.2">
      <c r="A975" s="215"/>
      <c r="B975" s="215"/>
      <c r="C975" s="215"/>
      <c r="D975" s="215"/>
      <c r="E975" s="215"/>
      <c r="F975" s="215"/>
      <c r="G975" s="215"/>
      <c r="H975" s="215"/>
      <c r="I975" s="215"/>
      <c r="J975" s="215"/>
      <c r="K975" s="215"/>
      <c r="L975" s="215"/>
      <c r="M975" s="215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215"/>
      <c r="Z975" s="215"/>
      <c r="AA975" s="215"/>
      <c r="AB975" s="215"/>
      <c r="AC975" s="215"/>
      <c r="AD975" s="215"/>
      <c r="AE975" s="215"/>
      <c r="AF975" s="215"/>
      <c r="AG975" s="215"/>
    </row>
    <row r="976" spans="1:33" ht="13.2">
      <c r="A976" s="215"/>
      <c r="B976" s="215"/>
      <c r="C976" s="215"/>
      <c r="D976" s="215"/>
      <c r="E976" s="215"/>
      <c r="F976" s="215"/>
      <c r="G976" s="215"/>
      <c r="H976" s="215"/>
      <c r="I976" s="215"/>
      <c r="J976" s="215"/>
      <c r="K976" s="215"/>
      <c r="L976" s="215"/>
      <c r="M976" s="215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215"/>
      <c r="Z976" s="215"/>
      <c r="AA976" s="215"/>
      <c r="AB976" s="215"/>
      <c r="AC976" s="215"/>
      <c r="AD976" s="215"/>
      <c r="AE976" s="215"/>
      <c r="AF976" s="215"/>
      <c r="AG976" s="215"/>
    </row>
    <row r="977" spans="1:33" ht="13.2">
      <c r="A977" s="215"/>
      <c r="B977" s="215"/>
      <c r="C977" s="215"/>
      <c r="D977" s="215"/>
      <c r="E977" s="215"/>
      <c r="F977" s="215"/>
      <c r="G977" s="215"/>
      <c r="H977" s="215"/>
      <c r="I977" s="215"/>
      <c r="J977" s="215"/>
      <c r="K977" s="215"/>
      <c r="L977" s="215"/>
      <c r="M977" s="215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215"/>
      <c r="Z977" s="215"/>
      <c r="AA977" s="215"/>
      <c r="AB977" s="215"/>
      <c r="AC977" s="215"/>
      <c r="AD977" s="215"/>
      <c r="AE977" s="215"/>
      <c r="AF977" s="215"/>
      <c r="AG977" s="215"/>
    </row>
    <row r="978" spans="1:33" ht="13.2">
      <c r="A978" s="215"/>
      <c r="B978" s="215"/>
      <c r="C978" s="215"/>
      <c r="D978" s="215"/>
      <c r="E978" s="215"/>
      <c r="F978" s="215"/>
      <c r="G978" s="215"/>
      <c r="H978" s="215"/>
      <c r="I978" s="215"/>
      <c r="J978" s="215"/>
      <c r="K978" s="215"/>
      <c r="L978" s="215"/>
      <c r="M978" s="215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215"/>
      <c r="Z978" s="215"/>
      <c r="AA978" s="215"/>
      <c r="AB978" s="215"/>
      <c r="AC978" s="215"/>
      <c r="AD978" s="215"/>
      <c r="AE978" s="215"/>
      <c r="AF978" s="215"/>
      <c r="AG978" s="215"/>
    </row>
    <row r="979" spans="1:33" ht="13.2">
      <c r="A979" s="215"/>
      <c r="B979" s="215"/>
      <c r="C979" s="215"/>
      <c r="D979" s="215"/>
      <c r="E979" s="215"/>
      <c r="F979" s="215"/>
      <c r="G979" s="215"/>
      <c r="H979" s="215"/>
      <c r="I979" s="215"/>
      <c r="J979" s="215"/>
      <c r="K979" s="215"/>
      <c r="L979" s="215"/>
      <c r="M979" s="215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215"/>
      <c r="Z979" s="215"/>
      <c r="AA979" s="215"/>
      <c r="AB979" s="215"/>
      <c r="AC979" s="215"/>
      <c r="AD979" s="215"/>
      <c r="AE979" s="215"/>
      <c r="AF979" s="215"/>
      <c r="AG979" s="215"/>
    </row>
    <row r="980" spans="1:33" ht="13.2">
      <c r="A980" s="215"/>
      <c r="B980" s="215"/>
      <c r="C980" s="215"/>
      <c r="D980" s="215"/>
      <c r="E980" s="215"/>
      <c r="F980" s="215"/>
      <c r="G980" s="215"/>
      <c r="H980" s="215"/>
      <c r="I980" s="215"/>
      <c r="J980" s="215"/>
      <c r="K980" s="215"/>
      <c r="L980" s="215"/>
      <c r="M980" s="215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215"/>
      <c r="Z980" s="215"/>
      <c r="AA980" s="215"/>
      <c r="AB980" s="215"/>
      <c r="AC980" s="215"/>
      <c r="AD980" s="215"/>
      <c r="AE980" s="215"/>
      <c r="AF980" s="215"/>
      <c r="AG980" s="215"/>
    </row>
    <row r="981" spans="1:33" ht="13.2">
      <c r="A981" s="215"/>
      <c r="B981" s="215"/>
      <c r="C981" s="215"/>
      <c r="D981" s="215"/>
      <c r="E981" s="215"/>
      <c r="F981" s="215"/>
      <c r="G981" s="215"/>
      <c r="H981" s="215"/>
      <c r="I981" s="215"/>
      <c r="J981" s="215"/>
      <c r="K981" s="215"/>
      <c r="L981" s="215"/>
      <c r="M981" s="215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215"/>
      <c r="Z981" s="215"/>
      <c r="AA981" s="215"/>
      <c r="AB981" s="215"/>
      <c r="AC981" s="215"/>
      <c r="AD981" s="215"/>
      <c r="AE981" s="215"/>
      <c r="AF981" s="215"/>
      <c r="AG981" s="215"/>
    </row>
    <row r="982" spans="1:33" ht="13.2">
      <c r="A982" s="215"/>
      <c r="B982" s="215"/>
      <c r="C982" s="215"/>
      <c r="D982" s="215"/>
      <c r="E982" s="215"/>
      <c r="F982" s="215"/>
      <c r="G982" s="215"/>
      <c r="H982" s="215"/>
      <c r="I982" s="215"/>
      <c r="J982" s="215"/>
      <c r="K982" s="215"/>
      <c r="L982" s="215"/>
      <c r="M982" s="215"/>
      <c r="N982" s="215"/>
      <c r="O982" s="215"/>
      <c r="P982" s="215"/>
      <c r="Q982" s="215"/>
      <c r="R982" s="215"/>
      <c r="S982" s="215"/>
      <c r="T982" s="215"/>
      <c r="U982" s="215"/>
      <c r="V982" s="215"/>
      <c r="W982" s="215"/>
      <c r="X982" s="215"/>
      <c r="Y982" s="215"/>
      <c r="Z982" s="215"/>
      <c r="AA982" s="215"/>
      <c r="AB982" s="215"/>
      <c r="AC982" s="215"/>
      <c r="AD982" s="215"/>
      <c r="AE982" s="215"/>
      <c r="AF982" s="215"/>
      <c r="AG982" s="215"/>
    </row>
    <row r="983" spans="1:33" ht="13.2">
      <c r="A983" s="215"/>
      <c r="B983" s="215"/>
      <c r="C983" s="215"/>
      <c r="D983" s="215"/>
      <c r="E983" s="215"/>
      <c r="F983" s="215"/>
      <c r="G983" s="215"/>
      <c r="H983" s="215"/>
      <c r="I983" s="215"/>
      <c r="J983" s="215"/>
      <c r="K983" s="215"/>
      <c r="L983" s="215"/>
      <c r="M983" s="215"/>
      <c r="N983" s="215"/>
      <c r="O983" s="215"/>
      <c r="P983" s="215"/>
      <c r="Q983" s="215"/>
      <c r="R983" s="215"/>
      <c r="S983" s="215"/>
      <c r="T983" s="215"/>
      <c r="U983" s="215"/>
      <c r="V983" s="215"/>
      <c r="W983" s="215"/>
      <c r="X983" s="215"/>
      <c r="Y983" s="215"/>
      <c r="Z983" s="215"/>
      <c r="AA983" s="215"/>
      <c r="AB983" s="215"/>
      <c r="AC983" s="215"/>
      <c r="AD983" s="215"/>
      <c r="AE983" s="215"/>
      <c r="AF983" s="215"/>
      <c r="AG983" s="215"/>
    </row>
    <row r="984" spans="1:33" ht="13.2">
      <c r="A984" s="215"/>
      <c r="B984" s="215"/>
      <c r="C984" s="215"/>
      <c r="D984" s="215"/>
      <c r="E984" s="215"/>
      <c r="F984" s="215"/>
      <c r="G984" s="215"/>
      <c r="H984" s="215"/>
      <c r="I984" s="215"/>
      <c r="J984" s="215"/>
      <c r="K984" s="215"/>
      <c r="L984" s="215"/>
      <c r="M984" s="215"/>
      <c r="N984" s="215"/>
      <c r="O984" s="215"/>
      <c r="P984" s="215"/>
      <c r="Q984" s="215"/>
      <c r="R984" s="215"/>
      <c r="S984" s="215"/>
      <c r="T984" s="215"/>
      <c r="U984" s="215"/>
      <c r="V984" s="215"/>
      <c r="W984" s="215"/>
      <c r="X984" s="215"/>
      <c r="Y984" s="215"/>
      <c r="Z984" s="215"/>
      <c r="AA984" s="215"/>
      <c r="AB984" s="215"/>
      <c r="AC984" s="215"/>
      <c r="AD984" s="215"/>
      <c r="AE984" s="215"/>
      <c r="AF984" s="215"/>
      <c r="AG984" s="215"/>
    </row>
    <row r="985" spans="1:33" ht="13.2">
      <c r="A985" s="215"/>
      <c r="B985" s="215"/>
      <c r="C985" s="215"/>
      <c r="D985" s="215"/>
      <c r="E985" s="215"/>
      <c r="F985" s="215"/>
      <c r="G985" s="215"/>
      <c r="H985" s="215"/>
      <c r="I985" s="215"/>
      <c r="J985" s="215"/>
      <c r="K985" s="215"/>
      <c r="L985" s="215"/>
      <c r="M985" s="215"/>
      <c r="N985" s="215"/>
      <c r="O985" s="215"/>
      <c r="P985" s="215"/>
      <c r="Q985" s="215"/>
      <c r="R985" s="215"/>
      <c r="S985" s="215"/>
      <c r="T985" s="215"/>
      <c r="U985" s="215"/>
      <c r="V985" s="215"/>
      <c r="W985" s="215"/>
      <c r="X985" s="215"/>
      <c r="Y985" s="215"/>
      <c r="Z985" s="215"/>
      <c r="AA985" s="215"/>
      <c r="AB985" s="215"/>
      <c r="AC985" s="215"/>
      <c r="AD985" s="215"/>
      <c r="AE985" s="215"/>
      <c r="AF985" s="215"/>
      <c r="AG985" s="215"/>
    </row>
    <row r="986" spans="1:33" ht="13.2">
      <c r="A986" s="215"/>
      <c r="B986" s="215"/>
      <c r="C986" s="215"/>
      <c r="D986" s="215"/>
      <c r="E986" s="215"/>
      <c r="F986" s="215"/>
      <c r="G986" s="215"/>
      <c r="H986" s="215"/>
      <c r="I986" s="215"/>
      <c r="J986" s="215"/>
      <c r="K986" s="215"/>
      <c r="L986" s="215"/>
      <c r="M986" s="215"/>
      <c r="N986" s="215"/>
      <c r="O986" s="215"/>
      <c r="P986" s="215"/>
      <c r="Q986" s="215"/>
      <c r="R986" s="215"/>
      <c r="S986" s="215"/>
      <c r="T986" s="215"/>
      <c r="U986" s="215"/>
      <c r="V986" s="215"/>
      <c r="W986" s="215"/>
      <c r="X986" s="215"/>
      <c r="Y986" s="215"/>
      <c r="Z986" s="215"/>
      <c r="AA986" s="215"/>
      <c r="AB986" s="215"/>
      <c r="AC986" s="215"/>
      <c r="AD986" s="215"/>
      <c r="AE986" s="215"/>
      <c r="AF986" s="215"/>
      <c r="AG986" s="215"/>
    </row>
    <row r="987" spans="1:33" ht="13.2">
      <c r="A987" s="215"/>
      <c r="B987" s="215"/>
      <c r="C987" s="215"/>
      <c r="D987" s="215"/>
      <c r="E987" s="215"/>
      <c r="F987" s="215"/>
      <c r="G987" s="215"/>
      <c r="H987" s="215"/>
      <c r="I987" s="215"/>
      <c r="J987" s="215"/>
      <c r="K987" s="215"/>
      <c r="L987" s="215"/>
      <c r="M987" s="215"/>
      <c r="N987" s="215"/>
      <c r="O987" s="215"/>
      <c r="P987" s="215"/>
      <c r="Q987" s="215"/>
      <c r="R987" s="215"/>
      <c r="S987" s="215"/>
      <c r="T987" s="215"/>
      <c r="U987" s="215"/>
      <c r="V987" s="215"/>
      <c r="W987" s="215"/>
      <c r="X987" s="215"/>
      <c r="Y987" s="215"/>
      <c r="Z987" s="215"/>
      <c r="AA987" s="215"/>
      <c r="AB987" s="215"/>
      <c r="AC987" s="215"/>
      <c r="AD987" s="215"/>
      <c r="AE987" s="215"/>
      <c r="AF987" s="215"/>
      <c r="AG987" s="215"/>
    </row>
    <row r="988" spans="1:33" ht="13.2">
      <c r="A988" s="215"/>
      <c r="B988" s="215"/>
      <c r="C988" s="215"/>
      <c r="D988" s="215"/>
      <c r="E988" s="215"/>
      <c r="F988" s="215"/>
      <c r="G988" s="215"/>
      <c r="H988" s="215"/>
      <c r="I988" s="215"/>
      <c r="J988" s="215"/>
      <c r="K988" s="215"/>
      <c r="L988" s="215"/>
      <c r="M988" s="215"/>
      <c r="N988" s="215"/>
      <c r="O988" s="215"/>
      <c r="P988" s="215"/>
      <c r="Q988" s="215"/>
      <c r="R988" s="215"/>
      <c r="S988" s="215"/>
      <c r="T988" s="215"/>
      <c r="U988" s="215"/>
      <c r="V988" s="215"/>
      <c r="W988" s="215"/>
      <c r="X988" s="215"/>
      <c r="Y988" s="215"/>
      <c r="Z988" s="215"/>
      <c r="AA988" s="215"/>
      <c r="AB988" s="215"/>
      <c r="AC988" s="215"/>
      <c r="AD988" s="215"/>
      <c r="AE988" s="215"/>
      <c r="AF988" s="215"/>
      <c r="AG988" s="215"/>
    </row>
    <row r="989" spans="1:33" ht="13.2">
      <c r="A989" s="215"/>
      <c r="B989" s="215"/>
      <c r="C989" s="215"/>
      <c r="D989" s="215"/>
      <c r="E989" s="215"/>
      <c r="F989" s="215"/>
      <c r="G989" s="215"/>
      <c r="H989" s="215"/>
      <c r="I989" s="215"/>
      <c r="J989" s="215"/>
      <c r="K989" s="215"/>
      <c r="L989" s="215"/>
      <c r="M989" s="215"/>
      <c r="N989" s="215"/>
      <c r="O989" s="215"/>
      <c r="P989" s="215"/>
      <c r="Q989" s="215"/>
      <c r="R989" s="215"/>
      <c r="S989" s="215"/>
      <c r="T989" s="215"/>
      <c r="U989" s="215"/>
      <c r="V989" s="215"/>
      <c r="W989" s="215"/>
      <c r="X989" s="215"/>
      <c r="Y989" s="215"/>
      <c r="Z989" s="215"/>
      <c r="AA989" s="215"/>
      <c r="AB989" s="215"/>
      <c r="AC989" s="215"/>
      <c r="AD989" s="215"/>
      <c r="AE989" s="215"/>
      <c r="AF989" s="215"/>
      <c r="AG989" s="215"/>
    </row>
    <row r="990" spans="1:33" ht="13.2">
      <c r="A990" s="215"/>
      <c r="B990" s="215"/>
      <c r="C990" s="215"/>
      <c r="D990" s="215"/>
      <c r="E990" s="215"/>
      <c r="F990" s="215"/>
      <c r="G990" s="215"/>
      <c r="H990" s="215"/>
      <c r="I990" s="215"/>
      <c r="J990" s="215"/>
      <c r="K990" s="215"/>
      <c r="L990" s="215"/>
      <c r="M990" s="215"/>
      <c r="N990" s="215"/>
      <c r="O990" s="215"/>
      <c r="P990" s="215"/>
      <c r="Q990" s="215"/>
      <c r="R990" s="215"/>
      <c r="S990" s="215"/>
      <c r="T990" s="215"/>
      <c r="U990" s="215"/>
      <c r="V990" s="215"/>
      <c r="W990" s="215"/>
      <c r="X990" s="215"/>
      <c r="Y990" s="215"/>
      <c r="Z990" s="215"/>
      <c r="AA990" s="215"/>
      <c r="AB990" s="215"/>
      <c r="AC990" s="215"/>
      <c r="AD990" s="215"/>
      <c r="AE990" s="215"/>
      <c r="AF990" s="215"/>
      <c r="AG990" s="215"/>
    </row>
    <row r="991" spans="1:33" ht="13.2">
      <c r="A991" s="215"/>
      <c r="B991" s="215"/>
      <c r="C991" s="215"/>
      <c r="D991" s="215"/>
      <c r="E991" s="215"/>
      <c r="F991" s="215"/>
      <c r="G991" s="215"/>
      <c r="H991" s="215"/>
      <c r="I991" s="215"/>
      <c r="J991" s="215"/>
      <c r="K991" s="215"/>
      <c r="L991" s="215"/>
      <c r="M991" s="215"/>
      <c r="N991" s="215"/>
      <c r="O991" s="215"/>
      <c r="P991" s="215"/>
      <c r="Q991" s="215"/>
      <c r="R991" s="215"/>
      <c r="S991" s="215"/>
      <c r="T991" s="215"/>
      <c r="U991" s="215"/>
      <c r="V991" s="215"/>
      <c r="W991" s="215"/>
      <c r="X991" s="215"/>
      <c r="Y991" s="215"/>
      <c r="Z991" s="215"/>
      <c r="AA991" s="215"/>
      <c r="AB991" s="215"/>
      <c r="AC991" s="215"/>
      <c r="AD991" s="215"/>
      <c r="AE991" s="215"/>
      <c r="AF991" s="215"/>
      <c r="AG991" s="215"/>
    </row>
    <row r="992" spans="1:33" ht="13.2">
      <c r="A992" s="215"/>
      <c r="B992" s="215"/>
      <c r="C992" s="215"/>
      <c r="D992" s="215"/>
      <c r="E992" s="215"/>
      <c r="F992" s="215"/>
      <c r="G992" s="215"/>
      <c r="H992" s="215"/>
      <c r="I992" s="215"/>
      <c r="J992" s="215"/>
      <c r="K992" s="215"/>
      <c r="L992" s="215"/>
      <c r="M992" s="215"/>
      <c r="N992" s="215"/>
      <c r="O992" s="215"/>
      <c r="P992" s="215"/>
      <c r="Q992" s="215"/>
      <c r="R992" s="215"/>
      <c r="S992" s="215"/>
      <c r="T992" s="215"/>
      <c r="U992" s="215"/>
      <c r="V992" s="215"/>
      <c r="W992" s="215"/>
      <c r="X992" s="215"/>
      <c r="Y992" s="215"/>
      <c r="Z992" s="215"/>
      <c r="AA992" s="215"/>
      <c r="AB992" s="215"/>
      <c r="AC992" s="215"/>
      <c r="AD992" s="215"/>
      <c r="AE992" s="215"/>
      <c r="AF992" s="215"/>
      <c r="AG992" s="215"/>
    </row>
    <row r="993" spans="1:33" ht="13.2">
      <c r="A993" s="215"/>
      <c r="B993" s="215"/>
      <c r="C993" s="215"/>
      <c r="D993" s="215"/>
      <c r="E993" s="215"/>
      <c r="F993" s="215"/>
      <c r="G993" s="215"/>
      <c r="H993" s="215"/>
      <c r="I993" s="215"/>
      <c r="J993" s="215"/>
      <c r="K993" s="215"/>
      <c r="L993" s="215"/>
      <c r="M993" s="215"/>
      <c r="N993" s="215"/>
      <c r="O993" s="215"/>
      <c r="P993" s="215"/>
      <c r="Q993" s="215"/>
      <c r="R993" s="215"/>
      <c r="S993" s="215"/>
      <c r="T993" s="215"/>
      <c r="U993" s="215"/>
      <c r="V993" s="215"/>
      <c r="W993" s="215"/>
      <c r="X993" s="215"/>
      <c r="Y993" s="215"/>
      <c r="Z993" s="215"/>
      <c r="AA993" s="215"/>
      <c r="AB993" s="215"/>
      <c r="AC993" s="215"/>
      <c r="AD993" s="215"/>
      <c r="AE993" s="215"/>
      <c r="AF993" s="215"/>
      <c r="AG993" s="215"/>
    </row>
    <row r="994" spans="1:33" ht="13.2">
      <c r="A994" s="215"/>
      <c r="B994" s="215"/>
      <c r="C994" s="215"/>
      <c r="D994" s="215"/>
      <c r="E994" s="215"/>
      <c r="F994" s="215"/>
      <c r="G994" s="215"/>
      <c r="H994" s="215"/>
      <c r="I994" s="215"/>
      <c r="J994" s="215"/>
      <c r="K994" s="215"/>
      <c r="L994" s="215"/>
      <c r="M994" s="215"/>
      <c r="N994" s="215"/>
      <c r="O994" s="215"/>
      <c r="P994" s="215"/>
      <c r="Q994" s="215"/>
      <c r="R994" s="215"/>
      <c r="S994" s="215"/>
      <c r="T994" s="215"/>
      <c r="U994" s="215"/>
      <c r="V994" s="215"/>
      <c r="W994" s="215"/>
      <c r="X994" s="215"/>
      <c r="Y994" s="215"/>
      <c r="Z994" s="215"/>
      <c r="AA994" s="215"/>
      <c r="AB994" s="215"/>
      <c r="AC994" s="215"/>
      <c r="AD994" s="215"/>
      <c r="AE994" s="215"/>
      <c r="AF994" s="215"/>
      <c r="AG994" s="215"/>
    </row>
    <row r="995" spans="1:33" ht="13.2">
      <c r="A995" s="215"/>
      <c r="B995" s="215"/>
      <c r="C995" s="215"/>
      <c r="D995" s="215"/>
      <c r="E995" s="215"/>
      <c r="F995" s="215"/>
      <c r="G995" s="215"/>
      <c r="H995" s="215"/>
      <c r="I995" s="215"/>
      <c r="J995" s="215"/>
      <c r="K995" s="215"/>
      <c r="L995" s="215"/>
      <c r="M995" s="215"/>
      <c r="N995" s="215"/>
      <c r="O995" s="215"/>
      <c r="P995" s="215"/>
      <c r="Q995" s="215"/>
      <c r="R995" s="215"/>
      <c r="S995" s="215"/>
      <c r="T995" s="215"/>
      <c r="U995" s="215"/>
      <c r="V995" s="215"/>
      <c r="W995" s="215"/>
      <c r="X995" s="215"/>
      <c r="Y995" s="215"/>
      <c r="Z995" s="215"/>
      <c r="AA995" s="215"/>
      <c r="AB995" s="215"/>
      <c r="AC995" s="215"/>
      <c r="AD995" s="215"/>
      <c r="AE995" s="215"/>
      <c r="AF995" s="215"/>
      <c r="AG995" s="215"/>
    </row>
    <row r="996" spans="1:33" ht="13.2">
      <c r="A996" s="215"/>
      <c r="B996" s="215"/>
      <c r="C996" s="215"/>
      <c r="D996" s="215"/>
      <c r="E996" s="215"/>
      <c r="F996" s="215"/>
      <c r="G996" s="215"/>
      <c r="H996" s="215"/>
      <c r="I996" s="215"/>
      <c r="J996" s="215"/>
      <c r="K996" s="215"/>
      <c r="L996" s="215"/>
      <c r="M996" s="215"/>
      <c r="N996" s="215"/>
      <c r="O996" s="215"/>
      <c r="P996" s="215"/>
      <c r="Q996" s="215"/>
      <c r="R996" s="215"/>
      <c r="S996" s="215"/>
      <c r="T996" s="215"/>
      <c r="U996" s="215"/>
      <c r="V996" s="215"/>
      <c r="W996" s="215"/>
      <c r="X996" s="215"/>
      <c r="Y996" s="215"/>
      <c r="Z996" s="215"/>
      <c r="AA996" s="215"/>
      <c r="AB996" s="215"/>
      <c r="AC996" s="215"/>
      <c r="AD996" s="215"/>
      <c r="AE996" s="215"/>
      <c r="AF996" s="215"/>
      <c r="AG996" s="215"/>
    </row>
    <row r="997" spans="1:33" ht="13.2">
      <c r="A997" s="215"/>
      <c r="B997" s="215"/>
      <c r="C997" s="215"/>
      <c r="D997" s="215"/>
      <c r="E997" s="215"/>
      <c r="F997" s="215"/>
      <c r="G997" s="215"/>
      <c r="H997" s="215"/>
      <c r="I997" s="215"/>
      <c r="J997" s="215"/>
      <c r="K997" s="215"/>
      <c r="L997" s="215"/>
      <c r="M997" s="215"/>
      <c r="N997" s="215"/>
      <c r="O997" s="215"/>
      <c r="P997" s="215"/>
      <c r="Q997" s="215"/>
      <c r="R997" s="215"/>
      <c r="S997" s="215"/>
      <c r="T997" s="215"/>
      <c r="U997" s="215"/>
      <c r="V997" s="215"/>
      <c r="W997" s="215"/>
      <c r="X997" s="215"/>
      <c r="Y997" s="215"/>
      <c r="Z997" s="215"/>
      <c r="AA997" s="215"/>
      <c r="AB997" s="215"/>
      <c r="AC997" s="215"/>
      <c r="AD997" s="215"/>
      <c r="AE997" s="215"/>
      <c r="AF997" s="215"/>
      <c r="AG997" s="215"/>
    </row>
    <row r="998" spans="1:33" ht="13.2">
      <c r="A998" s="215"/>
      <c r="B998" s="215"/>
      <c r="C998" s="215"/>
      <c r="D998" s="215"/>
      <c r="E998" s="215"/>
      <c r="F998" s="215"/>
      <c r="G998" s="215"/>
      <c r="H998" s="215"/>
      <c r="I998" s="215"/>
      <c r="J998" s="215"/>
      <c r="K998" s="215"/>
      <c r="L998" s="215"/>
      <c r="M998" s="215"/>
      <c r="N998" s="215"/>
      <c r="O998" s="215"/>
      <c r="P998" s="215"/>
      <c r="Q998" s="215"/>
      <c r="R998" s="215"/>
      <c r="S998" s="215"/>
      <c r="T998" s="215"/>
      <c r="U998" s="215"/>
      <c r="V998" s="215"/>
      <c r="W998" s="215"/>
      <c r="X998" s="215"/>
      <c r="Y998" s="215"/>
      <c r="Z998" s="215"/>
      <c r="AA998" s="215"/>
      <c r="AB998" s="215"/>
      <c r="AC998" s="215"/>
      <c r="AD998" s="215"/>
      <c r="AE998" s="215"/>
      <c r="AF998" s="215"/>
      <c r="AG998" s="215"/>
    </row>
    <row r="999" spans="1:33" ht="13.2">
      <c r="A999" s="215"/>
      <c r="B999" s="215"/>
      <c r="C999" s="215"/>
      <c r="D999" s="215"/>
      <c r="E999" s="215"/>
      <c r="F999" s="215"/>
      <c r="G999" s="215"/>
      <c r="H999" s="215"/>
      <c r="I999" s="215"/>
      <c r="J999" s="215"/>
      <c r="K999" s="215"/>
      <c r="L999" s="215"/>
      <c r="M999" s="215"/>
      <c r="N999" s="215"/>
      <c r="O999" s="215"/>
      <c r="P999" s="215"/>
      <c r="Q999" s="215"/>
      <c r="R999" s="215"/>
      <c r="S999" s="215"/>
      <c r="T999" s="215"/>
      <c r="U999" s="215"/>
      <c r="V999" s="215"/>
      <c r="W999" s="215"/>
      <c r="X999" s="215"/>
      <c r="Y999" s="215"/>
      <c r="Z999" s="215"/>
      <c r="AA999" s="215"/>
      <c r="AB999" s="215"/>
      <c r="AC999" s="215"/>
      <c r="AD999" s="215"/>
      <c r="AE999" s="215"/>
      <c r="AF999" s="215"/>
      <c r="AG999" s="215"/>
    </row>
    <row r="1000" spans="1:33" ht="13.2">
      <c r="A1000" s="215"/>
      <c r="B1000" s="215"/>
      <c r="C1000" s="215"/>
      <c r="D1000" s="215"/>
      <c r="E1000" s="215"/>
      <c r="F1000" s="215"/>
      <c r="G1000" s="215"/>
      <c r="H1000" s="215"/>
      <c r="I1000" s="215"/>
      <c r="J1000" s="215"/>
      <c r="K1000" s="215"/>
      <c r="L1000" s="215"/>
      <c r="M1000" s="215"/>
      <c r="N1000" s="215"/>
      <c r="O1000" s="215"/>
      <c r="P1000" s="215"/>
      <c r="Q1000" s="215"/>
      <c r="R1000" s="215"/>
      <c r="S1000" s="215"/>
      <c r="T1000" s="215"/>
      <c r="U1000" s="215"/>
      <c r="V1000" s="215"/>
      <c r="W1000" s="215"/>
      <c r="X1000" s="215"/>
      <c r="Y1000" s="215"/>
      <c r="Z1000" s="215"/>
      <c r="AA1000" s="215"/>
      <c r="AB1000" s="215"/>
      <c r="AC1000" s="215"/>
      <c r="AD1000" s="215"/>
      <c r="AE1000" s="215"/>
      <c r="AF1000" s="215"/>
      <c r="AG1000" s="215"/>
    </row>
    <row r="1001" spans="1:33" ht="13.2">
      <c r="A1001" s="215"/>
      <c r="B1001" s="215"/>
      <c r="C1001" s="215"/>
      <c r="D1001" s="215"/>
      <c r="E1001" s="215"/>
      <c r="F1001" s="215"/>
      <c r="G1001" s="215"/>
      <c r="H1001" s="215"/>
      <c r="I1001" s="215"/>
      <c r="J1001" s="215"/>
      <c r="K1001" s="215"/>
      <c r="L1001" s="215"/>
      <c r="M1001" s="215"/>
      <c r="N1001" s="215"/>
      <c r="O1001" s="215"/>
      <c r="P1001" s="215"/>
      <c r="Q1001" s="215"/>
      <c r="R1001" s="215"/>
      <c r="S1001" s="215"/>
      <c r="T1001" s="215"/>
      <c r="U1001" s="215"/>
      <c r="V1001" s="215"/>
      <c r="W1001" s="215"/>
      <c r="X1001" s="215"/>
      <c r="Y1001" s="215"/>
      <c r="Z1001" s="215"/>
      <c r="AA1001" s="215"/>
      <c r="AB1001" s="215"/>
      <c r="AC1001" s="215"/>
      <c r="AD1001" s="215"/>
      <c r="AE1001" s="215"/>
      <c r="AF1001" s="215"/>
      <c r="AG1001" s="215"/>
    </row>
    <row r="1002" spans="1:33" ht="13.2">
      <c r="A1002" s="215"/>
      <c r="B1002" s="215"/>
      <c r="C1002" s="215"/>
      <c r="D1002" s="215"/>
      <c r="E1002" s="215"/>
      <c r="F1002" s="215"/>
      <c r="G1002" s="215"/>
      <c r="H1002" s="215"/>
      <c r="I1002" s="215"/>
      <c r="J1002" s="215"/>
      <c r="K1002" s="215"/>
      <c r="L1002" s="215"/>
      <c r="M1002" s="215"/>
      <c r="N1002" s="215"/>
      <c r="O1002" s="215"/>
      <c r="P1002" s="215"/>
      <c r="Q1002" s="215"/>
      <c r="R1002" s="215"/>
      <c r="S1002" s="215"/>
      <c r="T1002" s="215"/>
      <c r="U1002" s="215"/>
      <c r="V1002" s="215"/>
      <c r="W1002" s="215"/>
      <c r="X1002" s="215"/>
      <c r="Y1002" s="215"/>
      <c r="Z1002" s="215"/>
      <c r="AA1002" s="215"/>
      <c r="AB1002" s="215"/>
      <c r="AC1002" s="215"/>
      <c r="AD1002" s="215"/>
      <c r="AE1002" s="215"/>
      <c r="AF1002" s="215"/>
      <c r="AG1002" s="215"/>
    </row>
    <row r="1003" spans="1:33" ht="13.2">
      <c r="A1003" s="215"/>
      <c r="B1003" s="215"/>
      <c r="C1003" s="215"/>
      <c r="D1003" s="215"/>
      <c r="E1003" s="215"/>
      <c r="F1003" s="215"/>
      <c r="G1003" s="215"/>
      <c r="H1003" s="215"/>
      <c r="I1003" s="215"/>
      <c r="J1003" s="215"/>
      <c r="K1003" s="215"/>
      <c r="L1003" s="215"/>
      <c r="M1003" s="215"/>
      <c r="N1003" s="215"/>
      <c r="O1003" s="215"/>
      <c r="P1003" s="215"/>
      <c r="Q1003" s="215"/>
      <c r="R1003" s="215"/>
      <c r="S1003" s="215"/>
      <c r="T1003" s="215"/>
      <c r="U1003" s="215"/>
      <c r="V1003" s="215"/>
      <c r="W1003" s="215"/>
      <c r="X1003" s="215"/>
      <c r="Y1003" s="215"/>
      <c r="Z1003" s="215"/>
      <c r="AA1003" s="215"/>
      <c r="AB1003" s="215"/>
      <c r="AC1003" s="215"/>
      <c r="AD1003" s="215"/>
      <c r="AE1003" s="215"/>
      <c r="AF1003" s="215"/>
      <c r="AG1003" s="215"/>
    </row>
    <row r="1004" spans="1:33" ht="13.2">
      <c r="A1004" s="215"/>
      <c r="B1004" s="215"/>
      <c r="C1004" s="215"/>
      <c r="D1004" s="215"/>
      <c r="E1004" s="215"/>
      <c r="F1004" s="215"/>
      <c r="G1004" s="215"/>
      <c r="H1004" s="215"/>
      <c r="I1004" s="215"/>
      <c r="J1004" s="215"/>
      <c r="K1004" s="215"/>
      <c r="L1004" s="215"/>
      <c r="M1004" s="215"/>
      <c r="N1004" s="215"/>
      <c r="O1004" s="215"/>
      <c r="P1004" s="215"/>
      <c r="Q1004" s="215"/>
      <c r="R1004" s="215"/>
      <c r="S1004" s="215"/>
      <c r="T1004" s="215"/>
      <c r="U1004" s="215"/>
      <c r="V1004" s="215"/>
      <c r="W1004" s="215"/>
      <c r="X1004" s="215"/>
      <c r="Y1004" s="215"/>
      <c r="Z1004" s="215"/>
      <c r="AA1004" s="215"/>
      <c r="AB1004" s="215"/>
      <c r="AC1004" s="215"/>
      <c r="AD1004" s="215"/>
      <c r="AE1004" s="215"/>
      <c r="AF1004" s="215"/>
      <c r="AG1004" s="215"/>
    </row>
    <row r="1005" spans="1:33" ht="13.2">
      <c r="A1005" s="215"/>
      <c r="B1005" s="215"/>
      <c r="C1005" s="215"/>
      <c r="D1005" s="215"/>
      <c r="E1005" s="215"/>
      <c r="F1005" s="215"/>
      <c r="G1005" s="215"/>
      <c r="H1005" s="215"/>
      <c r="I1005" s="215"/>
      <c r="J1005" s="215"/>
      <c r="K1005" s="215"/>
      <c r="L1005" s="215"/>
      <c r="M1005" s="215"/>
      <c r="N1005" s="215"/>
      <c r="O1005" s="215"/>
      <c r="P1005" s="215"/>
      <c r="Q1005" s="215"/>
      <c r="R1005" s="215"/>
      <c r="S1005" s="215"/>
      <c r="T1005" s="215"/>
      <c r="U1005" s="215"/>
      <c r="V1005" s="215"/>
      <c r="W1005" s="215"/>
      <c r="X1005" s="215"/>
      <c r="Y1005" s="215"/>
      <c r="Z1005" s="215"/>
      <c r="AA1005" s="215"/>
      <c r="AB1005" s="215"/>
      <c r="AC1005" s="215"/>
      <c r="AD1005" s="215"/>
      <c r="AE1005" s="215"/>
      <c r="AF1005" s="215"/>
      <c r="AG1005" s="215"/>
    </row>
    <row r="1006" spans="1:33" ht="13.2">
      <c r="A1006" s="215"/>
      <c r="B1006" s="215"/>
      <c r="C1006" s="215"/>
      <c r="D1006" s="215"/>
      <c r="E1006" s="215"/>
      <c r="F1006" s="215"/>
      <c r="G1006" s="215"/>
      <c r="H1006" s="215"/>
      <c r="I1006" s="215"/>
      <c r="J1006" s="215"/>
      <c r="K1006" s="215"/>
      <c r="L1006" s="215"/>
      <c r="M1006" s="215"/>
      <c r="N1006" s="215"/>
      <c r="O1006" s="215"/>
      <c r="P1006" s="215"/>
      <c r="Q1006" s="215"/>
      <c r="R1006" s="215"/>
      <c r="S1006" s="215"/>
      <c r="T1006" s="215"/>
      <c r="U1006" s="215"/>
      <c r="V1006" s="215"/>
      <c r="W1006" s="215"/>
      <c r="X1006" s="215"/>
      <c r="Y1006" s="215"/>
      <c r="Z1006" s="215"/>
      <c r="AA1006" s="215"/>
      <c r="AB1006" s="215"/>
      <c r="AC1006" s="215"/>
      <c r="AD1006" s="215"/>
      <c r="AE1006" s="215"/>
      <c r="AF1006" s="215"/>
      <c r="AG1006" s="215"/>
    </row>
    <row r="1007" spans="1:33" ht="13.2">
      <c r="A1007" s="215"/>
      <c r="B1007" s="215"/>
      <c r="C1007" s="215"/>
      <c r="D1007" s="215"/>
      <c r="E1007" s="215"/>
      <c r="F1007" s="215"/>
      <c r="G1007" s="215"/>
      <c r="H1007" s="215"/>
      <c r="I1007" s="215"/>
      <c r="J1007" s="215"/>
      <c r="K1007" s="215"/>
      <c r="L1007" s="215"/>
      <c r="M1007" s="215"/>
      <c r="N1007" s="215"/>
      <c r="O1007" s="215"/>
      <c r="P1007" s="215"/>
      <c r="Q1007" s="215"/>
      <c r="R1007" s="215"/>
      <c r="S1007" s="215"/>
      <c r="T1007" s="215"/>
      <c r="U1007" s="215"/>
      <c r="V1007" s="215"/>
      <c r="W1007" s="215"/>
      <c r="X1007" s="215"/>
      <c r="Y1007" s="215"/>
      <c r="Z1007" s="215"/>
      <c r="AA1007" s="215"/>
      <c r="AB1007" s="215"/>
      <c r="AC1007" s="215"/>
      <c r="AD1007" s="215"/>
      <c r="AE1007" s="215"/>
      <c r="AF1007" s="215"/>
      <c r="AG1007" s="215"/>
    </row>
    <row r="1008" spans="1:33" ht="13.2">
      <c r="A1008" s="215"/>
      <c r="B1008" s="215"/>
      <c r="C1008" s="215"/>
      <c r="D1008" s="215"/>
      <c r="E1008" s="215"/>
      <c r="F1008" s="215"/>
      <c r="G1008" s="215"/>
      <c r="H1008" s="215"/>
      <c r="I1008" s="215"/>
      <c r="J1008" s="215"/>
      <c r="K1008" s="215"/>
      <c r="L1008" s="215"/>
      <c r="M1008" s="215"/>
      <c r="N1008" s="215"/>
      <c r="O1008" s="215"/>
      <c r="P1008" s="215"/>
      <c r="Q1008" s="215"/>
      <c r="R1008" s="215"/>
      <c r="S1008" s="215"/>
      <c r="T1008" s="215"/>
      <c r="U1008" s="215"/>
      <c r="V1008" s="215"/>
      <c r="W1008" s="215"/>
      <c r="X1008" s="215"/>
      <c r="Y1008" s="215"/>
      <c r="Z1008" s="215"/>
      <c r="AA1008" s="215"/>
      <c r="AB1008" s="215"/>
      <c r="AC1008" s="215"/>
      <c r="AD1008" s="215"/>
      <c r="AE1008" s="215"/>
      <c r="AF1008" s="215"/>
      <c r="AG1008" s="215"/>
    </row>
    <row r="1009" spans="1:33" ht="13.2">
      <c r="A1009" s="215"/>
      <c r="B1009" s="215"/>
      <c r="C1009" s="215"/>
      <c r="D1009" s="215"/>
      <c r="E1009" s="215"/>
      <c r="F1009" s="215"/>
      <c r="G1009" s="215"/>
      <c r="H1009" s="215"/>
      <c r="I1009" s="215"/>
      <c r="J1009" s="215"/>
      <c r="K1009" s="215"/>
      <c r="L1009" s="215"/>
      <c r="M1009" s="215"/>
      <c r="N1009" s="215"/>
      <c r="O1009" s="215"/>
      <c r="P1009" s="215"/>
      <c r="Q1009" s="215"/>
      <c r="R1009" s="215"/>
      <c r="S1009" s="215"/>
      <c r="T1009" s="215"/>
      <c r="U1009" s="215"/>
      <c r="V1009" s="215"/>
      <c r="W1009" s="215"/>
      <c r="X1009" s="215"/>
      <c r="Y1009" s="215"/>
      <c r="Z1009" s="215"/>
      <c r="AA1009" s="215"/>
      <c r="AB1009" s="215"/>
      <c r="AC1009" s="215"/>
      <c r="AD1009" s="215"/>
      <c r="AE1009" s="215"/>
      <c r="AF1009" s="215"/>
      <c r="AG1009" s="215"/>
    </row>
    <row r="1010" spans="1:33" ht="13.2">
      <c r="A1010" s="215"/>
      <c r="B1010" s="215"/>
      <c r="C1010" s="215"/>
      <c r="D1010" s="215"/>
      <c r="E1010" s="215"/>
      <c r="F1010" s="215"/>
      <c r="G1010" s="215"/>
      <c r="H1010" s="215"/>
      <c r="I1010" s="215"/>
      <c r="J1010" s="215"/>
      <c r="K1010" s="215"/>
      <c r="L1010" s="215"/>
      <c r="M1010" s="215"/>
      <c r="N1010" s="215"/>
      <c r="O1010" s="215"/>
      <c r="P1010" s="215"/>
      <c r="Q1010" s="215"/>
      <c r="R1010" s="215"/>
      <c r="S1010" s="215"/>
      <c r="T1010" s="215"/>
      <c r="U1010" s="215"/>
      <c r="V1010" s="215"/>
      <c r="W1010" s="215"/>
      <c r="X1010" s="215"/>
      <c r="Y1010" s="215"/>
      <c r="Z1010" s="215"/>
      <c r="AA1010" s="215"/>
      <c r="AB1010" s="215"/>
      <c r="AC1010" s="215"/>
      <c r="AD1010" s="215"/>
      <c r="AE1010" s="215"/>
      <c r="AF1010" s="215"/>
      <c r="AG1010" s="215"/>
    </row>
    <row r="1011" spans="1:33" ht="13.2">
      <c r="A1011" s="215"/>
      <c r="B1011" s="215"/>
      <c r="C1011" s="215"/>
      <c r="D1011" s="215"/>
      <c r="E1011" s="215"/>
      <c r="F1011" s="215"/>
      <c r="G1011" s="215"/>
      <c r="H1011" s="215"/>
      <c r="I1011" s="215"/>
      <c r="J1011" s="215"/>
      <c r="K1011" s="215"/>
      <c r="L1011" s="215"/>
      <c r="M1011" s="215"/>
      <c r="N1011" s="215"/>
      <c r="O1011" s="215"/>
      <c r="P1011" s="215"/>
      <c r="Q1011" s="215"/>
      <c r="R1011" s="215"/>
      <c r="S1011" s="215"/>
      <c r="T1011" s="215"/>
      <c r="U1011" s="215"/>
      <c r="V1011" s="215"/>
      <c r="W1011" s="215"/>
      <c r="X1011" s="215"/>
      <c r="Y1011" s="215"/>
      <c r="Z1011" s="215"/>
      <c r="AA1011" s="215"/>
      <c r="AB1011" s="215"/>
      <c r="AC1011" s="215"/>
      <c r="AD1011" s="215"/>
      <c r="AE1011" s="215"/>
      <c r="AF1011" s="215"/>
      <c r="AG1011" s="215"/>
    </row>
    <row r="1012" spans="1:33" ht="13.2">
      <c r="A1012" s="215"/>
      <c r="B1012" s="215"/>
      <c r="C1012" s="215"/>
      <c r="D1012" s="215"/>
      <c r="E1012" s="215"/>
      <c r="F1012" s="215"/>
      <c r="G1012" s="215"/>
      <c r="H1012" s="215"/>
      <c r="I1012" s="215"/>
      <c r="J1012" s="215"/>
      <c r="K1012" s="215"/>
      <c r="L1012" s="215"/>
      <c r="M1012" s="215"/>
      <c r="N1012" s="215"/>
      <c r="O1012" s="215"/>
      <c r="P1012" s="215"/>
      <c r="Q1012" s="215"/>
      <c r="R1012" s="215"/>
      <c r="S1012" s="215"/>
      <c r="T1012" s="215"/>
      <c r="U1012" s="215"/>
      <c r="V1012" s="215"/>
      <c r="W1012" s="215"/>
      <c r="X1012" s="215"/>
      <c r="Y1012" s="215"/>
      <c r="Z1012" s="215"/>
      <c r="AA1012" s="215"/>
      <c r="AB1012" s="215"/>
      <c r="AC1012" s="215"/>
      <c r="AD1012" s="215"/>
      <c r="AE1012" s="215"/>
      <c r="AF1012" s="215"/>
      <c r="AG1012" s="215"/>
    </row>
    <row r="1013" spans="1:33" ht="13.2">
      <c r="A1013" s="215"/>
      <c r="B1013" s="215"/>
      <c r="C1013" s="215"/>
      <c r="D1013" s="215"/>
      <c r="E1013" s="215"/>
      <c r="F1013" s="215"/>
      <c r="G1013" s="215"/>
      <c r="H1013" s="215"/>
      <c r="I1013" s="215"/>
      <c r="J1013" s="215"/>
      <c r="K1013" s="215"/>
      <c r="L1013" s="215"/>
      <c r="M1013" s="215"/>
      <c r="N1013" s="215"/>
      <c r="O1013" s="215"/>
      <c r="P1013" s="215"/>
      <c r="Q1013" s="215"/>
      <c r="R1013" s="215"/>
      <c r="S1013" s="215"/>
      <c r="T1013" s="215"/>
      <c r="U1013" s="215"/>
      <c r="V1013" s="215"/>
      <c r="W1013" s="215"/>
      <c r="X1013" s="215"/>
      <c r="Y1013" s="215"/>
      <c r="Z1013" s="215"/>
      <c r="AA1013" s="215"/>
      <c r="AB1013" s="215"/>
      <c r="AC1013" s="215"/>
      <c r="AD1013" s="215"/>
      <c r="AE1013" s="215"/>
      <c r="AF1013" s="215"/>
      <c r="AG1013" s="215"/>
    </row>
    <row r="1014" spans="1:33" ht="13.2">
      <c r="A1014" s="215"/>
      <c r="B1014" s="215"/>
      <c r="C1014" s="215"/>
      <c r="D1014" s="215"/>
      <c r="E1014" s="215"/>
      <c r="F1014" s="215"/>
      <c r="G1014" s="215"/>
      <c r="H1014" s="215"/>
      <c r="I1014" s="215"/>
      <c r="J1014" s="215"/>
      <c r="K1014" s="215"/>
      <c r="L1014" s="215"/>
      <c r="M1014" s="215"/>
      <c r="N1014" s="215"/>
      <c r="O1014" s="215"/>
      <c r="P1014" s="215"/>
      <c r="Q1014" s="215"/>
      <c r="R1014" s="215"/>
      <c r="S1014" s="215"/>
      <c r="T1014" s="215"/>
      <c r="U1014" s="215"/>
      <c r="V1014" s="215"/>
      <c r="W1014" s="215"/>
      <c r="X1014" s="215"/>
      <c r="Y1014" s="215"/>
      <c r="Z1014" s="215"/>
      <c r="AA1014" s="215"/>
      <c r="AB1014" s="215"/>
      <c r="AC1014" s="215"/>
      <c r="AD1014" s="215"/>
      <c r="AE1014" s="215"/>
      <c r="AF1014" s="215"/>
      <c r="AG1014" s="215"/>
    </row>
    <row r="1015" spans="1:33" ht="13.2">
      <c r="A1015" s="215"/>
      <c r="B1015" s="215"/>
      <c r="C1015" s="215"/>
      <c r="D1015" s="215"/>
      <c r="E1015" s="215"/>
      <c r="F1015" s="215"/>
      <c r="G1015" s="215"/>
      <c r="H1015" s="215"/>
      <c r="I1015" s="215"/>
      <c r="J1015" s="215"/>
      <c r="K1015" s="215"/>
      <c r="L1015" s="215"/>
      <c r="M1015" s="215"/>
      <c r="N1015" s="215"/>
      <c r="O1015" s="215"/>
      <c r="P1015" s="215"/>
      <c r="Q1015" s="215"/>
      <c r="R1015" s="215"/>
      <c r="S1015" s="215"/>
      <c r="T1015" s="215"/>
      <c r="U1015" s="215"/>
      <c r="V1015" s="215"/>
      <c r="W1015" s="215"/>
      <c r="X1015" s="215"/>
      <c r="Y1015" s="215"/>
      <c r="Z1015" s="215"/>
      <c r="AA1015" s="215"/>
      <c r="AB1015" s="215"/>
      <c r="AC1015" s="215"/>
      <c r="AD1015" s="215"/>
      <c r="AE1015" s="215"/>
      <c r="AF1015" s="215"/>
      <c r="AG1015" s="215"/>
    </row>
    <row r="1016" spans="1:33" ht="13.2">
      <c r="A1016" s="215"/>
      <c r="B1016" s="215"/>
      <c r="C1016" s="215"/>
      <c r="D1016" s="215"/>
      <c r="E1016" s="215"/>
      <c r="F1016" s="215"/>
      <c r="G1016" s="215"/>
      <c r="H1016" s="215"/>
      <c r="I1016" s="215"/>
      <c r="J1016" s="215"/>
      <c r="K1016" s="215"/>
      <c r="L1016" s="215"/>
      <c r="M1016" s="215"/>
      <c r="N1016" s="215"/>
      <c r="O1016" s="215"/>
      <c r="P1016" s="215"/>
      <c r="Q1016" s="215"/>
      <c r="R1016" s="215"/>
      <c r="S1016" s="215"/>
      <c r="T1016" s="215"/>
      <c r="U1016" s="215"/>
      <c r="V1016" s="215"/>
      <c r="W1016" s="215"/>
      <c r="X1016" s="215"/>
      <c r="Y1016" s="215"/>
      <c r="Z1016" s="215"/>
      <c r="AA1016" s="215"/>
      <c r="AB1016" s="215"/>
      <c r="AC1016" s="215"/>
      <c r="AD1016" s="215"/>
      <c r="AE1016" s="215"/>
      <c r="AF1016" s="215"/>
      <c r="AG1016" s="215"/>
    </row>
    <row r="1017" spans="1:33" ht="13.2">
      <c r="A1017" s="215"/>
      <c r="B1017" s="215"/>
      <c r="C1017" s="215"/>
      <c r="D1017" s="215"/>
      <c r="E1017" s="215"/>
      <c r="F1017" s="215"/>
      <c r="G1017" s="215"/>
      <c r="H1017" s="215"/>
      <c r="I1017" s="215"/>
      <c r="J1017" s="215"/>
      <c r="K1017" s="215"/>
      <c r="L1017" s="215"/>
      <c r="M1017" s="215"/>
      <c r="N1017" s="215"/>
      <c r="O1017" s="215"/>
      <c r="P1017" s="215"/>
      <c r="Q1017" s="215"/>
      <c r="R1017" s="215"/>
      <c r="S1017" s="215"/>
      <c r="T1017" s="215"/>
      <c r="U1017" s="215"/>
      <c r="V1017" s="215"/>
      <c r="W1017" s="215"/>
      <c r="X1017" s="215"/>
      <c r="Y1017" s="215"/>
      <c r="Z1017" s="215"/>
      <c r="AA1017" s="215"/>
      <c r="AB1017" s="215"/>
      <c r="AC1017" s="215"/>
      <c r="AD1017" s="215"/>
      <c r="AE1017" s="215"/>
      <c r="AF1017" s="215"/>
      <c r="AG1017" s="215"/>
    </row>
    <row r="1018" spans="1:33" ht="13.2">
      <c r="A1018" s="215"/>
      <c r="B1018" s="215"/>
      <c r="C1018" s="215"/>
      <c r="D1018" s="215"/>
      <c r="E1018" s="215"/>
      <c r="F1018" s="215"/>
      <c r="G1018" s="215"/>
      <c r="H1018" s="215"/>
      <c r="I1018" s="215"/>
      <c r="J1018" s="215"/>
      <c r="K1018" s="215"/>
      <c r="L1018" s="215"/>
      <c r="M1018" s="215"/>
      <c r="N1018" s="215"/>
      <c r="O1018" s="215"/>
      <c r="P1018" s="215"/>
      <c r="Q1018" s="215"/>
      <c r="R1018" s="215"/>
      <c r="S1018" s="215"/>
      <c r="T1018" s="215"/>
      <c r="U1018" s="215"/>
      <c r="V1018" s="215"/>
      <c r="W1018" s="215"/>
      <c r="X1018" s="215"/>
      <c r="Y1018" s="215"/>
      <c r="Z1018" s="215"/>
      <c r="AA1018" s="215"/>
      <c r="AB1018" s="215"/>
      <c r="AC1018" s="215"/>
      <c r="AD1018" s="215"/>
      <c r="AE1018" s="215"/>
      <c r="AF1018" s="215"/>
      <c r="AG1018" s="215"/>
    </row>
    <row r="1019" spans="1:33" ht="13.2">
      <c r="A1019" s="215"/>
      <c r="B1019" s="215"/>
      <c r="C1019" s="215"/>
      <c r="D1019" s="215"/>
      <c r="E1019" s="215"/>
      <c r="F1019" s="215"/>
      <c r="G1019" s="215"/>
      <c r="H1019" s="215"/>
      <c r="I1019" s="215"/>
      <c r="J1019" s="215"/>
      <c r="K1019" s="215"/>
      <c r="L1019" s="215"/>
      <c r="M1019" s="215"/>
      <c r="N1019" s="215"/>
      <c r="O1019" s="215"/>
      <c r="P1019" s="215"/>
      <c r="Q1019" s="215"/>
      <c r="R1019" s="215"/>
      <c r="S1019" s="215"/>
      <c r="T1019" s="215"/>
      <c r="U1019" s="215"/>
      <c r="V1019" s="215"/>
      <c r="W1019" s="215"/>
      <c r="X1019" s="215"/>
      <c r="Y1019" s="215"/>
      <c r="Z1019" s="215"/>
      <c r="AA1019" s="215"/>
      <c r="AB1019" s="215"/>
      <c r="AC1019" s="215"/>
      <c r="AD1019" s="215"/>
      <c r="AE1019" s="215"/>
      <c r="AF1019" s="215"/>
      <c r="AG1019" s="215"/>
    </row>
    <row r="1020" spans="1:33" ht="13.2">
      <c r="A1020" s="215"/>
      <c r="B1020" s="215"/>
      <c r="C1020" s="215"/>
      <c r="D1020" s="215"/>
      <c r="E1020" s="215"/>
      <c r="F1020" s="215"/>
      <c r="G1020" s="215"/>
      <c r="H1020" s="215"/>
      <c r="I1020" s="215"/>
      <c r="J1020" s="215"/>
      <c r="K1020" s="215"/>
      <c r="L1020" s="215"/>
      <c r="M1020" s="215"/>
      <c r="N1020" s="215"/>
      <c r="O1020" s="215"/>
      <c r="P1020" s="215"/>
      <c r="Q1020" s="215"/>
      <c r="R1020" s="215"/>
      <c r="S1020" s="215"/>
      <c r="T1020" s="215"/>
      <c r="U1020" s="215"/>
      <c r="V1020" s="215"/>
      <c r="W1020" s="215"/>
      <c r="X1020" s="215"/>
      <c r="Y1020" s="215"/>
      <c r="Z1020" s="215"/>
      <c r="AA1020" s="215"/>
      <c r="AB1020" s="215"/>
      <c r="AC1020" s="215"/>
      <c r="AD1020" s="215"/>
      <c r="AE1020" s="215"/>
      <c r="AF1020" s="215"/>
      <c r="AG1020" s="215"/>
    </row>
    <row r="1021" spans="1:33" ht="13.2">
      <c r="A1021" s="215"/>
      <c r="B1021" s="215"/>
      <c r="C1021" s="215"/>
      <c r="D1021" s="215"/>
      <c r="E1021" s="215"/>
      <c r="F1021" s="215"/>
      <c r="G1021" s="215"/>
      <c r="H1021" s="215"/>
      <c r="I1021" s="215"/>
      <c r="J1021" s="215"/>
      <c r="K1021" s="215"/>
      <c r="L1021" s="215"/>
      <c r="M1021" s="215"/>
      <c r="N1021" s="215"/>
      <c r="O1021" s="215"/>
      <c r="P1021" s="215"/>
      <c r="Q1021" s="215"/>
      <c r="R1021" s="215"/>
      <c r="S1021" s="215"/>
      <c r="T1021" s="215"/>
      <c r="U1021" s="215"/>
      <c r="V1021" s="215"/>
      <c r="W1021" s="215"/>
      <c r="X1021" s="215"/>
      <c r="Y1021" s="215"/>
      <c r="Z1021" s="215"/>
      <c r="AA1021" s="215"/>
      <c r="AB1021" s="215"/>
      <c r="AC1021" s="215"/>
      <c r="AD1021" s="215"/>
      <c r="AE1021" s="215"/>
      <c r="AF1021" s="215"/>
      <c r="AG1021" s="215"/>
    </row>
    <row r="1022" spans="1:33" ht="13.2">
      <c r="A1022" s="215"/>
      <c r="B1022" s="215"/>
      <c r="C1022" s="215"/>
      <c r="D1022" s="215"/>
      <c r="E1022" s="215"/>
      <c r="F1022" s="215"/>
      <c r="G1022" s="215"/>
      <c r="H1022" s="215"/>
      <c r="I1022" s="215"/>
      <c r="J1022" s="215"/>
      <c r="K1022" s="215"/>
      <c r="L1022" s="215"/>
      <c r="M1022" s="215"/>
      <c r="N1022" s="215"/>
      <c r="O1022" s="215"/>
      <c r="P1022" s="215"/>
      <c r="Q1022" s="215"/>
      <c r="R1022" s="215"/>
      <c r="S1022" s="215"/>
      <c r="T1022" s="215"/>
      <c r="U1022" s="215"/>
      <c r="V1022" s="215"/>
      <c r="W1022" s="215"/>
      <c r="X1022" s="215"/>
      <c r="Y1022" s="215"/>
      <c r="Z1022" s="215"/>
      <c r="AA1022" s="215"/>
      <c r="AB1022" s="215"/>
      <c r="AC1022" s="215"/>
      <c r="AD1022" s="215"/>
      <c r="AE1022" s="215"/>
      <c r="AF1022" s="215"/>
      <c r="AG1022" s="215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2:G16"/>
  <sheetViews>
    <sheetView workbookViewId="0">
      <selection activeCell="J18" sqref="J18"/>
    </sheetView>
  </sheetViews>
  <sheetFormatPr defaultColWidth="12.6640625" defaultRowHeight="15.75" customHeight="1"/>
  <cols>
    <col min="1" max="1" width="2.88671875" customWidth="1"/>
    <col min="3" max="3" width="12.6640625" hidden="1"/>
  </cols>
  <sheetData>
    <row r="2" spans="1:7" ht="15.75" customHeight="1">
      <c r="B2" s="292" t="s">
        <v>529</v>
      </c>
    </row>
    <row r="3" spans="1:7">
      <c r="B3" s="85" t="s">
        <v>530</v>
      </c>
    </row>
    <row r="4" spans="1:7">
      <c r="B4" s="85" t="s">
        <v>531</v>
      </c>
    </row>
    <row r="5" spans="1:7">
      <c r="B5" s="87">
        <v>3000</v>
      </c>
    </row>
    <row r="7" spans="1:7">
      <c r="A7" s="85"/>
      <c r="B7" s="85" t="s">
        <v>133</v>
      </c>
    </row>
    <row r="8" spans="1:7" ht="15.75" customHeight="1">
      <c r="A8" s="101"/>
      <c r="B8" s="102" t="s">
        <v>135</v>
      </c>
      <c r="C8" s="327"/>
      <c r="D8" s="103"/>
      <c r="E8" s="103"/>
      <c r="F8" s="103"/>
      <c r="G8" s="103"/>
    </row>
    <row r="9" spans="1:7" ht="15.75" customHeight="1">
      <c r="A9" s="108">
        <v>1</v>
      </c>
      <c r="B9" s="109"/>
      <c r="C9" s="328"/>
      <c r="D9" s="110"/>
      <c r="E9" s="109"/>
      <c r="F9" s="109"/>
      <c r="G9" s="109"/>
    </row>
    <row r="10" spans="1:7" ht="15.75" customHeight="1">
      <c r="A10" s="108">
        <v>2</v>
      </c>
      <c r="B10" s="109"/>
      <c r="C10" s="328"/>
      <c r="D10" s="110"/>
      <c r="E10" s="110"/>
      <c r="F10" s="109"/>
      <c r="G10" s="109"/>
    </row>
    <row r="11" spans="1:7" ht="15.75" customHeight="1">
      <c r="A11" s="108">
        <v>3</v>
      </c>
      <c r="B11" s="109"/>
      <c r="C11" s="328"/>
      <c r="D11" s="110"/>
      <c r="E11" s="110"/>
      <c r="F11" s="109"/>
      <c r="G11" s="109"/>
    </row>
    <row r="12" spans="1:7" ht="15.75" customHeight="1">
      <c r="A12" s="108">
        <v>4</v>
      </c>
      <c r="B12" s="112"/>
      <c r="C12" s="328"/>
      <c r="D12" s="110"/>
      <c r="E12" s="110"/>
      <c r="F12" s="109"/>
      <c r="G12" s="109"/>
    </row>
    <row r="13" spans="1:7" ht="15.75" customHeight="1">
      <c r="A13" s="108">
        <v>5</v>
      </c>
      <c r="B13" s="112"/>
      <c r="C13" s="328"/>
      <c r="D13" s="110"/>
      <c r="E13" s="110"/>
      <c r="F13" s="109"/>
      <c r="G13" s="109"/>
    </row>
    <row r="14" spans="1:7" ht="15.75" customHeight="1">
      <c r="A14" s="108">
        <v>6</v>
      </c>
      <c r="B14" s="112"/>
      <c r="C14" s="329"/>
      <c r="D14" s="110"/>
      <c r="E14" s="110"/>
      <c r="F14" s="109"/>
      <c r="G14" s="109"/>
    </row>
    <row r="15" spans="1:7" ht="15.75" customHeight="1">
      <c r="A15" s="101"/>
      <c r="B15" s="102" t="s">
        <v>147</v>
      </c>
      <c r="C15" s="328"/>
      <c r="D15" s="108"/>
      <c r="E15" s="108"/>
      <c r="F15" s="101"/>
      <c r="G15" s="101"/>
    </row>
    <row r="16" spans="1:7" ht="13.2">
      <c r="C16" s="115" t="s">
        <v>532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3:X34"/>
  <sheetViews>
    <sheetView workbookViewId="0"/>
  </sheetViews>
  <sheetFormatPr defaultColWidth="12.6640625" defaultRowHeight="15.75" customHeight="1"/>
  <cols>
    <col min="1" max="1" width="6.21875" customWidth="1"/>
    <col min="2" max="2" width="23.109375" customWidth="1"/>
  </cols>
  <sheetData>
    <row r="3" spans="1:24" ht="24">
      <c r="B3" s="351" t="s">
        <v>533</v>
      </c>
    </row>
    <row r="4" spans="1:24" ht="14.4">
      <c r="B4" s="308" t="s">
        <v>534</v>
      </c>
    </row>
    <row r="5" spans="1:24" ht="13.2">
      <c r="B5" s="99" t="s">
        <v>571</v>
      </c>
    </row>
    <row r="6" spans="1:24" ht="13.2" hidden="1">
      <c r="B6" s="87">
        <v>3000</v>
      </c>
      <c r="C6" s="119"/>
      <c r="F6" s="352"/>
    </row>
    <row r="8" spans="1:24" ht="13.2">
      <c r="B8" s="85" t="s">
        <v>572</v>
      </c>
    </row>
    <row r="9" spans="1:24" ht="13.2">
      <c r="M9" s="85" t="s">
        <v>82</v>
      </c>
      <c r="N9" s="85" t="s">
        <v>82</v>
      </c>
    </row>
    <row r="10" spans="1:24" ht="14.4">
      <c r="A10" s="278" t="s">
        <v>212</v>
      </c>
      <c r="B10" s="278" t="s">
        <v>232</v>
      </c>
      <c r="C10" s="106" t="s">
        <v>573</v>
      </c>
      <c r="D10" s="353">
        <v>45989</v>
      </c>
      <c r="E10" s="124">
        <v>45996</v>
      </c>
      <c r="F10" s="124">
        <v>46003</v>
      </c>
      <c r="G10" s="124">
        <v>46010</v>
      </c>
      <c r="H10" s="124">
        <v>46017</v>
      </c>
      <c r="I10" s="124">
        <v>46031</v>
      </c>
      <c r="J10" s="124">
        <v>46038</v>
      </c>
      <c r="K10" s="124">
        <v>46045</v>
      </c>
      <c r="L10" s="124">
        <v>46052</v>
      </c>
      <c r="M10" s="105">
        <v>46059</v>
      </c>
      <c r="N10" s="105">
        <v>46066</v>
      </c>
      <c r="O10" s="354">
        <v>46073</v>
      </c>
      <c r="P10" s="354">
        <v>46080</v>
      </c>
      <c r="Q10" s="107">
        <v>46087</v>
      </c>
      <c r="R10" s="355">
        <v>46094</v>
      </c>
      <c r="S10" s="355">
        <v>46101</v>
      </c>
      <c r="T10" s="355">
        <v>46108</v>
      </c>
      <c r="U10" s="355">
        <v>46114</v>
      </c>
      <c r="V10" s="355"/>
      <c r="W10" s="355"/>
      <c r="X10" s="355"/>
    </row>
    <row r="11" spans="1:24" ht="14.4" hidden="1">
      <c r="A11" s="280">
        <v>1</v>
      </c>
      <c r="B11" s="109" t="s">
        <v>574</v>
      </c>
      <c r="C11" s="140" t="s">
        <v>206</v>
      </c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</row>
    <row r="12" spans="1:24" ht="14.4" hidden="1">
      <c r="A12" s="280">
        <v>2</v>
      </c>
      <c r="B12" s="109" t="s">
        <v>575</v>
      </c>
      <c r="C12" s="140" t="s">
        <v>206</v>
      </c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</row>
    <row r="13" spans="1:24" ht="14.4">
      <c r="A13" s="280">
        <v>1</v>
      </c>
      <c r="B13" s="112" t="s">
        <v>576</v>
      </c>
      <c r="C13" s="140" t="s">
        <v>206</v>
      </c>
      <c r="D13" s="91">
        <v>1</v>
      </c>
      <c r="E13" s="91">
        <v>1</v>
      </c>
      <c r="F13" s="91">
        <v>1</v>
      </c>
      <c r="G13" s="91">
        <v>1</v>
      </c>
      <c r="H13" s="91"/>
      <c r="I13" s="91">
        <v>1</v>
      </c>
      <c r="J13" s="91">
        <v>1</v>
      </c>
      <c r="K13" s="91">
        <v>1</v>
      </c>
      <c r="L13" s="91">
        <v>1</v>
      </c>
      <c r="M13" s="91">
        <v>1</v>
      </c>
      <c r="N13" s="91">
        <v>1</v>
      </c>
      <c r="O13" s="91">
        <v>1</v>
      </c>
      <c r="P13" s="91">
        <v>1</v>
      </c>
      <c r="Q13" s="91">
        <v>1</v>
      </c>
      <c r="R13" s="91">
        <v>1</v>
      </c>
      <c r="S13" s="91">
        <v>1</v>
      </c>
      <c r="T13" s="91">
        <v>1</v>
      </c>
      <c r="U13" s="91">
        <v>1</v>
      </c>
      <c r="V13" s="91"/>
      <c r="W13" s="91"/>
      <c r="X13" s="91"/>
    </row>
    <row r="14" spans="1:24" ht="14.4" hidden="1">
      <c r="A14" s="280">
        <v>5</v>
      </c>
      <c r="B14" s="112" t="s">
        <v>577</v>
      </c>
      <c r="C14" s="140" t="s">
        <v>206</v>
      </c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</row>
    <row r="15" spans="1:24" ht="13.2" hidden="1">
      <c r="A15" s="106">
        <v>6</v>
      </c>
      <c r="B15" s="91" t="s">
        <v>522</v>
      </c>
      <c r="C15" s="140" t="s">
        <v>206</v>
      </c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</row>
    <row r="16" spans="1:24" ht="13.2">
      <c r="A16" s="106">
        <v>2</v>
      </c>
      <c r="B16" s="138" t="s">
        <v>578</v>
      </c>
      <c r="C16" s="140" t="s">
        <v>206</v>
      </c>
      <c r="D16" s="91">
        <v>1</v>
      </c>
      <c r="E16" s="91">
        <v>1</v>
      </c>
      <c r="F16" s="91">
        <v>1</v>
      </c>
      <c r="G16" s="91">
        <v>1</v>
      </c>
      <c r="H16" s="91"/>
      <c r="I16" s="91"/>
      <c r="J16" s="91">
        <v>1</v>
      </c>
      <c r="K16" s="91">
        <v>1</v>
      </c>
      <c r="L16" s="91">
        <v>1</v>
      </c>
      <c r="M16" s="91">
        <v>1</v>
      </c>
      <c r="N16" s="91">
        <v>1</v>
      </c>
      <c r="O16" s="91">
        <v>1</v>
      </c>
      <c r="P16" s="91">
        <v>1</v>
      </c>
      <c r="Q16" s="91">
        <v>1</v>
      </c>
      <c r="R16" s="91">
        <v>1</v>
      </c>
      <c r="S16" s="91">
        <v>1</v>
      </c>
      <c r="T16" s="91">
        <v>1</v>
      </c>
      <c r="U16" s="91"/>
      <c r="V16" s="91"/>
      <c r="W16" s="91"/>
      <c r="X16" s="91"/>
    </row>
    <row r="17" spans="1:24" ht="13.2" hidden="1">
      <c r="A17" s="106">
        <v>8</v>
      </c>
      <c r="B17" s="91" t="s">
        <v>579</v>
      </c>
      <c r="C17" s="140" t="s">
        <v>206</v>
      </c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</row>
    <row r="18" spans="1:24" ht="13.2" hidden="1">
      <c r="A18" s="106">
        <v>11</v>
      </c>
      <c r="B18" s="91" t="s">
        <v>580</v>
      </c>
      <c r="C18" s="140" t="s">
        <v>206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</row>
    <row r="19" spans="1:24" ht="13.2">
      <c r="A19" s="106">
        <v>3</v>
      </c>
      <c r="B19" s="91" t="s">
        <v>581</v>
      </c>
      <c r="C19" s="140" t="s">
        <v>206</v>
      </c>
      <c r="D19" s="91">
        <v>1</v>
      </c>
      <c r="E19" s="91">
        <v>1</v>
      </c>
      <c r="F19" s="91">
        <v>1</v>
      </c>
      <c r="G19" s="91">
        <v>1</v>
      </c>
      <c r="H19" s="91"/>
      <c r="I19" s="91">
        <v>1</v>
      </c>
      <c r="J19" s="91">
        <v>1</v>
      </c>
      <c r="K19" s="91">
        <v>1</v>
      </c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</row>
    <row r="20" spans="1:24" ht="13.2" hidden="1">
      <c r="A20" s="106">
        <v>14</v>
      </c>
      <c r="B20" s="91" t="s">
        <v>582</v>
      </c>
      <c r="C20" s="140" t="s">
        <v>206</v>
      </c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</row>
    <row r="21" spans="1:24" ht="13.2" hidden="1">
      <c r="A21" s="106">
        <v>16</v>
      </c>
      <c r="B21" s="91" t="s">
        <v>169</v>
      </c>
      <c r="C21" s="140" t="s">
        <v>206</v>
      </c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</row>
    <row r="22" spans="1:24" ht="13.2" hidden="1">
      <c r="A22" s="106">
        <v>17</v>
      </c>
      <c r="B22" s="91" t="s">
        <v>583</v>
      </c>
      <c r="C22" s="140" t="s">
        <v>206</v>
      </c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</row>
    <row r="23" spans="1:24" ht="13.2" hidden="1">
      <c r="A23" s="106">
        <v>18</v>
      </c>
      <c r="B23" s="91" t="s">
        <v>188</v>
      </c>
      <c r="C23" s="140" t="s">
        <v>206</v>
      </c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</row>
    <row r="24" spans="1:24" ht="13.2">
      <c r="A24" s="106">
        <v>4</v>
      </c>
      <c r="B24" s="91" t="s">
        <v>584</v>
      </c>
      <c r="C24" s="140" t="s">
        <v>206</v>
      </c>
      <c r="D24" s="91"/>
      <c r="E24" s="91">
        <v>1</v>
      </c>
      <c r="F24" s="91">
        <v>1</v>
      </c>
      <c r="G24" s="91"/>
      <c r="H24" s="91"/>
      <c r="I24" s="91">
        <v>1</v>
      </c>
      <c r="J24" s="91">
        <v>1</v>
      </c>
      <c r="K24" s="91">
        <v>1</v>
      </c>
      <c r="L24" s="91"/>
      <c r="M24" s="91">
        <v>1</v>
      </c>
      <c r="N24" s="91"/>
      <c r="O24" s="91">
        <v>1</v>
      </c>
      <c r="P24" s="91">
        <v>1</v>
      </c>
      <c r="Q24" s="91"/>
      <c r="R24" s="91"/>
      <c r="S24" s="91"/>
      <c r="T24" s="91"/>
      <c r="U24" s="91"/>
      <c r="V24" s="91"/>
      <c r="W24" s="91"/>
      <c r="X24" s="91"/>
    </row>
    <row r="25" spans="1:24" ht="13.2">
      <c r="A25" s="106">
        <v>5</v>
      </c>
      <c r="B25" s="91" t="s">
        <v>585</v>
      </c>
      <c r="C25" s="140"/>
      <c r="D25" s="91">
        <v>1</v>
      </c>
      <c r="E25" s="91">
        <v>1</v>
      </c>
      <c r="F25" s="91">
        <v>1</v>
      </c>
      <c r="G25" s="91">
        <v>1</v>
      </c>
      <c r="H25" s="91"/>
      <c r="I25" s="91">
        <v>1</v>
      </c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</row>
    <row r="26" spans="1:24" ht="13.2">
      <c r="A26" s="106">
        <v>6</v>
      </c>
      <c r="B26" s="91" t="s">
        <v>586</v>
      </c>
      <c r="C26" s="140"/>
      <c r="D26" s="91">
        <v>1</v>
      </c>
      <c r="E26" s="91"/>
      <c r="F26" s="91">
        <v>1</v>
      </c>
      <c r="G26" s="91">
        <v>1</v>
      </c>
      <c r="H26" s="91"/>
      <c r="I26" s="91">
        <v>1</v>
      </c>
      <c r="J26" s="91">
        <v>1</v>
      </c>
      <c r="K26" s="91">
        <v>1</v>
      </c>
      <c r="L26" s="91">
        <v>1</v>
      </c>
      <c r="M26" s="91">
        <v>1</v>
      </c>
      <c r="N26" s="91">
        <v>1</v>
      </c>
      <c r="O26" s="91">
        <v>1</v>
      </c>
      <c r="P26" s="91"/>
      <c r="Q26" s="91">
        <v>1</v>
      </c>
      <c r="R26" s="91">
        <v>1</v>
      </c>
      <c r="S26" s="91">
        <v>1</v>
      </c>
      <c r="T26" s="91">
        <v>1</v>
      </c>
      <c r="U26" s="91"/>
      <c r="V26" s="91"/>
      <c r="W26" s="91"/>
      <c r="X26" s="91"/>
    </row>
    <row r="27" spans="1:24" ht="13.2">
      <c r="A27" s="106">
        <v>7</v>
      </c>
      <c r="B27" s="91" t="s">
        <v>216</v>
      </c>
      <c r="C27" s="140"/>
      <c r="D27" s="91"/>
      <c r="E27" s="91"/>
      <c r="F27" s="91"/>
      <c r="G27" s="91"/>
      <c r="H27" s="91"/>
      <c r="I27" s="91"/>
      <c r="J27" s="91"/>
      <c r="K27" s="91"/>
      <c r="L27" s="91">
        <v>1</v>
      </c>
      <c r="M27" s="91">
        <v>1</v>
      </c>
      <c r="N27" s="91">
        <v>1</v>
      </c>
      <c r="O27" s="91">
        <v>1</v>
      </c>
      <c r="P27" s="91">
        <v>1</v>
      </c>
      <c r="Q27" s="91">
        <v>1</v>
      </c>
      <c r="R27" s="91">
        <v>1</v>
      </c>
      <c r="S27" s="91">
        <v>1</v>
      </c>
      <c r="T27" s="91">
        <v>1</v>
      </c>
      <c r="U27" s="91">
        <v>1</v>
      </c>
      <c r="V27" s="91"/>
      <c r="W27" s="91"/>
      <c r="X27" s="91"/>
    </row>
    <row r="28" spans="1:24" ht="13.2">
      <c r="A28" s="106">
        <v>8</v>
      </c>
      <c r="B28" s="91" t="s">
        <v>587</v>
      </c>
      <c r="C28" s="140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>
        <v>1</v>
      </c>
      <c r="S28" s="91"/>
      <c r="T28" s="91"/>
      <c r="U28" s="91"/>
      <c r="V28" s="91"/>
      <c r="W28" s="91"/>
      <c r="X28" s="91"/>
    </row>
    <row r="29" spans="1:24" ht="13.2">
      <c r="A29" s="106">
        <v>9</v>
      </c>
      <c r="B29" s="91" t="s">
        <v>588</v>
      </c>
      <c r="C29" s="140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>
        <v>1</v>
      </c>
      <c r="U29" s="91"/>
      <c r="V29" s="91"/>
      <c r="W29" s="91"/>
      <c r="X29" s="91"/>
    </row>
    <row r="30" spans="1:24" ht="13.2">
      <c r="A30" s="106">
        <v>10</v>
      </c>
      <c r="B30" s="91" t="s">
        <v>589</v>
      </c>
      <c r="C30" s="140"/>
      <c r="D30" s="91"/>
      <c r="E30" s="91"/>
      <c r="F30" s="91"/>
      <c r="G30" s="91"/>
      <c r="H30" s="91"/>
      <c r="I30" s="91"/>
      <c r="J30" s="91"/>
      <c r="K30" s="91"/>
      <c r="L30" s="91"/>
      <c r="M30" s="91" t="s">
        <v>195</v>
      </c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</row>
    <row r="31" spans="1:24" ht="13.2" hidden="1">
      <c r="A31" s="106">
        <v>22</v>
      </c>
      <c r="B31" s="91" t="s">
        <v>443</v>
      </c>
      <c r="C31" s="140" t="s">
        <v>206</v>
      </c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</row>
    <row r="32" spans="1:24" ht="14.4">
      <c r="A32" s="281"/>
      <c r="B32" s="278" t="s">
        <v>147</v>
      </c>
      <c r="C32" s="106"/>
      <c r="D32" s="106">
        <v>5</v>
      </c>
      <c r="E32" s="106">
        <v>5</v>
      </c>
      <c r="F32" s="106">
        <v>6</v>
      </c>
      <c r="G32" s="106">
        <v>5</v>
      </c>
      <c r="H32" s="106"/>
      <c r="I32" s="106">
        <v>5</v>
      </c>
      <c r="J32" s="106">
        <v>5</v>
      </c>
      <c r="K32" s="106">
        <v>5</v>
      </c>
      <c r="L32" s="106">
        <v>4</v>
      </c>
      <c r="M32" s="106">
        <v>6</v>
      </c>
      <c r="N32" s="106">
        <v>4</v>
      </c>
      <c r="O32" s="106">
        <v>5</v>
      </c>
      <c r="P32" s="106">
        <v>4</v>
      </c>
      <c r="Q32" s="106">
        <v>4</v>
      </c>
      <c r="R32" s="106">
        <v>5</v>
      </c>
      <c r="S32" s="106">
        <v>4</v>
      </c>
      <c r="T32" s="106">
        <v>5</v>
      </c>
      <c r="U32" s="106">
        <v>2</v>
      </c>
      <c r="V32" s="106"/>
      <c r="W32" s="106"/>
      <c r="X32" s="106"/>
    </row>
    <row r="33" spans="6:20" ht="13.2">
      <c r="G33" s="85">
        <v>21</v>
      </c>
      <c r="L33" s="85">
        <v>19</v>
      </c>
      <c r="P33" s="85">
        <v>18</v>
      </c>
      <c r="T33" s="85">
        <v>18</v>
      </c>
    </row>
    <row r="34" spans="6:20" ht="13.2">
      <c r="F34" s="95" t="s">
        <v>128</v>
      </c>
      <c r="G34" s="114" t="s">
        <v>590</v>
      </c>
      <c r="K34" s="95" t="s">
        <v>128</v>
      </c>
      <c r="L34" s="95" t="s">
        <v>591</v>
      </c>
      <c r="O34" s="95" t="s">
        <v>128</v>
      </c>
      <c r="P34" s="95">
        <f>P33*B6</f>
        <v>54000</v>
      </c>
      <c r="S34" s="95" t="s">
        <v>128</v>
      </c>
      <c r="T34" s="95">
        <f>T33*B6</f>
        <v>54000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M944"/>
  <sheetViews>
    <sheetView workbookViewId="0"/>
  </sheetViews>
  <sheetFormatPr defaultColWidth="12.6640625" defaultRowHeight="15.75" customHeight="1"/>
  <cols>
    <col min="1" max="1" width="2.88671875" customWidth="1"/>
    <col min="2" max="2" width="13.6640625" customWidth="1"/>
    <col min="3" max="3" width="24.88671875" customWidth="1"/>
    <col min="4" max="25" width="12.6640625" hidden="1"/>
    <col min="26" max="26" width="16.44140625" hidden="1" customWidth="1"/>
    <col min="27" max="34" width="12.6640625" hidden="1"/>
  </cols>
  <sheetData>
    <row r="1" spans="1:39" ht="13.2"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</row>
    <row r="2" spans="1:39" ht="27">
      <c r="B2" s="356" t="s">
        <v>592</v>
      </c>
      <c r="C2" s="356"/>
      <c r="D2" s="356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</row>
    <row r="3" spans="1:39" ht="16.8">
      <c r="B3" s="85" t="s">
        <v>593</v>
      </c>
      <c r="C3" s="85"/>
      <c r="D3" s="85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</row>
    <row r="4" spans="1:39" ht="13.2">
      <c r="B4" s="85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</row>
    <row r="5" spans="1:39" ht="13.2">
      <c r="B5" s="87" t="s">
        <v>594</v>
      </c>
      <c r="C5" s="100"/>
      <c r="D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</row>
    <row r="6" spans="1:39" ht="13.2">
      <c r="B6" s="100"/>
      <c r="C6" s="357"/>
      <c r="D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</row>
    <row r="7" spans="1:39" ht="13.2">
      <c r="B7" s="100"/>
      <c r="C7" s="357"/>
      <c r="D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</row>
    <row r="8" spans="1:39" ht="26.4">
      <c r="B8" s="85" t="s">
        <v>595</v>
      </c>
      <c r="C8" s="358" t="s">
        <v>596</v>
      </c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</row>
    <row r="9" spans="1:39" ht="14.4">
      <c r="A9" s="359"/>
      <c r="B9" s="360" t="s">
        <v>597</v>
      </c>
      <c r="C9" s="193"/>
      <c r="D9" s="361"/>
      <c r="F9" s="204"/>
      <c r="G9" s="205"/>
      <c r="M9" s="85" t="s">
        <v>538</v>
      </c>
      <c r="S9" s="85" t="s">
        <v>82</v>
      </c>
      <c r="T9" s="85" t="s">
        <v>54</v>
      </c>
      <c r="U9" s="85" t="s">
        <v>54</v>
      </c>
      <c r="V9" s="85" t="s">
        <v>54</v>
      </c>
      <c r="W9" s="85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</row>
    <row r="10" spans="1:39" ht="14.4">
      <c r="A10" s="101"/>
      <c r="B10" s="271" t="s">
        <v>135</v>
      </c>
      <c r="C10" s="102" t="s">
        <v>598</v>
      </c>
      <c r="D10" s="362">
        <v>45932</v>
      </c>
      <c r="E10" s="362">
        <v>45939</v>
      </c>
      <c r="F10" s="363">
        <v>45946</v>
      </c>
      <c r="G10" s="103">
        <v>45953</v>
      </c>
      <c r="H10" s="103">
        <v>45960</v>
      </c>
      <c r="I10" s="103">
        <v>45967</v>
      </c>
      <c r="J10" s="103">
        <v>45974</v>
      </c>
      <c r="K10" s="103">
        <v>45981</v>
      </c>
      <c r="L10" s="103">
        <v>45988</v>
      </c>
      <c r="M10" s="364" t="s">
        <v>128</v>
      </c>
      <c r="N10" s="107">
        <v>45995</v>
      </c>
      <c r="O10" s="104">
        <v>46002</v>
      </c>
      <c r="P10" s="104">
        <v>46009</v>
      </c>
      <c r="Q10" s="104">
        <v>46016</v>
      </c>
      <c r="R10" s="113" t="s">
        <v>128</v>
      </c>
      <c r="S10" s="365">
        <v>46030</v>
      </c>
      <c r="T10" s="365">
        <v>46037</v>
      </c>
      <c r="U10" s="365">
        <v>46044</v>
      </c>
      <c r="V10" s="365">
        <v>46051</v>
      </c>
      <c r="W10" s="106" t="s">
        <v>128</v>
      </c>
      <c r="X10" s="105">
        <v>46058</v>
      </c>
      <c r="Y10" s="105">
        <v>46065</v>
      </c>
      <c r="Z10" s="105">
        <v>46072</v>
      </c>
      <c r="AA10" s="124">
        <v>46079</v>
      </c>
      <c r="AB10" s="106" t="s">
        <v>128</v>
      </c>
      <c r="AC10" s="104">
        <v>46086</v>
      </c>
      <c r="AD10" s="104">
        <v>46093</v>
      </c>
      <c r="AE10" s="104">
        <v>46100</v>
      </c>
      <c r="AF10" s="104">
        <v>46107</v>
      </c>
      <c r="AG10" s="366"/>
      <c r="AH10" s="366"/>
      <c r="AI10" s="124"/>
      <c r="AJ10" s="124"/>
      <c r="AK10" s="124"/>
      <c r="AL10" s="124"/>
      <c r="AM10" s="124"/>
    </row>
    <row r="11" spans="1:39" ht="14.4">
      <c r="A11" s="108">
        <v>1</v>
      </c>
      <c r="B11" s="91" t="s">
        <v>599</v>
      </c>
      <c r="C11" s="91" t="s">
        <v>600</v>
      </c>
      <c r="D11" s="140">
        <v>1</v>
      </c>
      <c r="E11" s="91"/>
      <c r="F11" s="91"/>
      <c r="G11" s="140">
        <v>1</v>
      </c>
      <c r="H11" s="140">
        <v>1</v>
      </c>
      <c r="I11" s="91"/>
      <c r="J11" s="91"/>
      <c r="K11" s="138">
        <v>1</v>
      </c>
      <c r="L11" s="138">
        <v>1</v>
      </c>
      <c r="M11" s="367">
        <v>6000</v>
      </c>
      <c r="N11" s="138">
        <v>1</v>
      </c>
      <c r="O11" s="138">
        <v>1</v>
      </c>
      <c r="P11" s="138">
        <v>1</v>
      </c>
      <c r="Q11" s="138">
        <v>1</v>
      </c>
      <c r="R11" s="202" t="s">
        <v>601</v>
      </c>
      <c r="S11" s="368">
        <v>1</v>
      </c>
      <c r="T11" s="368">
        <v>1</v>
      </c>
      <c r="U11" s="369"/>
      <c r="V11" s="368">
        <v>1</v>
      </c>
      <c r="W11" s="140" t="s">
        <v>602</v>
      </c>
      <c r="X11" s="140">
        <v>1</v>
      </c>
      <c r="Y11" s="140">
        <v>1</v>
      </c>
      <c r="Z11" s="140">
        <v>1</v>
      </c>
      <c r="AA11" s="140">
        <v>1</v>
      </c>
      <c r="AB11" s="140">
        <v>12000</v>
      </c>
      <c r="AC11" s="140">
        <v>1</v>
      </c>
      <c r="AD11" s="140">
        <v>1</v>
      </c>
      <c r="AE11" s="140">
        <v>1</v>
      </c>
      <c r="AF11" s="140">
        <v>1</v>
      </c>
      <c r="AG11" s="100"/>
      <c r="AH11" s="100"/>
      <c r="AI11" s="138"/>
      <c r="AJ11" s="138"/>
      <c r="AK11" s="138"/>
      <c r="AL11" s="138"/>
      <c r="AM11" s="138"/>
    </row>
    <row r="12" spans="1:39" ht="14.4">
      <c r="A12" s="108">
        <v>2</v>
      </c>
      <c r="B12" s="91" t="s">
        <v>603</v>
      </c>
      <c r="C12" s="91" t="s">
        <v>604</v>
      </c>
      <c r="D12" s="140">
        <v>1</v>
      </c>
      <c r="E12" s="140">
        <v>1</v>
      </c>
      <c r="F12" s="140">
        <v>1</v>
      </c>
      <c r="G12" s="140">
        <v>1</v>
      </c>
      <c r="H12" s="140">
        <v>1</v>
      </c>
      <c r="I12" s="91">
        <v>1</v>
      </c>
      <c r="J12" s="91">
        <v>1</v>
      </c>
      <c r="K12" s="91">
        <v>1</v>
      </c>
      <c r="L12" s="91">
        <v>1</v>
      </c>
      <c r="M12" s="367" t="s">
        <v>601</v>
      </c>
      <c r="N12" s="138">
        <v>1</v>
      </c>
      <c r="O12" s="138">
        <v>1</v>
      </c>
      <c r="P12" s="138">
        <v>1</v>
      </c>
      <c r="Q12" s="138"/>
      <c r="R12" s="140">
        <v>12000</v>
      </c>
      <c r="S12" s="368">
        <v>1</v>
      </c>
      <c r="T12" s="368">
        <v>1</v>
      </c>
      <c r="U12" s="368">
        <v>1</v>
      </c>
      <c r="V12" s="368">
        <v>1</v>
      </c>
      <c r="W12" s="140" t="s">
        <v>605</v>
      </c>
      <c r="X12" s="235">
        <v>1</v>
      </c>
      <c r="Y12" s="140">
        <v>1</v>
      </c>
      <c r="Z12" s="140">
        <v>1</v>
      </c>
      <c r="AA12" s="140">
        <v>1</v>
      </c>
      <c r="AB12" s="140">
        <v>9000</v>
      </c>
      <c r="AC12" s="138"/>
      <c r="AD12" s="138"/>
      <c r="AE12" s="138"/>
      <c r="AF12" s="138"/>
      <c r="AG12" s="100"/>
      <c r="AH12" s="100"/>
      <c r="AI12" s="138"/>
      <c r="AJ12" s="138"/>
      <c r="AK12" s="138"/>
      <c r="AL12" s="138"/>
      <c r="AM12" s="138"/>
    </row>
    <row r="13" spans="1:39" ht="14.4">
      <c r="A13" s="108">
        <v>3</v>
      </c>
      <c r="B13" s="91" t="s">
        <v>606</v>
      </c>
      <c r="C13" s="91" t="s">
        <v>607</v>
      </c>
      <c r="D13" s="140">
        <v>1</v>
      </c>
      <c r="E13" s="140">
        <v>1</v>
      </c>
      <c r="F13" s="91"/>
      <c r="G13" s="140">
        <v>1</v>
      </c>
      <c r="H13" s="140">
        <v>1</v>
      </c>
      <c r="I13" s="140">
        <v>1</v>
      </c>
      <c r="J13" s="140">
        <v>1</v>
      </c>
      <c r="K13" s="140">
        <v>1</v>
      </c>
      <c r="L13" s="140">
        <v>1</v>
      </c>
      <c r="M13" s="367" t="s">
        <v>601</v>
      </c>
      <c r="N13" s="140">
        <v>1</v>
      </c>
      <c r="O13" s="140">
        <v>1</v>
      </c>
      <c r="P13" s="138"/>
      <c r="Q13" s="140">
        <v>1</v>
      </c>
      <c r="R13" s="140">
        <v>12000</v>
      </c>
      <c r="S13" s="368">
        <v>1</v>
      </c>
      <c r="T13" s="368">
        <v>1</v>
      </c>
      <c r="U13" s="369"/>
      <c r="V13" s="368">
        <v>1</v>
      </c>
      <c r="W13" s="140" t="s">
        <v>605</v>
      </c>
      <c r="X13" s="235">
        <v>1</v>
      </c>
      <c r="Y13" s="235">
        <v>1</v>
      </c>
      <c r="Z13" s="235">
        <v>1</v>
      </c>
      <c r="AA13" s="140">
        <v>1</v>
      </c>
      <c r="AB13" s="140">
        <v>3000</v>
      </c>
      <c r="AC13" s="138">
        <v>1</v>
      </c>
      <c r="AD13" s="138">
        <v>1</v>
      </c>
      <c r="AE13" s="138">
        <v>1</v>
      </c>
      <c r="AF13" s="138"/>
      <c r="AG13" s="100"/>
      <c r="AH13" s="208">
        <v>46117</v>
      </c>
      <c r="AI13" s="138"/>
      <c r="AJ13" s="138"/>
      <c r="AK13" s="138"/>
      <c r="AL13" s="138"/>
      <c r="AM13" s="138"/>
    </row>
    <row r="14" spans="1:39" ht="14.4">
      <c r="A14" s="108">
        <v>4</v>
      </c>
      <c r="B14" s="91" t="s">
        <v>216</v>
      </c>
      <c r="C14" s="91" t="s">
        <v>608</v>
      </c>
      <c r="D14" s="140">
        <v>1</v>
      </c>
      <c r="E14" s="140">
        <v>1</v>
      </c>
      <c r="F14" s="140">
        <v>1</v>
      </c>
      <c r="G14" s="140"/>
      <c r="H14" s="91"/>
      <c r="I14" s="91">
        <v>1</v>
      </c>
      <c r="J14" s="91">
        <v>1</v>
      </c>
      <c r="K14" s="91">
        <v>1</v>
      </c>
      <c r="L14" s="91">
        <v>1</v>
      </c>
      <c r="M14" s="370" t="s">
        <v>601</v>
      </c>
      <c r="N14" s="138">
        <v>1</v>
      </c>
      <c r="O14" s="138">
        <v>1</v>
      </c>
      <c r="P14" s="138">
        <v>1</v>
      </c>
      <c r="Q14" s="138">
        <v>1</v>
      </c>
      <c r="R14" s="140">
        <v>12000</v>
      </c>
      <c r="S14" s="368">
        <v>1</v>
      </c>
      <c r="T14" s="368">
        <v>1</v>
      </c>
      <c r="U14" s="368">
        <v>1</v>
      </c>
      <c r="V14" s="369"/>
      <c r="W14" s="140">
        <v>12000</v>
      </c>
      <c r="X14" s="138"/>
      <c r="Y14" s="138"/>
      <c r="Z14" s="140">
        <v>1</v>
      </c>
      <c r="AA14" s="140">
        <v>1</v>
      </c>
      <c r="AB14" s="140">
        <v>12000</v>
      </c>
      <c r="AC14" s="235">
        <v>1</v>
      </c>
      <c r="AD14" s="235">
        <v>1</v>
      </c>
      <c r="AE14" s="235"/>
      <c r="AF14" s="138"/>
      <c r="AG14" s="100"/>
      <c r="AH14" s="100"/>
      <c r="AI14" s="138"/>
      <c r="AJ14" s="138"/>
      <c r="AK14" s="138"/>
      <c r="AL14" s="138"/>
      <c r="AM14" s="138"/>
    </row>
    <row r="15" spans="1:39" ht="14.4" hidden="1">
      <c r="A15" s="108">
        <v>5</v>
      </c>
      <c r="B15" s="91" t="s">
        <v>609</v>
      </c>
      <c r="C15" s="91" t="s">
        <v>610</v>
      </c>
      <c r="D15" s="140">
        <v>1</v>
      </c>
      <c r="E15" s="140">
        <v>1</v>
      </c>
      <c r="F15" s="140">
        <v>1</v>
      </c>
      <c r="G15" s="140">
        <v>1</v>
      </c>
      <c r="H15" s="140">
        <v>1</v>
      </c>
      <c r="I15" s="91"/>
      <c r="J15" s="91"/>
      <c r="K15" s="91">
        <v>1</v>
      </c>
      <c r="L15" s="91"/>
      <c r="M15" s="371">
        <v>3000</v>
      </c>
      <c r="N15" s="138"/>
      <c r="O15" s="138"/>
      <c r="P15" s="138"/>
      <c r="Q15" s="138"/>
      <c r="R15" s="138"/>
      <c r="S15" s="369"/>
      <c r="T15" s="369"/>
      <c r="U15" s="369"/>
      <c r="V15" s="369"/>
      <c r="W15" s="106"/>
      <c r="X15" s="138"/>
      <c r="Y15" s="138"/>
      <c r="Z15" s="138"/>
      <c r="AA15" s="138"/>
      <c r="AB15" s="138"/>
      <c r="AC15" s="138"/>
      <c r="AD15" s="138"/>
      <c r="AE15" s="138"/>
      <c r="AF15" s="138"/>
      <c r="AG15" s="100"/>
      <c r="AH15" s="100"/>
      <c r="AI15" s="138"/>
      <c r="AJ15" s="138"/>
      <c r="AK15" s="138"/>
      <c r="AL15" s="138"/>
      <c r="AM15" s="138"/>
    </row>
    <row r="16" spans="1:39" ht="14.4" hidden="1">
      <c r="A16" s="108">
        <v>6</v>
      </c>
      <c r="B16" s="91" t="s">
        <v>611</v>
      </c>
      <c r="C16" s="91" t="s">
        <v>612</v>
      </c>
      <c r="D16" s="140">
        <v>1</v>
      </c>
      <c r="E16" s="140">
        <v>1</v>
      </c>
      <c r="F16" s="140">
        <v>1</v>
      </c>
      <c r="G16" s="140">
        <v>1</v>
      </c>
      <c r="H16" s="372">
        <v>1</v>
      </c>
      <c r="I16" s="91"/>
      <c r="J16" s="91"/>
      <c r="K16" s="91"/>
      <c r="L16" s="91"/>
      <c r="M16" s="371"/>
      <c r="N16" s="138"/>
      <c r="O16" s="138"/>
      <c r="P16" s="138"/>
      <c r="Q16" s="138"/>
      <c r="R16" s="138"/>
      <c r="S16" s="369"/>
      <c r="T16" s="369"/>
      <c r="U16" s="369"/>
      <c r="V16" s="369"/>
      <c r="W16" s="106"/>
      <c r="X16" s="138"/>
      <c r="Y16" s="138"/>
      <c r="Z16" s="138"/>
      <c r="AA16" s="138"/>
      <c r="AB16" s="138"/>
      <c r="AC16" s="138"/>
      <c r="AD16" s="138"/>
      <c r="AE16" s="138"/>
      <c r="AF16" s="138"/>
      <c r="AG16" s="100"/>
      <c r="AH16" s="100"/>
      <c r="AI16" s="138"/>
      <c r="AJ16" s="138"/>
      <c r="AK16" s="138"/>
      <c r="AL16" s="138"/>
      <c r="AM16" s="138"/>
    </row>
    <row r="17" spans="1:39" ht="14.4">
      <c r="A17" s="108">
        <v>7</v>
      </c>
      <c r="B17" s="91" t="s">
        <v>613</v>
      </c>
      <c r="C17" s="91" t="s">
        <v>614</v>
      </c>
      <c r="D17" s="91">
        <v>1</v>
      </c>
      <c r="E17" s="91"/>
      <c r="F17" s="91"/>
      <c r="G17" s="91"/>
      <c r="H17" s="91"/>
      <c r="I17" s="91"/>
      <c r="J17" s="91">
        <v>1</v>
      </c>
      <c r="K17" s="91"/>
      <c r="L17" s="91">
        <v>1</v>
      </c>
      <c r="M17" s="371">
        <v>6000</v>
      </c>
      <c r="N17" s="138">
        <v>1</v>
      </c>
      <c r="O17" s="138">
        <v>1</v>
      </c>
      <c r="P17" s="138">
        <v>1</v>
      </c>
      <c r="Q17" s="138">
        <v>1</v>
      </c>
      <c r="R17" s="140">
        <v>12000</v>
      </c>
      <c r="S17" s="368">
        <v>1</v>
      </c>
      <c r="T17" s="368">
        <v>1</v>
      </c>
      <c r="U17" s="368">
        <v>1</v>
      </c>
      <c r="V17" s="368">
        <v>1</v>
      </c>
      <c r="W17" s="140" t="s">
        <v>605</v>
      </c>
      <c r="X17" s="138"/>
      <c r="Y17" s="140">
        <v>1</v>
      </c>
      <c r="Z17" s="140">
        <v>1</v>
      </c>
      <c r="AA17" s="140">
        <v>1</v>
      </c>
      <c r="AB17" s="140">
        <v>9000</v>
      </c>
      <c r="AC17" s="140">
        <v>1</v>
      </c>
      <c r="AD17" s="140">
        <v>1</v>
      </c>
      <c r="AE17" s="138"/>
      <c r="AF17" s="138"/>
      <c r="AG17" s="100"/>
      <c r="AH17" s="100"/>
      <c r="AI17" s="138"/>
      <c r="AJ17" s="138"/>
      <c r="AK17" s="138"/>
      <c r="AL17" s="138"/>
      <c r="AM17" s="138"/>
    </row>
    <row r="18" spans="1:39" ht="14.4">
      <c r="A18" s="108">
        <v>8</v>
      </c>
      <c r="B18" s="91" t="s">
        <v>615</v>
      </c>
      <c r="C18" s="91" t="s">
        <v>616</v>
      </c>
      <c r="D18" s="140">
        <v>1</v>
      </c>
      <c r="E18" s="140">
        <v>1</v>
      </c>
      <c r="F18" s="91"/>
      <c r="G18" s="140">
        <v>1</v>
      </c>
      <c r="H18" s="140">
        <v>1</v>
      </c>
      <c r="I18" s="91"/>
      <c r="J18" s="91"/>
      <c r="K18" s="91"/>
      <c r="L18" s="91"/>
      <c r="M18" s="371"/>
      <c r="N18" s="138"/>
      <c r="O18" s="138"/>
      <c r="P18" s="138"/>
      <c r="Q18" s="138"/>
      <c r="R18" s="138"/>
      <c r="S18" s="369"/>
      <c r="T18" s="369"/>
      <c r="U18" s="368">
        <v>1</v>
      </c>
      <c r="V18" s="368">
        <v>1</v>
      </c>
      <c r="W18" s="140">
        <v>6000</v>
      </c>
      <c r="X18" s="140">
        <v>1</v>
      </c>
      <c r="Y18" s="138"/>
      <c r="Z18" s="138"/>
      <c r="AA18" s="138"/>
      <c r="AB18" s="140">
        <v>3000</v>
      </c>
      <c r="AC18" s="138"/>
      <c r="AD18" s="138"/>
      <c r="AE18" s="138"/>
      <c r="AF18" s="140">
        <v>1</v>
      </c>
      <c r="AG18" s="100"/>
      <c r="AH18" s="100"/>
      <c r="AI18" s="138"/>
      <c r="AJ18" s="138"/>
      <c r="AK18" s="138"/>
      <c r="AL18" s="138"/>
      <c r="AM18" s="138"/>
    </row>
    <row r="19" spans="1:39" ht="14.4">
      <c r="A19" s="108">
        <v>9</v>
      </c>
      <c r="B19" s="373" t="s">
        <v>617</v>
      </c>
      <c r="C19" s="91" t="s">
        <v>618</v>
      </c>
      <c r="D19" s="112"/>
      <c r="E19" s="140">
        <v>1</v>
      </c>
      <c r="F19" s="140">
        <v>1</v>
      </c>
      <c r="G19" s="140">
        <v>1</v>
      </c>
      <c r="H19" s="140">
        <v>1</v>
      </c>
      <c r="I19" s="91">
        <v>1</v>
      </c>
      <c r="J19" s="91">
        <v>1</v>
      </c>
      <c r="K19" s="91">
        <v>1</v>
      </c>
      <c r="L19" s="91">
        <v>1</v>
      </c>
      <c r="M19" s="370" t="s">
        <v>601</v>
      </c>
      <c r="N19" s="138">
        <v>1</v>
      </c>
      <c r="O19" s="138">
        <v>1</v>
      </c>
      <c r="P19" s="138">
        <v>1</v>
      </c>
      <c r="Q19" s="138"/>
      <c r="R19" s="140" t="s">
        <v>619</v>
      </c>
      <c r="S19" s="368">
        <v>1</v>
      </c>
      <c r="T19" s="368">
        <v>1</v>
      </c>
      <c r="U19" s="368">
        <v>1</v>
      </c>
      <c r="V19" s="368">
        <v>1</v>
      </c>
      <c r="W19" s="140" t="s">
        <v>605</v>
      </c>
      <c r="X19" s="140">
        <v>1</v>
      </c>
      <c r="Y19" s="140">
        <v>1</v>
      </c>
      <c r="Z19" s="140">
        <v>1</v>
      </c>
      <c r="AA19" s="140">
        <v>1</v>
      </c>
      <c r="AB19" s="140">
        <v>12000</v>
      </c>
      <c r="AC19" s="138">
        <v>1</v>
      </c>
      <c r="AD19" s="138">
        <v>1</v>
      </c>
      <c r="AE19" s="138">
        <v>1</v>
      </c>
      <c r="AF19" s="138"/>
      <c r="AG19" s="100"/>
      <c r="AH19" s="100"/>
      <c r="AI19" s="138"/>
      <c r="AJ19" s="138"/>
      <c r="AK19" s="138"/>
      <c r="AL19" s="138"/>
      <c r="AM19" s="138"/>
    </row>
    <row r="20" spans="1:39" ht="14.4" hidden="1">
      <c r="A20" s="108">
        <v>10</v>
      </c>
      <c r="B20" s="91" t="s">
        <v>290</v>
      </c>
      <c r="C20" s="91"/>
      <c r="D20" s="128"/>
      <c r="E20" s="91"/>
      <c r="F20" s="140">
        <v>1</v>
      </c>
      <c r="G20" s="140">
        <v>1</v>
      </c>
      <c r="H20" s="140">
        <v>1</v>
      </c>
      <c r="I20" s="140"/>
      <c r="J20" s="91"/>
      <c r="K20" s="91">
        <v>1</v>
      </c>
      <c r="L20" s="91"/>
      <c r="M20" s="370"/>
      <c r="N20" s="91"/>
      <c r="O20" s="138"/>
      <c r="P20" s="138"/>
      <c r="Q20" s="138"/>
      <c r="R20" s="138"/>
      <c r="S20" s="369"/>
      <c r="T20" s="369"/>
      <c r="U20" s="369"/>
      <c r="V20" s="369"/>
      <c r="W20" s="106"/>
      <c r="X20" s="138"/>
      <c r="Y20" s="138"/>
      <c r="Z20" s="138"/>
      <c r="AA20" s="138"/>
      <c r="AB20" s="138"/>
      <c r="AC20" s="138"/>
      <c r="AD20" s="138"/>
      <c r="AE20" s="138"/>
      <c r="AF20" s="138"/>
      <c r="AG20" s="100"/>
      <c r="AH20" s="100"/>
      <c r="AI20" s="138"/>
      <c r="AJ20" s="138"/>
      <c r="AK20" s="138"/>
      <c r="AL20" s="138"/>
      <c r="AM20" s="138"/>
    </row>
    <row r="21" spans="1:39" ht="14.4" hidden="1">
      <c r="A21" s="108">
        <v>11</v>
      </c>
      <c r="B21" s="91" t="s">
        <v>620</v>
      </c>
      <c r="C21" s="91"/>
      <c r="D21" s="128"/>
      <c r="E21" s="91"/>
      <c r="F21" s="138"/>
      <c r="G21" s="138"/>
      <c r="H21" s="138"/>
      <c r="I21" s="138"/>
      <c r="J21" s="91"/>
      <c r="K21" s="91">
        <v>1</v>
      </c>
      <c r="L21" s="91">
        <v>1</v>
      </c>
      <c r="M21" s="370"/>
      <c r="N21" s="91"/>
      <c r="O21" s="138"/>
      <c r="P21" s="138"/>
      <c r="Q21" s="138"/>
      <c r="R21" s="138"/>
      <c r="S21" s="369"/>
      <c r="T21" s="369"/>
      <c r="U21" s="369"/>
      <c r="V21" s="369"/>
      <c r="W21" s="106"/>
      <c r="X21" s="138"/>
      <c r="Y21" s="138"/>
      <c r="Z21" s="138"/>
      <c r="AA21" s="138"/>
      <c r="AB21" s="138"/>
      <c r="AC21" s="138"/>
      <c r="AD21" s="138"/>
      <c r="AE21" s="138"/>
      <c r="AF21" s="138"/>
      <c r="AG21" s="100"/>
      <c r="AH21" s="100"/>
      <c r="AI21" s="138"/>
      <c r="AJ21" s="138"/>
      <c r="AK21" s="138"/>
      <c r="AL21" s="138"/>
      <c r="AM21" s="138"/>
    </row>
    <row r="22" spans="1:39" ht="14.4">
      <c r="A22" s="108">
        <v>13</v>
      </c>
      <c r="B22" s="91" t="s">
        <v>621</v>
      </c>
      <c r="C22" s="91" t="s">
        <v>622</v>
      </c>
      <c r="D22" s="128"/>
      <c r="E22" s="91"/>
      <c r="F22" s="138"/>
      <c r="G22" s="138"/>
      <c r="H22" s="138"/>
      <c r="I22" s="138"/>
      <c r="J22" s="91"/>
      <c r="K22" s="91"/>
      <c r="L22" s="91">
        <v>1</v>
      </c>
      <c r="M22" s="370"/>
      <c r="N22" s="91">
        <v>1</v>
      </c>
      <c r="O22" s="138">
        <v>1</v>
      </c>
      <c r="P22" s="138">
        <v>1</v>
      </c>
      <c r="Q22" s="138"/>
      <c r="R22" s="140">
        <v>12000</v>
      </c>
      <c r="S22" s="369"/>
      <c r="T22" s="368">
        <v>1</v>
      </c>
      <c r="U22" s="368">
        <v>1</v>
      </c>
      <c r="V22" s="369"/>
      <c r="W22" s="140">
        <v>12000</v>
      </c>
      <c r="X22" s="138"/>
      <c r="Y22" s="235">
        <v>1</v>
      </c>
      <c r="Z22" s="138"/>
      <c r="AA22" s="235">
        <v>1</v>
      </c>
      <c r="AB22" s="138"/>
      <c r="AC22" s="235">
        <v>1</v>
      </c>
      <c r="AD22" s="138">
        <v>1</v>
      </c>
      <c r="AE22" s="138">
        <v>1</v>
      </c>
      <c r="AF22" s="138"/>
      <c r="AG22" s="100"/>
      <c r="AH22" s="100"/>
      <c r="AI22" s="138"/>
      <c r="AJ22" s="138"/>
      <c r="AK22" s="138"/>
      <c r="AL22" s="138"/>
      <c r="AM22" s="138"/>
    </row>
    <row r="23" spans="1:39" ht="14.4">
      <c r="A23" s="108">
        <v>14</v>
      </c>
      <c r="B23" s="91" t="s">
        <v>623</v>
      </c>
      <c r="C23" s="91" t="s">
        <v>622</v>
      </c>
      <c r="D23" s="128"/>
      <c r="E23" s="91"/>
      <c r="F23" s="138"/>
      <c r="G23" s="138"/>
      <c r="H23" s="138"/>
      <c r="I23" s="138"/>
      <c r="J23" s="91"/>
      <c r="K23" s="91"/>
      <c r="L23" s="91"/>
      <c r="M23" s="370"/>
      <c r="N23" s="91"/>
      <c r="O23" s="138">
        <v>1</v>
      </c>
      <c r="P23" s="138">
        <v>1</v>
      </c>
      <c r="Q23" s="138"/>
      <c r="R23" s="140">
        <v>6000</v>
      </c>
      <c r="S23" s="369"/>
      <c r="T23" s="368">
        <v>1</v>
      </c>
      <c r="U23" s="368">
        <v>1</v>
      </c>
      <c r="V23" s="369"/>
      <c r="W23" s="140">
        <v>6000</v>
      </c>
      <c r="X23" s="140">
        <v>1</v>
      </c>
      <c r="Y23" s="140">
        <v>1</v>
      </c>
      <c r="Z23" s="138"/>
      <c r="AA23" s="140">
        <v>1</v>
      </c>
      <c r="AB23" s="140">
        <v>9000</v>
      </c>
      <c r="AC23" s="140">
        <v>1</v>
      </c>
      <c r="AD23" s="138"/>
      <c r="AE23" s="138"/>
      <c r="AF23" s="138"/>
      <c r="AG23" s="100"/>
      <c r="AH23" s="100"/>
      <c r="AI23" s="138"/>
      <c r="AJ23" s="138"/>
      <c r="AK23" s="138"/>
      <c r="AL23" s="138"/>
      <c r="AM23" s="138"/>
    </row>
    <row r="24" spans="1:39" ht="14.4">
      <c r="A24" s="108">
        <v>15</v>
      </c>
      <c r="B24" s="91" t="s">
        <v>624</v>
      </c>
      <c r="C24" s="91" t="s">
        <v>622</v>
      </c>
      <c r="D24" s="128"/>
      <c r="E24" s="91"/>
      <c r="F24" s="138"/>
      <c r="G24" s="138"/>
      <c r="H24" s="138"/>
      <c r="I24" s="138"/>
      <c r="J24" s="91"/>
      <c r="K24" s="91"/>
      <c r="L24" s="91"/>
      <c r="M24" s="370"/>
      <c r="N24" s="91">
        <v>1</v>
      </c>
      <c r="O24" s="138">
        <v>1</v>
      </c>
      <c r="P24" s="138">
        <v>1</v>
      </c>
      <c r="Q24" s="138">
        <v>1</v>
      </c>
      <c r="R24" s="140">
        <v>12000</v>
      </c>
      <c r="S24" s="368">
        <v>1</v>
      </c>
      <c r="T24" s="368">
        <v>1</v>
      </c>
      <c r="U24" s="369"/>
      <c r="V24" s="368">
        <v>1</v>
      </c>
      <c r="W24" s="140">
        <v>9000</v>
      </c>
      <c r="X24" s="140">
        <v>1</v>
      </c>
      <c r="Y24" s="138"/>
      <c r="Z24" s="138"/>
      <c r="AA24" s="138"/>
      <c r="AB24" s="140">
        <v>3000</v>
      </c>
      <c r="AC24" s="138">
        <v>1</v>
      </c>
      <c r="AD24" s="138">
        <v>1</v>
      </c>
      <c r="AE24" s="138">
        <v>1</v>
      </c>
      <c r="AF24" s="138">
        <v>1</v>
      </c>
      <c r="AG24" s="100"/>
      <c r="AH24" s="143" t="s">
        <v>625</v>
      </c>
      <c r="AI24" s="138"/>
      <c r="AJ24" s="138"/>
      <c r="AK24" s="138"/>
      <c r="AL24" s="138"/>
      <c r="AM24" s="138"/>
    </row>
    <row r="25" spans="1:39" ht="14.4">
      <c r="A25" s="108">
        <v>16</v>
      </c>
      <c r="B25" s="91" t="s">
        <v>626</v>
      </c>
      <c r="C25" s="91" t="s">
        <v>627</v>
      </c>
      <c r="D25" s="128"/>
      <c r="E25" s="91"/>
      <c r="F25" s="138"/>
      <c r="G25" s="138"/>
      <c r="H25" s="138"/>
      <c r="I25" s="138"/>
      <c r="J25" s="91"/>
      <c r="K25" s="91"/>
      <c r="L25" s="91"/>
      <c r="M25" s="370"/>
      <c r="N25" s="140"/>
      <c r="O25" s="140">
        <v>1</v>
      </c>
      <c r="P25" s="140">
        <v>1</v>
      </c>
      <c r="Q25" s="140"/>
      <c r="R25" s="140">
        <v>12000</v>
      </c>
      <c r="S25" s="368">
        <v>1</v>
      </c>
      <c r="T25" s="368">
        <v>1</v>
      </c>
      <c r="U25" s="368">
        <v>1</v>
      </c>
      <c r="V25" s="368">
        <v>1</v>
      </c>
      <c r="W25" s="140" t="s">
        <v>628</v>
      </c>
      <c r="X25" s="138">
        <v>1</v>
      </c>
      <c r="Y25" s="138">
        <v>1</v>
      </c>
      <c r="Z25" s="138">
        <v>1</v>
      </c>
      <c r="AA25" s="138">
        <v>1</v>
      </c>
      <c r="AB25" s="140">
        <v>12000</v>
      </c>
      <c r="AC25" s="138"/>
      <c r="AD25" s="138"/>
      <c r="AE25" s="138"/>
      <c r="AF25" s="138"/>
      <c r="AG25" s="100"/>
      <c r="AH25" s="100"/>
      <c r="AI25" s="138"/>
      <c r="AJ25" s="138"/>
      <c r="AK25" s="138"/>
      <c r="AL25" s="138"/>
      <c r="AM25" s="138"/>
    </row>
    <row r="26" spans="1:39" ht="14.4" hidden="1">
      <c r="A26" s="108">
        <v>17</v>
      </c>
      <c r="B26" s="91" t="s">
        <v>629</v>
      </c>
      <c r="C26" s="91"/>
      <c r="D26" s="128"/>
      <c r="E26" s="91"/>
      <c r="F26" s="138"/>
      <c r="G26" s="138"/>
      <c r="H26" s="138"/>
      <c r="I26" s="138"/>
      <c r="J26" s="91"/>
      <c r="K26" s="91"/>
      <c r="L26" s="91"/>
      <c r="M26" s="370"/>
      <c r="N26" s="91"/>
      <c r="O26" s="138">
        <v>1</v>
      </c>
      <c r="P26" s="138">
        <v>1</v>
      </c>
      <c r="Q26" s="138"/>
      <c r="R26" s="140">
        <v>6000</v>
      </c>
      <c r="S26" s="369"/>
      <c r="T26" s="369"/>
      <c r="U26" s="369"/>
      <c r="V26" s="369"/>
      <c r="W26" s="106"/>
      <c r="X26" s="138"/>
      <c r="Y26" s="138"/>
      <c r="Z26" s="138"/>
      <c r="AA26" s="138"/>
      <c r="AB26" s="138"/>
      <c r="AC26" s="138"/>
      <c r="AD26" s="138"/>
      <c r="AE26" s="138"/>
      <c r="AF26" s="138"/>
      <c r="AG26" s="100"/>
      <c r="AH26" s="100"/>
      <c r="AI26" s="138"/>
      <c r="AJ26" s="138"/>
      <c r="AK26" s="138"/>
      <c r="AL26" s="138"/>
      <c r="AM26" s="138"/>
    </row>
    <row r="27" spans="1:39" ht="14.4" hidden="1">
      <c r="A27" s="108">
        <v>18</v>
      </c>
      <c r="B27" s="91" t="s">
        <v>630</v>
      </c>
      <c r="C27" s="91"/>
      <c r="D27" s="128"/>
      <c r="E27" s="91"/>
      <c r="F27" s="138"/>
      <c r="G27" s="138"/>
      <c r="H27" s="138"/>
      <c r="I27" s="138"/>
      <c r="J27" s="91"/>
      <c r="K27" s="91"/>
      <c r="L27" s="91"/>
      <c r="M27" s="370"/>
      <c r="N27" s="91"/>
      <c r="O27" s="138"/>
      <c r="P27" s="138">
        <v>1</v>
      </c>
      <c r="Q27" s="138">
        <v>1</v>
      </c>
      <c r="R27" s="138">
        <v>6000</v>
      </c>
      <c r="S27" s="369"/>
      <c r="T27" s="369"/>
      <c r="U27" s="369"/>
      <c r="V27" s="369"/>
      <c r="W27" s="106"/>
      <c r="X27" s="138"/>
      <c r="Y27" s="138"/>
      <c r="Z27" s="138"/>
      <c r="AA27" s="138"/>
      <c r="AB27" s="138"/>
      <c r="AC27" s="138"/>
      <c r="AD27" s="138"/>
      <c r="AE27" s="138"/>
      <c r="AF27" s="138"/>
      <c r="AG27" s="100"/>
      <c r="AH27" s="100"/>
      <c r="AI27" s="138"/>
      <c r="AJ27" s="138"/>
      <c r="AK27" s="138"/>
      <c r="AL27" s="138"/>
      <c r="AM27" s="138"/>
    </row>
    <row r="28" spans="1:39" ht="14.4" hidden="1">
      <c r="A28" s="108">
        <v>19</v>
      </c>
      <c r="B28" s="91" t="s">
        <v>631</v>
      </c>
      <c r="C28" s="91"/>
      <c r="D28" s="128"/>
      <c r="E28" s="91"/>
      <c r="F28" s="138"/>
      <c r="G28" s="138"/>
      <c r="H28" s="138"/>
      <c r="I28" s="138"/>
      <c r="J28" s="91"/>
      <c r="K28" s="91"/>
      <c r="L28" s="91"/>
      <c r="M28" s="370"/>
      <c r="N28" s="91"/>
      <c r="O28" s="138"/>
      <c r="P28" s="138"/>
      <c r="Q28" s="138" t="s">
        <v>171</v>
      </c>
      <c r="R28" s="138"/>
      <c r="S28" s="369"/>
      <c r="T28" s="369"/>
      <c r="U28" s="369"/>
      <c r="V28" s="369"/>
      <c r="W28" s="106"/>
      <c r="X28" s="138"/>
      <c r="Y28" s="138"/>
      <c r="Z28" s="138"/>
      <c r="AA28" s="138"/>
      <c r="AB28" s="138"/>
      <c r="AC28" s="138"/>
      <c r="AD28" s="138"/>
      <c r="AE28" s="138"/>
      <c r="AF28" s="138"/>
      <c r="AG28" s="100"/>
      <c r="AH28" s="100"/>
      <c r="AI28" s="138"/>
      <c r="AJ28" s="138"/>
      <c r="AK28" s="138"/>
      <c r="AL28" s="138"/>
      <c r="AM28" s="138"/>
    </row>
    <row r="29" spans="1:39" ht="14.4">
      <c r="A29" s="108">
        <v>20</v>
      </c>
      <c r="B29" s="91" t="s">
        <v>455</v>
      </c>
      <c r="C29" s="91" t="s">
        <v>627</v>
      </c>
      <c r="D29" s="128"/>
      <c r="E29" s="91"/>
      <c r="F29" s="138"/>
      <c r="G29" s="138"/>
      <c r="H29" s="138"/>
      <c r="I29" s="138"/>
      <c r="J29" s="91"/>
      <c r="K29" s="91"/>
      <c r="L29" s="91"/>
      <c r="M29" s="370"/>
      <c r="N29" s="91"/>
      <c r="O29" s="138"/>
      <c r="P29" s="138"/>
      <c r="Q29" s="138"/>
      <c r="R29" s="138"/>
      <c r="S29" s="369"/>
      <c r="T29" s="368">
        <v>1</v>
      </c>
      <c r="U29" s="368">
        <v>1</v>
      </c>
      <c r="V29" s="368">
        <v>1</v>
      </c>
      <c r="W29" s="140">
        <v>9000</v>
      </c>
      <c r="X29" s="138"/>
      <c r="Y29" s="138"/>
      <c r="Z29" s="140">
        <v>1</v>
      </c>
      <c r="AA29" s="140">
        <v>1</v>
      </c>
      <c r="AB29" s="140">
        <v>6000</v>
      </c>
      <c r="AC29" s="138"/>
      <c r="AD29" s="140">
        <v>1</v>
      </c>
      <c r="AE29" s="140">
        <v>1</v>
      </c>
      <c r="AF29" s="140">
        <v>1</v>
      </c>
      <c r="AG29" s="100"/>
      <c r="AH29" s="100"/>
      <c r="AI29" s="138"/>
      <c r="AJ29" s="138"/>
      <c r="AK29" s="138"/>
      <c r="AL29" s="138"/>
      <c r="AM29" s="138"/>
    </row>
    <row r="30" spans="1:39" ht="14.4">
      <c r="A30" s="108">
        <v>22</v>
      </c>
      <c r="B30" s="91" t="s">
        <v>615</v>
      </c>
      <c r="C30" s="91"/>
      <c r="D30" s="128"/>
      <c r="E30" s="91"/>
      <c r="F30" s="138"/>
      <c r="G30" s="138"/>
      <c r="H30" s="138"/>
      <c r="I30" s="138"/>
      <c r="J30" s="91"/>
      <c r="K30" s="91"/>
      <c r="L30" s="91"/>
      <c r="M30" s="370"/>
      <c r="N30" s="91"/>
      <c r="O30" s="138"/>
      <c r="P30" s="138"/>
      <c r="Q30" s="138"/>
      <c r="R30" s="138"/>
      <c r="S30" s="369"/>
      <c r="T30" s="368"/>
      <c r="U30" s="368"/>
      <c r="V30" s="368"/>
      <c r="W30" s="140"/>
      <c r="X30" s="138"/>
      <c r="Y30" s="138"/>
      <c r="Z30" s="140"/>
      <c r="AA30" s="140"/>
      <c r="AB30" s="140"/>
      <c r="AC30" s="140">
        <v>1</v>
      </c>
      <c r="AD30" s="138"/>
      <c r="AE30" s="138"/>
      <c r="AF30" s="138"/>
      <c r="AG30" s="100"/>
      <c r="AH30" s="100"/>
      <c r="AI30" s="138"/>
      <c r="AJ30" s="138"/>
      <c r="AK30" s="138"/>
      <c r="AL30" s="138"/>
      <c r="AM30" s="138"/>
    </row>
    <row r="31" spans="1:39" ht="14.4">
      <c r="A31" s="108">
        <v>23</v>
      </c>
      <c r="B31" s="91" t="s">
        <v>632</v>
      </c>
      <c r="C31" s="91"/>
      <c r="D31" s="128"/>
      <c r="E31" s="91"/>
      <c r="F31" s="138"/>
      <c r="G31" s="138"/>
      <c r="H31" s="138"/>
      <c r="I31" s="138"/>
      <c r="J31" s="91"/>
      <c r="K31" s="91"/>
      <c r="L31" s="91"/>
      <c r="M31" s="370"/>
      <c r="N31" s="91"/>
      <c r="O31" s="138"/>
      <c r="P31" s="138"/>
      <c r="Q31" s="138"/>
      <c r="R31" s="138"/>
      <c r="S31" s="369"/>
      <c r="T31" s="368"/>
      <c r="U31" s="368"/>
      <c r="V31" s="368"/>
      <c r="W31" s="140"/>
      <c r="X31" s="138"/>
      <c r="Y31" s="138"/>
      <c r="Z31" s="140"/>
      <c r="AA31" s="140"/>
      <c r="AB31" s="140"/>
      <c r="AC31" s="138"/>
      <c r="AD31" s="140">
        <v>1</v>
      </c>
      <c r="AE31" s="138">
        <v>1</v>
      </c>
      <c r="AF31" s="138"/>
      <c r="AG31" s="100"/>
      <c r="AH31" s="100"/>
      <c r="AI31" s="138"/>
      <c r="AJ31" s="138"/>
      <c r="AK31" s="138"/>
      <c r="AL31" s="138"/>
      <c r="AM31" s="138"/>
    </row>
    <row r="32" spans="1:39" ht="14.4">
      <c r="A32" s="108">
        <v>24</v>
      </c>
      <c r="B32" s="91" t="s">
        <v>633</v>
      </c>
      <c r="C32" s="91"/>
      <c r="D32" s="128"/>
      <c r="E32" s="91"/>
      <c r="F32" s="138"/>
      <c r="G32" s="138"/>
      <c r="H32" s="138"/>
      <c r="I32" s="138"/>
      <c r="J32" s="91"/>
      <c r="K32" s="91"/>
      <c r="L32" s="91"/>
      <c r="M32" s="370"/>
      <c r="N32" s="91"/>
      <c r="O32" s="138"/>
      <c r="P32" s="138"/>
      <c r="Q32" s="138"/>
      <c r="R32" s="138"/>
      <c r="S32" s="369"/>
      <c r="T32" s="368"/>
      <c r="U32" s="368"/>
      <c r="V32" s="368"/>
      <c r="W32" s="140"/>
      <c r="X32" s="138"/>
      <c r="Y32" s="138"/>
      <c r="Z32" s="140"/>
      <c r="AA32" s="140"/>
      <c r="AB32" s="140"/>
      <c r="AC32" s="138"/>
      <c r="AD32" s="138"/>
      <c r="AE32" s="138"/>
      <c r="AF32" s="138"/>
      <c r="AG32" s="100"/>
      <c r="AH32" s="100"/>
      <c r="AI32" s="138"/>
      <c r="AJ32" s="138"/>
      <c r="AK32" s="138"/>
      <c r="AL32" s="138"/>
      <c r="AM32" s="138"/>
    </row>
    <row r="33" spans="1:39" ht="14.4" hidden="1">
      <c r="A33" s="108"/>
      <c r="B33" s="138"/>
      <c r="C33" s="138"/>
      <c r="D33" s="128"/>
      <c r="E33" s="138"/>
      <c r="F33" s="138"/>
      <c r="G33" s="138"/>
      <c r="H33" s="138"/>
      <c r="I33" s="138"/>
      <c r="J33" s="138"/>
      <c r="K33" s="138"/>
      <c r="L33" s="138"/>
      <c r="M33" s="371"/>
      <c r="N33" s="138"/>
      <c r="O33" s="138"/>
      <c r="P33" s="138"/>
      <c r="Q33" s="138"/>
      <c r="R33" s="138"/>
      <c r="S33" s="369"/>
      <c r="T33" s="369"/>
      <c r="U33" s="369"/>
      <c r="V33" s="369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00"/>
      <c r="AH33" s="100"/>
      <c r="AI33" s="138"/>
      <c r="AJ33" s="138"/>
      <c r="AK33" s="138"/>
      <c r="AL33" s="138"/>
      <c r="AM33" s="138"/>
    </row>
    <row r="34" spans="1:39" ht="14.4">
      <c r="B34" s="102" t="s">
        <v>147</v>
      </c>
      <c r="C34" s="102"/>
      <c r="D34" s="108">
        <v>8</v>
      </c>
      <c r="E34" s="108">
        <v>7</v>
      </c>
      <c r="F34" s="108">
        <v>6</v>
      </c>
      <c r="G34" s="101">
        <v>8</v>
      </c>
      <c r="H34" s="101">
        <v>8</v>
      </c>
      <c r="I34" s="113">
        <v>4</v>
      </c>
      <c r="J34" s="113">
        <v>5</v>
      </c>
      <c r="K34" s="113">
        <v>8</v>
      </c>
      <c r="L34" s="113">
        <v>9</v>
      </c>
      <c r="M34" s="113"/>
      <c r="N34" s="113">
        <v>8</v>
      </c>
      <c r="O34" s="113">
        <v>11</v>
      </c>
      <c r="P34" s="113">
        <v>11</v>
      </c>
      <c r="Q34" s="113">
        <v>6</v>
      </c>
      <c r="R34" s="113"/>
      <c r="S34" s="374">
        <v>8</v>
      </c>
      <c r="T34" s="374">
        <v>11</v>
      </c>
      <c r="U34" s="374">
        <v>9</v>
      </c>
      <c r="V34" s="374">
        <v>9</v>
      </c>
      <c r="W34" s="106"/>
      <c r="X34" s="106">
        <v>8</v>
      </c>
      <c r="Y34" s="106">
        <v>8</v>
      </c>
      <c r="Z34" s="106">
        <v>8</v>
      </c>
      <c r="AA34" s="106">
        <v>10</v>
      </c>
      <c r="AB34" s="106"/>
      <c r="AC34" s="106">
        <v>9</v>
      </c>
      <c r="AD34" s="106">
        <v>9</v>
      </c>
      <c r="AE34" s="106">
        <v>7</v>
      </c>
      <c r="AF34" s="106">
        <v>4</v>
      </c>
      <c r="AG34" s="100"/>
      <c r="AH34" s="100"/>
      <c r="AI34" s="113"/>
      <c r="AJ34" s="113"/>
      <c r="AK34" s="113"/>
      <c r="AL34" s="113"/>
      <c r="AM34" s="113"/>
    </row>
    <row r="35" spans="1:39" ht="13.2">
      <c r="V35" s="85">
        <v>37</v>
      </c>
      <c r="X35" s="100"/>
      <c r="Y35" s="100"/>
      <c r="Z35" s="100"/>
      <c r="AA35" s="100">
        <v>34</v>
      </c>
      <c r="AB35" s="100"/>
      <c r="AC35" s="100"/>
      <c r="AD35" s="100"/>
      <c r="AE35" s="100"/>
      <c r="AF35" s="100">
        <v>29</v>
      </c>
      <c r="AG35" s="100"/>
      <c r="AH35" s="100"/>
      <c r="AI35" s="100"/>
      <c r="AJ35" s="100"/>
      <c r="AK35" s="100"/>
      <c r="AL35" s="100"/>
      <c r="AM35" s="100"/>
    </row>
    <row r="36" spans="1:39" ht="13.2">
      <c r="V36" s="85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</row>
    <row r="37" spans="1:39" ht="13.2">
      <c r="B37" s="85" t="s">
        <v>634</v>
      </c>
      <c r="C37" s="85" t="s">
        <v>635</v>
      </c>
      <c r="V37" s="85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</row>
    <row r="38" spans="1:39" ht="14.4">
      <c r="A38" s="193"/>
      <c r="B38" s="360" t="s">
        <v>636</v>
      </c>
      <c r="C38" s="193"/>
      <c r="D38" s="193"/>
      <c r="E38" s="193"/>
      <c r="F38" s="193"/>
      <c r="G38" s="193"/>
      <c r="H38" s="193"/>
      <c r="M38" s="85"/>
      <c r="S38" s="85" t="s">
        <v>82</v>
      </c>
      <c r="T38" s="85"/>
      <c r="U38" s="85"/>
      <c r="V38" s="85"/>
      <c r="W38" s="85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</row>
    <row r="39" spans="1:39" ht="14.4">
      <c r="A39" s="101"/>
      <c r="B39" s="271" t="s">
        <v>135</v>
      </c>
      <c r="C39" s="102" t="s">
        <v>598</v>
      </c>
      <c r="D39" s="362">
        <v>45932</v>
      </c>
      <c r="E39" s="362">
        <v>45939</v>
      </c>
      <c r="F39" s="363">
        <v>45946</v>
      </c>
      <c r="G39" s="103">
        <v>45953</v>
      </c>
      <c r="H39" s="103">
        <v>45960</v>
      </c>
      <c r="I39" s="103">
        <v>45967</v>
      </c>
      <c r="J39" s="103">
        <v>45974</v>
      </c>
      <c r="K39" s="103">
        <v>45981</v>
      </c>
      <c r="L39" s="103">
        <v>45988</v>
      </c>
      <c r="M39" s="375"/>
      <c r="N39" s="375">
        <v>45995</v>
      </c>
      <c r="O39" s="376">
        <v>46002</v>
      </c>
      <c r="P39" s="376">
        <v>46009</v>
      </c>
      <c r="Q39" s="376">
        <v>46016</v>
      </c>
      <c r="R39" s="377" t="s">
        <v>128</v>
      </c>
      <c r="S39" s="376">
        <v>46030</v>
      </c>
      <c r="T39" s="365">
        <v>46037</v>
      </c>
      <c r="U39" s="365">
        <v>46044</v>
      </c>
      <c r="V39" s="365">
        <v>46051</v>
      </c>
      <c r="W39" s="106" t="s">
        <v>128</v>
      </c>
      <c r="X39" s="105">
        <v>46058</v>
      </c>
      <c r="Y39" s="105">
        <v>46065</v>
      </c>
      <c r="Z39" s="105">
        <v>46072</v>
      </c>
      <c r="AA39" s="124">
        <v>46079</v>
      </c>
      <c r="AB39" s="124"/>
      <c r="AC39" s="124">
        <v>46086</v>
      </c>
      <c r="AD39" s="124">
        <v>46093</v>
      </c>
      <c r="AE39" s="124">
        <v>46100</v>
      </c>
      <c r="AF39" s="124">
        <v>46107</v>
      </c>
      <c r="AG39" s="378"/>
      <c r="AH39" s="366"/>
      <c r="AI39" s="124"/>
      <c r="AJ39" s="124"/>
      <c r="AK39" s="124"/>
      <c r="AL39" s="124"/>
      <c r="AM39" s="124"/>
    </row>
    <row r="40" spans="1:39" ht="14.4">
      <c r="A40" s="108">
        <v>1</v>
      </c>
      <c r="B40" s="109" t="s">
        <v>637</v>
      </c>
      <c r="C40" s="91" t="s">
        <v>604</v>
      </c>
      <c r="D40" s="328">
        <v>1</v>
      </c>
      <c r="E40" s="328">
        <v>1</v>
      </c>
      <c r="F40" s="328">
        <v>1</v>
      </c>
      <c r="G40" s="328">
        <v>1</v>
      </c>
      <c r="H40" s="329">
        <v>1</v>
      </c>
      <c r="I40" s="140">
        <v>1</v>
      </c>
      <c r="J40" s="140">
        <v>1</v>
      </c>
      <c r="K40" s="140">
        <v>1</v>
      </c>
      <c r="L40" s="140">
        <v>1</v>
      </c>
      <c r="M40" s="91" t="s">
        <v>601</v>
      </c>
      <c r="N40" s="91">
        <v>1</v>
      </c>
      <c r="O40" s="91">
        <v>1</v>
      </c>
      <c r="P40" s="91">
        <v>1</v>
      </c>
      <c r="Q40" s="91">
        <v>1</v>
      </c>
      <c r="R40" s="140">
        <v>12000</v>
      </c>
      <c r="S40" s="140">
        <v>1</v>
      </c>
      <c r="T40" s="140">
        <v>1</v>
      </c>
      <c r="U40" s="140">
        <v>1</v>
      </c>
      <c r="V40" s="140">
        <v>1</v>
      </c>
      <c r="W40" s="140" t="s">
        <v>605</v>
      </c>
      <c r="X40" s="140">
        <v>1</v>
      </c>
      <c r="Y40" s="140">
        <v>1</v>
      </c>
      <c r="Z40" s="140">
        <v>1</v>
      </c>
      <c r="AA40" s="140">
        <v>1</v>
      </c>
      <c r="AB40" s="140">
        <v>12000</v>
      </c>
      <c r="AC40" s="138"/>
      <c r="AD40" s="138"/>
      <c r="AE40" s="138"/>
      <c r="AF40" s="138"/>
      <c r="AG40" s="138"/>
      <c r="AH40" s="100"/>
      <c r="AI40" s="138"/>
      <c r="AJ40" s="138"/>
      <c r="AK40" s="138"/>
      <c r="AL40" s="138"/>
      <c r="AM40" s="138"/>
    </row>
    <row r="41" spans="1:39" ht="14.4">
      <c r="A41" s="108">
        <v>2</v>
      </c>
      <c r="B41" s="109" t="s">
        <v>638</v>
      </c>
      <c r="C41" s="109" t="s">
        <v>639</v>
      </c>
      <c r="D41" s="328">
        <v>1</v>
      </c>
      <c r="E41" s="328">
        <v>1</v>
      </c>
      <c r="F41" s="328">
        <v>1</v>
      </c>
      <c r="G41" s="328">
        <v>1</v>
      </c>
      <c r="H41" s="329">
        <v>1</v>
      </c>
      <c r="I41" s="140">
        <v>1</v>
      </c>
      <c r="J41" s="140">
        <v>1</v>
      </c>
      <c r="K41" s="140">
        <v>1</v>
      </c>
      <c r="L41" s="140">
        <v>1</v>
      </c>
      <c r="M41" s="91" t="s">
        <v>601</v>
      </c>
      <c r="N41" s="91">
        <v>1</v>
      </c>
      <c r="O41" s="91">
        <v>1</v>
      </c>
      <c r="P41" s="91"/>
      <c r="Q41" s="91"/>
      <c r="R41" s="140">
        <v>6000</v>
      </c>
      <c r="S41" s="140">
        <v>1</v>
      </c>
      <c r="T41" s="140">
        <v>1</v>
      </c>
      <c r="U41" s="140">
        <v>1</v>
      </c>
      <c r="V41" s="140">
        <v>1</v>
      </c>
      <c r="W41" s="140">
        <v>12000</v>
      </c>
      <c r="X41" s="140">
        <v>1</v>
      </c>
      <c r="Y41" s="140">
        <v>1</v>
      </c>
      <c r="Z41" s="140">
        <v>1</v>
      </c>
      <c r="AA41" s="140">
        <v>1</v>
      </c>
      <c r="AB41" s="140">
        <v>12000</v>
      </c>
      <c r="AC41" s="140">
        <v>1</v>
      </c>
      <c r="AD41" s="140">
        <v>1</v>
      </c>
      <c r="AE41" s="138"/>
      <c r="AF41" s="138"/>
      <c r="AG41" s="138"/>
      <c r="AH41" s="100"/>
      <c r="AI41" s="138"/>
      <c r="AJ41" s="138"/>
      <c r="AK41" s="138"/>
      <c r="AL41" s="138"/>
      <c r="AM41" s="138"/>
    </row>
    <row r="42" spans="1:39" ht="14.4">
      <c r="A42" s="108">
        <v>3</v>
      </c>
      <c r="B42" s="112" t="s">
        <v>640</v>
      </c>
      <c r="C42" s="112" t="s">
        <v>641</v>
      </c>
      <c r="D42" s="328">
        <v>1</v>
      </c>
      <c r="E42" s="329"/>
      <c r="F42" s="328">
        <v>1</v>
      </c>
      <c r="G42" s="328">
        <v>1</v>
      </c>
      <c r="H42" s="329">
        <v>1</v>
      </c>
      <c r="I42" s="140">
        <v>1</v>
      </c>
      <c r="J42" s="140">
        <v>1</v>
      </c>
      <c r="K42" s="140">
        <v>1</v>
      </c>
      <c r="L42" s="140">
        <v>1</v>
      </c>
      <c r="M42" s="91" t="s">
        <v>601</v>
      </c>
      <c r="N42" s="91">
        <v>1</v>
      </c>
      <c r="O42" s="91">
        <v>1</v>
      </c>
      <c r="P42" s="91">
        <v>1</v>
      </c>
      <c r="Q42" s="91">
        <v>1</v>
      </c>
      <c r="R42" s="140">
        <v>12000</v>
      </c>
      <c r="S42" s="91"/>
      <c r="T42" s="140">
        <v>1</v>
      </c>
      <c r="U42" s="140">
        <v>1</v>
      </c>
      <c r="V42" s="140">
        <v>1</v>
      </c>
      <c r="W42" s="140" t="s">
        <v>602</v>
      </c>
      <c r="X42" s="138">
        <v>1</v>
      </c>
      <c r="Y42" s="138">
        <v>1</v>
      </c>
      <c r="Z42" s="138">
        <v>1</v>
      </c>
      <c r="AA42" s="138">
        <v>1</v>
      </c>
      <c r="AB42" s="138">
        <v>12000</v>
      </c>
      <c r="AC42" s="138">
        <v>1</v>
      </c>
      <c r="AD42" s="138">
        <v>1</v>
      </c>
      <c r="AE42" s="138">
        <v>1</v>
      </c>
      <c r="AF42" s="138">
        <v>1</v>
      </c>
      <c r="AG42" s="138"/>
      <c r="AH42" s="100"/>
      <c r="AI42" s="138"/>
      <c r="AJ42" s="138"/>
      <c r="AK42" s="138"/>
      <c r="AL42" s="138"/>
      <c r="AM42" s="138"/>
    </row>
    <row r="43" spans="1:39" ht="14.4">
      <c r="A43" s="108">
        <v>4</v>
      </c>
      <c r="B43" s="112" t="s">
        <v>642</v>
      </c>
      <c r="C43" s="112" t="s">
        <v>641</v>
      </c>
      <c r="D43" s="328">
        <v>1</v>
      </c>
      <c r="E43" s="329"/>
      <c r="F43" s="328">
        <v>1</v>
      </c>
      <c r="G43" s="328">
        <v>1</v>
      </c>
      <c r="H43" s="329">
        <v>1</v>
      </c>
      <c r="I43" s="140">
        <v>1</v>
      </c>
      <c r="J43" s="140">
        <v>1</v>
      </c>
      <c r="K43" s="140">
        <v>1</v>
      </c>
      <c r="L43" s="140">
        <v>1</v>
      </c>
      <c r="M43" s="91" t="s">
        <v>601</v>
      </c>
      <c r="N43" s="91">
        <v>1</v>
      </c>
      <c r="O43" s="91">
        <v>1</v>
      </c>
      <c r="P43" s="91">
        <v>1</v>
      </c>
      <c r="Q43" s="91">
        <v>1</v>
      </c>
      <c r="R43" s="140">
        <v>12000</v>
      </c>
      <c r="S43" s="91"/>
      <c r="T43" s="140">
        <v>1</v>
      </c>
      <c r="U43" s="140">
        <v>1</v>
      </c>
      <c r="V43" s="140">
        <v>1</v>
      </c>
      <c r="W43" s="140" t="s">
        <v>602</v>
      </c>
      <c r="X43" s="138">
        <v>1</v>
      </c>
      <c r="Y43" s="138">
        <v>1</v>
      </c>
      <c r="Z43" s="138">
        <v>1</v>
      </c>
      <c r="AA43" s="138">
        <v>1</v>
      </c>
      <c r="AB43" s="138">
        <v>12000</v>
      </c>
      <c r="AC43" s="138">
        <v>1</v>
      </c>
      <c r="AD43" s="138">
        <v>1</v>
      </c>
      <c r="AE43" s="138">
        <v>1</v>
      </c>
      <c r="AF43" s="138">
        <v>1</v>
      </c>
      <c r="AG43" s="138"/>
      <c r="AH43" s="100"/>
      <c r="AI43" s="138"/>
      <c r="AJ43" s="138"/>
      <c r="AK43" s="138"/>
      <c r="AL43" s="138"/>
      <c r="AM43" s="138"/>
    </row>
    <row r="44" spans="1:39" ht="14.4">
      <c r="A44" s="108">
        <v>5</v>
      </c>
      <c r="B44" s="112" t="s">
        <v>643</v>
      </c>
      <c r="C44" s="112" t="s">
        <v>644</v>
      </c>
      <c r="D44" s="328">
        <v>1</v>
      </c>
      <c r="E44" s="328">
        <v>1</v>
      </c>
      <c r="F44" s="328">
        <v>1</v>
      </c>
      <c r="G44" s="328">
        <v>1</v>
      </c>
      <c r="H44" s="329">
        <v>1</v>
      </c>
      <c r="I44" s="140">
        <v>1</v>
      </c>
      <c r="J44" s="140">
        <v>1</v>
      </c>
      <c r="K44" s="140">
        <v>1</v>
      </c>
      <c r="L44" s="140">
        <v>1</v>
      </c>
      <c r="M44" s="91" t="s">
        <v>601</v>
      </c>
      <c r="N44" s="91">
        <v>1</v>
      </c>
      <c r="O44" s="91">
        <v>1</v>
      </c>
      <c r="P44" s="91">
        <v>1</v>
      </c>
      <c r="Q44" s="91">
        <v>1</v>
      </c>
      <c r="R44" s="140">
        <v>12000</v>
      </c>
      <c r="S44" s="91"/>
      <c r="T44" s="140">
        <v>1</v>
      </c>
      <c r="U44" s="91"/>
      <c r="V44" s="140">
        <v>1</v>
      </c>
      <c r="W44" s="140" t="s">
        <v>628</v>
      </c>
      <c r="X44" s="138">
        <v>1</v>
      </c>
      <c r="Y44" s="138">
        <v>1</v>
      </c>
      <c r="Z44" s="138">
        <v>1</v>
      </c>
      <c r="AA44" s="138">
        <v>1</v>
      </c>
      <c r="AB44" s="138">
        <v>12000</v>
      </c>
      <c r="AC44" s="138">
        <v>1</v>
      </c>
      <c r="AD44" s="138"/>
      <c r="AE44" s="138"/>
      <c r="AF44" s="138"/>
      <c r="AG44" s="138"/>
      <c r="AH44" s="143" t="s">
        <v>645</v>
      </c>
      <c r="AI44" s="138"/>
      <c r="AJ44" s="138"/>
      <c r="AK44" s="138"/>
      <c r="AL44" s="138"/>
      <c r="AM44" s="138"/>
    </row>
    <row r="45" spans="1:39" ht="14.4">
      <c r="A45" s="108">
        <v>6</v>
      </c>
      <c r="B45" s="112" t="s">
        <v>646</v>
      </c>
      <c r="C45" s="112" t="s">
        <v>647</v>
      </c>
      <c r="D45" s="328">
        <v>1</v>
      </c>
      <c r="E45" s="328">
        <v>1</v>
      </c>
      <c r="F45" s="112"/>
      <c r="G45" s="328">
        <v>1</v>
      </c>
      <c r="H45" s="329">
        <v>1</v>
      </c>
      <c r="I45" s="91"/>
      <c r="J45" s="140">
        <v>1</v>
      </c>
      <c r="K45" s="140">
        <v>1</v>
      </c>
      <c r="L45" s="140">
        <v>1</v>
      </c>
      <c r="M45" s="91"/>
      <c r="N45" s="91">
        <v>1</v>
      </c>
      <c r="O45" s="91">
        <v>1</v>
      </c>
      <c r="P45" s="91">
        <v>1</v>
      </c>
      <c r="Q45" s="91">
        <v>1</v>
      </c>
      <c r="R45" s="140">
        <v>12000</v>
      </c>
      <c r="S45" s="140">
        <v>1</v>
      </c>
      <c r="T45" s="140">
        <v>1</v>
      </c>
      <c r="U45" s="140">
        <v>1</v>
      </c>
      <c r="V45" s="140">
        <v>1</v>
      </c>
      <c r="W45" s="140" t="s">
        <v>605</v>
      </c>
      <c r="X45" s="140">
        <v>1</v>
      </c>
      <c r="Y45" s="140">
        <v>1</v>
      </c>
      <c r="Z45" s="140">
        <v>1</v>
      </c>
      <c r="AA45" s="140">
        <v>1</v>
      </c>
      <c r="AB45" s="140">
        <v>12000</v>
      </c>
      <c r="AC45" s="140">
        <v>1</v>
      </c>
      <c r="AD45" s="140">
        <v>1</v>
      </c>
      <c r="AE45" s="140"/>
      <c r="AF45" s="140"/>
      <c r="AG45" s="140">
        <v>12000</v>
      </c>
      <c r="AH45" s="100"/>
      <c r="AI45" s="138"/>
      <c r="AJ45" s="138"/>
      <c r="AK45" s="138"/>
      <c r="AL45" s="138"/>
      <c r="AM45" s="138"/>
    </row>
    <row r="46" spans="1:39" ht="14.4" hidden="1">
      <c r="A46" s="108">
        <v>7</v>
      </c>
      <c r="B46" s="112" t="s">
        <v>648</v>
      </c>
      <c r="C46" s="112" t="s">
        <v>649</v>
      </c>
      <c r="D46" s="328">
        <v>1</v>
      </c>
      <c r="E46" s="328">
        <v>1</v>
      </c>
      <c r="F46" s="328">
        <v>1</v>
      </c>
      <c r="G46" s="328">
        <v>1</v>
      </c>
      <c r="H46" s="329">
        <v>1</v>
      </c>
      <c r="I46" s="140">
        <v>1</v>
      </c>
      <c r="J46" s="140">
        <v>1</v>
      </c>
      <c r="K46" s="140">
        <v>1</v>
      </c>
      <c r="L46" s="91"/>
      <c r="M46" s="91"/>
      <c r="N46" s="91">
        <v>1</v>
      </c>
      <c r="O46" s="91">
        <v>1</v>
      </c>
      <c r="P46" s="91">
        <v>1</v>
      </c>
      <c r="Q46" s="91">
        <v>1</v>
      </c>
      <c r="R46" s="140">
        <v>12000</v>
      </c>
      <c r="S46" s="91"/>
      <c r="T46" s="91"/>
      <c r="U46" s="91"/>
      <c r="V46" s="91"/>
      <c r="W46" s="106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00"/>
      <c r="AI46" s="138"/>
      <c r="AJ46" s="138"/>
      <c r="AK46" s="138"/>
      <c r="AL46" s="138"/>
      <c r="AM46" s="138"/>
    </row>
    <row r="47" spans="1:39" ht="14.4" hidden="1">
      <c r="A47" s="108">
        <v>9</v>
      </c>
      <c r="B47" s="112" t="s">
        <v>650</v>
      </c>
      <c r="C47" s="112" t="s">
        <v>651</v>
      </c>
      <c r="D47" s="110">
        <v>1</v>
      </c>
      <c r="E47" s="109"/>
      <c r="F47" s="109"/>
      <c r="G47" s="109"/>
      <c r="H47" s="109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106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00"/>
      <c r="AI47" s="138"/>
      <c r="AJ47" s="138"/>
      <c r="AK47" s="138"/>
      <c r="AL47" s="138"/>
      <c r="AM47" s="138"/>
    </row>
    <row r="48" spans="1:39" ht="14.4" hidden="1">
      <c r="A48" s="108">
        <v>10</v>
      </c>
      <c r="B48" s="112" t="s">
        <v>652</v>
      </c>
      <c r="C48" s="112"/>
      <c r="D48" s="328">
        <v>1</v>
      </c>
      <c r="E48" s="328">
        <v>1</v>
      </c>
      <c r="F48" s="328">
        <v>1</v>
      </c>
      <c r="G48" s="328">
        <v>1</v>
      </c>
      <c r="H48" s="109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106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00"/>
      <c r="AI48" s="138"/>
      <c r="AJ48" s="138"/>
      <c r="AK48" s="138"/>
      <c r="AL48" s="138"/>
      <c r="AM48" s="138"/>
    </row>
    <row r="49" spans="1:39" ht="14.4">
      <c r="A49" s="108">
        <v>11</v>
      </c>
      <c r="B49" s="112" t="s">
        <v>653</v>
      </c>
      <c r="C49" s="112" t="s">
        <v>654</v>
      </c>
      <c r="D49" s="328">
        <v>1</v>
      </c>
      <c r="E49" s="328">
        <v>1</v>
      </c>
      <c r="F49" s="328">
        <v>1</v>
      </c>
      <c r="G49" s="379">
        <v>1</v>
      </c>
      <c r="H49" s="380">
        <v>1</v>
      </c>
      <c r="I49" s="91">
        <v>1</v>
      </c>
      <c r="J49" s="91">
        <v>1</v>
      </c>
      <c r="K49" s="91">
        <v>1</v>
      </c>
      <c r="L49" s="91"/>
      <c r="M49" s="91"/>
      <c r="N49" s="91">
        <v>1</v>
      </c>
      <c r="O49" s="91"/>
      <c r="P49" s="91">
        <v>1</v>
      </c>
      <c r="Q49" s="91"/>
      <c r="R49" s="140">
        <v>6000</v>
      </c>
      <c r="S49" s="91"/>
      <c r="T49" s="91"/>
      <c r="U49" s="140">
        <v>1</v>
      </c>
      <c r="V49" s="140">
        <v>1</v>
      </c>
      <c r="W49" s="140" t="s">
        <v>628</v>
      </c>
      <c r="X49" s="138"/>
      <c r="Y49" s="138"/>
      <c r="Z49" s="140">
        <v>1</v>
      </c>
      <c r="AA49" s="138"/>
      <c r="AB49" s="140">
        <v>3000</v>
      </c>
      <c r="AC49" s="138">
        <v>1</v>
      </c>
      <c r="AD49" s="138">
        <v>1</v>
      </c>
      <c r="AE49" s="138"/>
      <c r="AF49" s="138"/>
      <c r="AG49" s="138"/>
      <c r="AH49" s="143" t="s">
        <v>655</v>
      </c>
      <c r="AI49" s="138"/>
      <c r="AJ49" s="138"/>
      <c r="AK49" s="138"/>
      <c r="AL49" s="138"/>
      <c r="AM49" s="138"/>
    </row>
    <row r="50" spans="1:39" ht="14.4" hidden="1">
      <c r="A50" s="108">
        <v>12</v>
      </c>
      <c r="B50" s="112" t="s">
        <v>656</v>
      </c>
      <c r="C50" s="112" t="s">
        <v>651</v>
      </c>
      <c r="D50" s="109"/>
      <c r="E50" s="109"/>
      <c r="F50" s="110">
        <v>1</v>
      </c>
      <c r="G50" s="109"/>
      <c r="H50" s="109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106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00"/>
      <c r="AI50" s="138"/>
      <c r="AJ50" s="138"/>
      <c r="AK50" s="138"/>
      <c r="AL50" s="138"/>
      <c r="AM50" s="138"/>
    </row>
    <row r="51" spans="1:39" ht="14.4">
      <c r="A51" s="108">
        <v>13</v>
      </c>
      <c r="B51" s="112" t="s">
        <v>657</v>
      </c>
      <c r="C51" s="112" t="s">
        <v>641</v>
      </c>
      <c r="D51" s="109"/>
      <c r="E51" s="109"/>
      <c r="F51" s="110"/>
      <c r="G51" s="109"/>
      <c r="H51" s="109"/>
      <c r="I51" s="91"/>
      <c r="J51" s="91"/>
      <c r="K51" s="91"/>
      <c r="L51" s="91"/>
      <c r="M51" s="91"/>
      <c r="N51" s="91">
        <v>1</v>
      </c>
      <c r="O51" s="91">
        <v>1</v>
      </c>
      <c r="P51" s="91"/>
      <c r="Q51" s="91">
        <v>1</v>
      </c>
      <c r="R51" s="140">
        <v>12000</v>
      </c>
      <c r="S51" s="140">
        <v>1</v>
      </c>
      <c r="T51" s="140">
        <v>1</v>
      </c>
      <c r="U51" s="91"/>
      <c r="V51" s="91"/>
      <c r="W51" s="140">
        <v>3000</v>
      </c>
      <c r="X51" s="138">
        <v>1</v>
      </c>
      <c r="Y51" s="138">
        <v>1</v>
      </c>
      <c r="Z51" s="138">
        <v>1</v>
      </c>
      <c r="AA51" s="138"/>
      <c r="AB51" s="138">
        <v>9000</v>
      </c>
      <c r="AC51" s="138"/>
      <c r="AD51" s="138">
        <v>1</v>
      </c>
      <c r="AE51" s="138">
        <v>1</v>
      </c>
      <c r="AF51" s="138"/>
      <c r="AG51" s="138"/>
      <c r="AH51" s="143" t="s">
        <v>645</v>
      </c>
      <c r="AI51" s="138"/>
      <c r="AJ51" s="138"/>
      <c r="AK51" s="138"/>
      <c r="AL51" s="138"/>
      <c r="AM51" s="138"/>
    </row>
    <row r="52" spans="1:39" ht="14.4">
      <c r="A52" s="108"/>
      <c r="B52" s="112" t="s">
        <v>658</v>
      </c>
      <c r="C52" s="112"/>
      <c r="D52" s="109"/>
      <c r="E52" s="109"/>
      <c r="F52" s="110"/>
      <c r="G52" s="109"/>
      <c r="H52" s="109"/>
      <c r="I52" s="91"/>
      <c r="J52" s="91"/>
      <c r="K52" s="91"/>
      <c r="L52" s="91"/>
      <c r="M52" s="91"/>
      <c r="N52" s="91"/>
      <c r="O52" s="91"/>
      <c r="P52" s="91"/>
      <c r="Q52" s="91"/>
      <c r="R52" s="140"/>
      <c r="S52" s="138"/>
      <c r="T52" s="91"/>
      <c r="U52" s="91"/>
      <c r="V52" s="91"/>
      <c r="W52" s="106"/>
      <c r="X52" s="140">
        <v>1</v>
      </c>
      <c r="Y52" s="140">
        <v>1</v>
      </c>
      <c r="Z52" s="140">
        <v>1</v>
      </c>
      <c r="AA52" s="140">
        <v>1</v>
      </c>
      <c r="AB52" s="140" t="s">
        <v>605</v>
      </c>
      <c r="AC52" s="138"/>
      <c r="AD52" s="138"/>
      <c r="AE52" s="138"/>
      <c r="AF52" s="138"/>
      <c r="AG52" s="138"/>
      <c r="AH52" s="100"/>
      <c r="AI52" s="138"/>
      <c r="AJ52" s="138"/>
      <c r="AK52" s="138"/>
      <c r="AL52" s="138"/>
      <c r="AM52" s="138"/>
    </row>
    <row r="53" spans="1:39" ht="14.4">
      <c r="A53" s="108"/>
      <c r="B53" s="112" t="s">
        <v>659</v>
      </c>
      <c r="C53" s="112"/>
      <c r="D53" s="109"/>
      <c r="E53" s="109"/>
      <c r="F53" s="110"/>
      <c r="G53" s="109"/>
      <c r="H53" s="109"/>
      <c r="I53" s="91"/>
      <c r="J53" s="91"/>
      <c r="K53" s="91"/>
      <c r="L53" s="91"/>
      <c r="M53" s="91"/>
      <c r="N53" s="91"/>
      <c r="O53" s="91"/>
      <c r="P53" s="91"/>
      <c r="Q53" s="91"/>
      <c r="R53" s="140"/>
      <c r="S53" s="138"/>
      <c r="T53" s="91"/>
      <c r="U53" s="91"/>
      <c r="V53" s="91"/>
      <c r="W53" s="106"/>
      <c r="X53" s="140">
        <v>1</v>
      </c>
      <c r="Y53" s="140">
        <v>1</v>
      </c>
      <c r="Z53" s="140">
        <v>1</v>
      </c>
      <c r="AA53" s="140">
        <v>1</v>
      </c>
      <c r="AB53" s="140" t="s">
        <v>605</v>
      </c>
      <c r="AC53" s="138"/>
      <c r="AD53" s="138"/>
      <c r="AE53" s="138"/>
      <c r="AF53" s="138"/>
      <c r="AG53" s="138"/>
      <c r="AH53" s="100"/>
      <c r="AI53" s="138"/>
      <c r="AJ53" s="138"/>
      <c r="AK53" s="138"/>
      <c r="AL53" s="138"/>
      <c r="AM53" s="138"/>
    </row>
    <row r="54" spans="1:39" ht="14.4">
      <c r="A54" s="108"/>
      <c r="B54" s="112" t="s">
        <v>660</v>
      </c>
      <c r="C54" s="112"/>
      <c r="D54" s="109"/>
      <c r="E54" s="109"/>
      <c r="F54" s="110"/>
      <c r="G54" s="109"/>
      <c r="H54" s="109"/>
      <c r="I54" s="91"/>
      <c r="J54" s="91"/>
      <c r="K54" s="91"/>
      <c r="L54" s="91"/>
      <c r="M54" s="91"/>
      <c r="N54" s="91"/>
      <c r="O54" s="91"/>
      <c r="P54" s="91"/>
      <c r="Q54" s="91"/>
      <c r="R54" s="140"/>
      <c r="S54" s="138"/>
      <c r="T54" s="91"/>
      <c r="U54" s="91"/>
      <c r="V54" s="91"/>
      <c r="W54" s="106"/>
      <c r="X54" s="138" t="s">
        <v>195</v>
      </c>
      <c r="Y54" s="138"/>
      <c r="Z54" s="138"/>
      <c r="AA54" s="138"/>
      <c r="AB54" s="138"/>
      <c r="AC54" s="138">
        <v>1</v>
      </c>
      <c r="AD54" s="138"/>
      <c r="AE54" s="138"/>
      <c r="AF54" s="138"/>
      <c r="AG54" s="138"/>
      <c r="AH54" s="100"/>
      <c r="AI54" s="138"/>
      <c r="AJ54" s="138"/>
      <c r="AK54" s="138"/>
      <c r="AL54" s="138"/>
      <c r="AM54" s="138"/>
    </row>
    <row r="55" spans="1:39" ht="14.4">
      <c r="A55" s="101"/>
      <c r="B55" s="102" t="s">
        <v>147</v>
      </c>
      <c r="C55" s="102"/>
      <c r="D55" s="108">
        <v>10</v>
      </c>
      <c r="E55" s="108">
        <v>7</v>
      </c>
      <c r="F55" s="108">
        <v>9</v>
      </c>
      <c r="G55" s="108">
        <v>9</v>
      </c>
      <c r="H55" s="101">
        <v>8</v>
      </c>
      <c r="I55" s="113">
        <v>7</v>
      </c>
      <c r="J55" s="113">
        <v>8</v>
      </c>
      <c r="K55" s="113">
        <v>8</v>
      </c>
      <c r="L55" s="113">
        <v>6</v>
      </c>
      <c r="M55" s="377"/>
      <c r="N55" s="377">
        <v>9</v>
      </c>
      <c r="O55" s="377">
        <v>8</v>
      </c>
      <c r="P55" s="377">
        <v>7</v>
      </c>
      <c r="Q55" s="377">
        <v>8</v>
      </c>
      <c r="R55" s="377"/>
      <c r="S55" s="377">
        <v>5</v>
      </c>
      <c r="T55" s="377">
        <v>7</v>
      </c>
      <c r="U55" s="377">
        <v>6</v>
      </c>
      <c r="V55" s="377">
        <v>7</v>
      </c>
      <c r="W55" s="106"/>
      <c r="X55" s="106">
        <v>10</v>
      </c>
      <c r="Y55" s="106">
        <v>9</v>
      </c>
      <c r="Z55" s="106">
        <v>10</v>
      </c>
      <c r="AA55" s="106">
        <v>8</v>
      </c>
      <c r="AB55" s="106"/>
      <c r="AC55" s="101">
        <v>7</v>
      </c>
      <c r="AD55" s="113">
        <v>6</v>
      </c>
      <c r="AE55" s="113">
        <v>3</v>
      </c>
      <c r="AF55" s="113">
        <v>2</v>
      </c>
      <c r="AG55" s="138"/>
      <c r="AH55" s="100"/>
      <c r="AI55" s="113"/>
      <c r="AJ55" s="113"/>
      <c r="AK55" s="113"/>
      <c r="AL55" s="113"/>
      <c r="AM55" s="113"/>
    </row>
    <row r="56" spans="1:39" ht="13.2">
      <c r="G56" s="100"/>
      <c r="H56" s="100"/>
      <c r="L56" s="85">
        <v>55</v>
      </c>
      <c r="Q56" s="85">
        <v>64</v>
      </c>
      <c r="R56" s="85"/>
      <c r="S56" s="85"/>
      <c r="T56" s="85"/>
      <c r="U56" s="85"/>
      <c r="V56" s="85">
        <v>24</v>
      </c>
      <c r="W56" s="85"/>
      <c r="X56" s="100"/>
      <c r="Y56" s="100"/>
      <c r="Z56" s="100"/>
      <c r="AA56" s="100">
        <v>37</v>
      </c>
      <c r="AB56" s="100"/>
      <c r="AC56" s="100"/>
      <c r="AD56" s="100"/>
      <c r="AE56" s="100"/>
      <c r="AF56" s="100">
        <v>18</v>
      </c>
      <c r="AG56" s="100"/>
      <c r="AH56" s="100"/>
      <c r="AI56" s="100"/>
      <c r="AJ56" s="100"/>
      <c r="AK56" s="100"/>
      <c r="AL56" s="100"/>
      <c r="AM56" s="100"/>
    </row>
    <row r="57" spans="1:39" ht="52.8">
      <c r="G57" s="100"/>
      <c r="H57" s="213"/>
      <c r="K57" s="381" t="s">
        <v>661</v>
      </c>
      <c r="L57" s="381" t="s">
        <v>662</v>
      </c>
      <c r="P57" s="95" t="s">
        <v>128</v>
      </c>
      <c r="Q57" s="114" t="s">
        <v>663</v>
      </c>
      <c r="R57" s="213"/>
      <c r="S57" s="213"/>
      <c r="T57" s="213"/>
      <c r="U57" s="114" t="s">
        <v>128</v>
      </c>
      <c r="V57" s="114" t="s">
        <v>664</v>
      </c>
      <c r="W57" s="213"/>
      <c r="X57" s="213"/>
      <c r="Y57" s="213"/>
      <c r="Z57" s="382" t="s">
        <v>665</v>
      </c>
      <c r="AA57" s="383">
        <f>AA56+AA35</f>
        <v>71</v>
      </c>
      <c r="AB57" s="213"/>
      <c r="AC57" s="213"/>
      <c r="AD57" s="213"/>
      <c r="AE57" s="382" t="s">
        <v>665</v>
      </c>
      <c r="AF57" s="383">
        <f>AF56+AF35</f>
        <v>47</v>
      </c>
      <c r="AG57" s="213"/>
      <c r="AH57" s="213"/>
      <c r="AI57" s="213"/>
      <c r="AJ57" s="213"/>
      <c r="AK57" s="213"/>
      <c r="AL57" s="213"/>
      <c r="AM57" s="213"/>
    </row>
    <row r="58" spans="1:39" ht="13.2">
      <c r="V58" s="85">
        <v>61</v>
      </c>
      <c r="X58" s="100"/>
      <c r="Y58" s="100"/>
      <c r="Z58" s="95" t="s">
        <v>128</v>
      </c>
      <c r="AA58" s="95">
        <f>3000*AA57</f>
        <v>213000</v>
      </c>
      <c r="AB58" s="100"/>
      <c r="AC58" s="100"/>
      <c r="AD58" s="100"/>
      <c r="AE58" s="95" t="s">
        <v>128</v>
      </c>
      <c r="AF58" s="95">
        <f>3000*AF57</f>
        <v>141000</v>
      </c>
      <c r="AG58" s="100"/>
      <c r="AH58" s="100"/>
      <c r="AI58" s="100"/>
      <c r="AJ58" s="100"/>
      <c r="AK58" s="100"/>
      <c r="AL58" s="100"/>
      <c r="AM58" s="100"/>
    </row>
    <row r="59" spans="1:39" ht="13.2">
      <c r="X59" s="100"/>
      <c r="Y59" s="100"/>
      <c r="Z59" s="100"/>
      <c r="AA59" s="100">
        <f>AA57*500-12000</f>
        <v>23500</v>
      </c>
      <c r="AB59" s="100"/>
      <c r="AC59" s="100"/>
      <c r="AD59" s="100"/>
      <c r="AE59" s="100"/>
      <c r="AF59" s="100">
        <f>AF57*500-12000</f>
        <v>11500</v>
      </c>
      <c r="AG59" s="100"/>
      <c r="AH59" s="100"/>
      <c r="AI59" s="100"/>
      <c r="AJ59" s="100"/>
      <c r="AK59" s="100"/>
      <c r="AL59" s="100"/>
      <c r="AM59" s="100"/>
    </row>
    <row r="60" spans="1:39" ht="13.2"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</row>
    <row r="61" spans="1:39" ht="13.2"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</row>
    <row r="62" spans="1:39" ht="13.2"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</row>
    <row r="63" spans="1:39" ht="13.2"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</row>
    <row r="64" spans="1:39" ht="13.2"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</row>
    <row r="65" spans="24:39" ht="13.2"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</row>
    <row r="66" spans="24:39" ht="13.2"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</row>
    <row r="67" spans="24:39" ht="13.2"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</row>
    <row r="68" spans="24:39" ht="13.2"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</row>
    <row r="69" spans="24:39" ht="13.2"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</row>
    <row r="70" spans="24:39" ht="13.2"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</row>
    <row r="71" spans="24:39" ht="13.2"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</row>
    <row r="72" spans="24:39" ht="13.2"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</row>
    <row r="73" spans="24:39" ht="13.2"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</row>
    <row r="74" spans="24:39" ht="13.2"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</row>
    <row r="75" spans="24:39" ht="13.2"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</row>
    <row r="76" spans="24:39" ht="13.2"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</row>
    <row r="77" spans="24:39" ht="13.2"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</row>
    <row r="78" spans="24:39" ht="13.2"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</row>
    <row r="79" spans="24:39" ht="13.2"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</row>
    <row r="80" spans="24:39" ht="13.2"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</row>
    <row r="81" spans="24:39" ht="13.2"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</row>
    <row r="82" spans="24:39" ht="13.2"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</row>
    <row r="83" spans="24:39" ht="13.2"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</row>
    <row r="84" spans="24:39" ht="13.2"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</row>
    <row r="85" spans="24:39" ht="13.2"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</row>
    <row r="86" spans="24:39" ht="13.2"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</row>
    <row r="87" spans="24:39" ht="13.2"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</row>
    <row r="88" spans="24:39" ht="13.2"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</row>
    <row r="89" spans="24:39" ht="13.2"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</row>
    <row r="90" spans="24:39" ht="13.2"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</row>
    <row r="91" spans="24:39" ht="13.2"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</row>
    <row r="92" spans="24:39" ht="13.2"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</row>
    <row r="93" spans="24:39" ht="13.2"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</row>
    <row r="94" spans="24:39" ht="13.2"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</row>
    <row r="95" spans="24:39" ht="13.2"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</row>
    <row r="96" spans="24:39" ht="13.2"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</row>
    <row r="97" spans="24:39" ht="13.2"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</row>
    <row r="98" spans="24:39" ht="13.2"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</row>
    <row r="99" spans="24:39" ht="13.2"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</row>
    <row r="100" spans="24:39" ht="13.2"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</row>
    <row r="101" spans="24:39" ht="13.2"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</row>
    <row r="102" spans="24:39" ht="13.2"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</row>
    <row r="103" spans="24:39" ht="13.2"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</row>
    <row r="104" spans="24:39" ht="13.2"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</row>
    <row r="105" spans="24:39" ht="13.2"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</row>
    <row r="106" spans="24:39" ht="13.2"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</row>
    <row r="107" spans="24:39" ht="13.2"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</row>
    <row r="108" spans="24:39" ht="13.2"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</row>
    <row r="109" spans="24:39" ht="13.2"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</row>
    <row r="110" spans="24:39" ht="13.2"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</row>
    <row r="111" spans="24:39" ht="13.2"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</row>
    <row r="112" spans="24:39" ht="13.2"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</row>
    <row r="113" spans="24:39" ht="13.2"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</row>
    <row r="114" spans="24:39" ht="13.2"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</row>
    <row r="115" spans="24:39" ht="13.2"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</row>
    <row r="116" spans="24:39" ht="13.2"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</row>
    <row r="117" spans="24:39" ht="13.2"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</row>
    <row r="118" spans="24:39" ht="13.2"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</row>
    <row r="119" spans="24:39" ht="13.2"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</row>
    <row r="120" spans="24:39" ht="13.2"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</row>
    <row r="121" spans="24:39" ht="13.2"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</row>
    <row r="122" spans="24:39" ht="13.2"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</row>
    <row r="123" spans="24:39" ht="13.2"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</row>
    <row r="124" spans="24:39" ht="13.2"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</row>
    <row r="125" spans="24:39" ht="13.2"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</row>
    <row r="126" spans="24:39" ht="13.2"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</row>
    <row r="127" spans="24:39" ht="13.2"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</row>
    <row r="128" spans="24:39" ht="13.2"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</row>
    <row r="129" spans="24:39" ht="13.2"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</row>
    <row r="130" spans="24:39" ht="13.2"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</row>
    <row r="131" spans="24:39" ht="13.2"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</row>
    <row r="132" spans="24:39" ht="13.2"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</row>
    <row r="133" spans="24:39" ht="13.2"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</row>
    <row r="134" spans="24:39" ht="13.2"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</row>
    <row r="135" spans="24:39" ht="13.2"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</row>
    <row r="136" spans="24:39" ht="13.2"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</row>
    <row r="137" spans="24:39" ht="13.2"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</row>
    <row r="138" spans="24:39" ht="13.2"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</row>
    <row r="139" spans="24:39" ht="13.2"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</row>
    <row r="140" spans="24:39" ht="13.2"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</row>
    <row r="141" spans="24:39" ht="13.2"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</row>
    <row r="142" spans="24:39" ht="13.2"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</row>
    <row r="143" spans="24:39" ht="13.2"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</row>
    <row r="144" spans="24:39" ht="13.2"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</row>
    <row r="145" spans="24:39" ht="13.2"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</row>
    <row r="146" spans="24:39" ht="13.2"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</row>
    <row r="147" spans="24:39" ht="13.2"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</row>
    <row r="148" spans="24:39" ht="13.2"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</row>
    <row r="149" spans="24:39" ht="13.2"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</row>
    <row r="150" spans="24:39" ht="13.2"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</row>
    <row r="151" spans="24:39" ht="13.2"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</row>
    <row r="152" spans="24:39" ht="13.2"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</row>
    <row r="153" spans="24:39" ht="13.2"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</row>
    <row r="154" spans="24:39" ht="13.2"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</row>
    <row r="155" spans="24:39" ht="13.2"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</row>
    <row r="156" spans="24:39" ht="13.2"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</row>
    <row r="157" spans="24:39" ht="13.2"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</row>
    <row r="158" spans="24:39" ht="13.2"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</row>
    <row r="159" spans="24:39" ht="13.2"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</row>
    <row r="160" spans="24:39" ht="13.2"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</row>
    <row r="161" spans="24:39" ht="13.2"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</row>
    <row r="162" spans="24:39" ht="13.2"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</row>
    <row r="163" spans="24:39" ht="13.2"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</row>
    <row r="164" spans="24:39" ht="13.2"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</row>
    <row r="165" spans="24:39" ht="13.2"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</row>
    <row r="166" spans="24:39" ht="13.2"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</row>
    <row r="167" spans="24:39" ht="13.2"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</row>
    <row r="168" spans="24:39" ht="13.2"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</row>
    <row r="169" spans="24:39" ht="13.2"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</row>
    <row r="170" spans="24:39" ht="13.2"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</row>
    <row r="171" spans="24:39" ht="13.2"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</row>
    <row r="172" spans="24:39" ht="13.2"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</row>
    <row r="173" spans="24:39" ht="13.2"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</row>
    <row r="174" spans="24:39" ht="13.2"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</row>
    <row r="175" spans="24:39" ht="13.2"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</row>
    <row r="176" spans="24:39" ht="13.2"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</row>
    <row r="177" spans="24:39" ht="13.2"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</row>
    <row r="178" spans="24:39" ht="13.2"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</row>
    <row r="179" spans="24:39" ht="13.2"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</row>
    <row r="180" spans="24:39" ht="13.2"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</row>
    <row r="181" spans="24:39" ht="13.2"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</row>
    <row r="182" spans="24:39" ht="13.2"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</row>
    <row r="183" spans="24:39" ht="13.2"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</row>
    <row r="184" spans="24:39" ht="13.2"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</row>
    <row r="185" spans="24:39" ht="13.2"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</row>
    <row r="186" spans="24:39" ht="13.2"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</row>
    <row r="187" spans="24:39" ht="13.2"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</row>
    <row r="188" spans="24:39" ht="13.2"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</row>
    <row r="189" spans="24:39" ht="13.2"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</row>
    <row r="190" spans="24:39" ht="13.2"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</row>
    <row r="191" spans="24:39" ht="13.2"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</row>
    <row r="192" spans="24:39" ht="13.2"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</row>
    <row r="193" spans="24:39" ht="13.2"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</row>
    <row r="194" spans="24:39" ht="13.2"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</row>
    <row r="195" spans="24:39" ht="13.2"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</row>
    <row r="196" spans="24:39" ht="13.2"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</row>
    <row r="197" spans="24:39" ht="13.2"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</row>
    <row r="198" spans="24:39" ht="13.2"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</row>
    <row r="199" spans="24:39" ht="13.2"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</row>
    <row r="200" spans="24:39" ht="13.2"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</row>
    <row r="201" spans="24:39" ht="13.2"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</row>
    <row r="202" spans="24:39" ht="13.2"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</row>
    <row r="203" spans="24:39" ht="13.2"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</row>
    <row r="204" spans="24:39" ht="13.2"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</row>
    <row r="205" spans="24:39" ht="13.2"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</row>
    <row r="206" spans="24:39" ht="13.2"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</row>
    <row r="207" spans="24:39" ht="13.2"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</row>
    <row r="208" spans="24:39" ht="13.2"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</row>
    <row r="209" spans="24:39" ht="13.2"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</row>
    <row r="210" spans="24:39" ht="13.2"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</row>
    <row r="211" spans="24:39" ht="13.2"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</row>
    <row r="212" spans="24:39" ht="13.2"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</row>
    <row r="213" spans="24:39" ht="13.2"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</row>
    <row r="214" spans="24:39" ht="13.2"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</row>
    <row r="215" spans="24:39" ht="13.2"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</row>
    <row r="216" spans="24:39" ht="13.2"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</row>
    <row r="217" spans="24:39" ht="13.2"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</row>
    <row r="218" spans="24:39" ht="13.2"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</row>
    <row r="219" spans="24:39" ht="13.2"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</row>
    <row r="220" spans="24:39" ht="13.2"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</row>
    <row r="221" spans="24:39" ht="13.2"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</row>
    <row r="222" spans="24:39" ht="13.2"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</row>
    <row r="223" spans="24:39" ht="13.2"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</row>
    <row r="224" spans="24:39" ht="13.2"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</row>
    <row r="225" spans="24:39" ht="13.2"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</row>
    <row r="226" spans="24:39" ht="13.2"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</row>
    <row r="227" spans="24:39" ht="13.2"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</row>
    <row r="228" spans="24:39" ht="13.2"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</row>
    <row r="229" spans="24:39" ht="13.2"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</row>
    <row r="230" spans="24:39" ht="13.2"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</row>
    <row r="231" spans="24:39" ht="13.2"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</row>
    <row r="232" spans="24:39" ht="13.2"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</row>
    <row r="233" spans="24:39" ht="13.2"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</row>
    <row r="234" spans="24:39" ht="13.2"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</row>
    <row r="235" spans="24:39" ht="13.2"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</row>
    <row r="236" spans="24:39" ht="13.2"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</row>
    <row r="237" spans="24:39" ht="13.2"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</row>
    <row r="238" spans="24:39" ht="13.2"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</row>
    <row r="239" spans="24:39" ht="13.2"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</row>
    <row r="240" spans="24:39" ht="13.2"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</row>
    <row r="241" spans="24:39" ht="13.2"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</row>
    <row r="242" spans="24:39" ht="13.2"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</row>
    <row r="243" spans="24:39" ht="13.2"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</row>
    <row r="244" spans="24:39" ht="13.2"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</row>
    <row r="245" spans="24:39" ht="13.2"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</row>
    <row r="246" spans="24:39" ht="13.2"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</row>
    <row r="247" spans="24:39" ht="13.2"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</row>
    <row r="248" spans="24:39" ht="13.2"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</row>
    <row r="249" spans="24:39" ht="13.2"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</row>
    <row r="250" spans="24:39" ht="13.2"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</row>
    <row r="251" spans="24:39" ht="13.2"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</row>
    <row r="252" spans="24:39" ht="13.2"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</row>
    <row r="253" spans="24:39" ht="13.2"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</row>
    <row r="254" spans="24:39" ht="13.2"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</row>
    <row r="255" spans="24:39" ht="13.2"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</row>
    <row r="256" spans="24:39" ht="13.2"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</row>
    <row r="257" spans="24:39" ht="13.2"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</row>
    <row r="258" spans="24:39" ht="13.2"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</row>
    <row r="259" spans="24:39" ht="13.2"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</row>
    <row r="260" spans="24:39" ht="13.2"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</row>
    <row r="261" spans="24:39" ht="13.2"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</row>
    <row r="262" spans="24:39" ht="13.2"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</row>
    <row r="263" spans="24:39" ht="13.2"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</row>
    <row r="264" spans="24:39" ht="13.2"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</row>
    <row r="265" spans="24:39" ht="13.2"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</row>
    <row r="266" spans="24:39" ht="13.2"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</row>
    <row r="267" spans="24:39" ht="13.2"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</row>
    <row r="268" spans="24:39" ht="13.2"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</row>
    <row r="269" spans="24:39" ht="13.2"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</row>
    <row r="270" spans="24:39" ht="13.2"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</row>
    <row r="271" spans="24:39" ht="13.2"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</row>
    <row r="272" spans="24:39" ht="13.2"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</row>
    <row r="273" spans="24:39" ht="13.2"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</row>
    <row r="274" spans="24:39" ht="13.2"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</row>
    <row r="275" spans="24:39" ht="13.2"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</row>
    <row r="276" spans="24:39" ht="13.2"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</row>
    <row r="277" spans="24:39" ht="13.2"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</row>
    <row r="278" spans="24:39" ht="13.2"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</row>
    <row r="279" spans="24:39" ht="13.2"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</row>
    <row r="280" spans="24:39" ht="13.2"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</row>
    <row r="281" spans="24:39" ht="13.2"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</row>
    <row r="282" spans="24:39" ht="13.2"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</row>
    <row r="283" spans="24:39" ht="13.2"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</row>
    <row r="284" spans="24:39" ht="13.2"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</row>
    <row r="285" spans="24:39" ht="13.2"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</row>
    <row r="286" spans="24:39" ht="13.2"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</row>
    <row r="287" spans="24:39" ht="13.2"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</row>
    <row r="288" spans="24:39" ht="13.2"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</row>
    <row r="289" spans="24:39" ht="13.2"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</row>
    <row r="290" spans="24:39" ht="13.2"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</row>
    <row r="291" spans="24:39" ht="13.2"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</row>
    <row r="292" spans="24:39" ht="13.2"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</row>
    <row r="293" spans="24:39" ht="13.2"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</row>
    <row r="294" spans="24:39" ht="13.2"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</row>
    <row r="295" spans="24:39" ht="13.2"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</row>
    <row r="296" spans="24:39" ht="13.2"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</row>
    <row r="297" spans="24:39" ht="13.2"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</row>
    <row r="298" spans="24:39" ht="13.2"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</row>
    <row r="299" spans="24:39" ht="13.2"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</row>
    <row r="300" spans="24:39" ht="13.2"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</row>
    <row r="301" spans="24:39" ht="13.2"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</row>
    <row r="302" spans="24:39" ht="13.2"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</row>
    <row r="303" spans="24:39" ht="13.2"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</row>
    <row r="304" spans="24:39" ht="13.2"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</row>
    <row r="305" spans="24:39" ht="13.2"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</row>
    <row r="306" spans="24:39" ht="13.2"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</row>
    <row r="307" spans="24:39" ht="13.2"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</row>
    <row r="308" spans="24:39" ht="13.2"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</row>
    <row r="309" spans="24:39" ht="13.2"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</row>
    <row r="310" spans="24:39" ht="13.2"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</row>
    <row r="311" spans="24:39" ht="13.2"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</row>
    <row r="312" spans="24:39" ht="13.2"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</row>
    <row r="313" spans="24:39" ht="13.2"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</row>
    <row r="314" spans="24:39" ht="13.2"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</row>
    <row r="315" spans="24:39" ht="13.2"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</row>
    <row r="316" spans="24:39" ht="13.2"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</row>
    <row r="317" spans="24:39" ht="13.2"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</row>
    <row r="318" spans="24:39" ht="13.2"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</row>
    <row r="319" spans="24:39" ht="13.2"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</row>
    <row r="320" spans="24:39" ht="13.2"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</row>
    <row r="321" spans="24:39" ht="13.2"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</row>
    <row r="322" spans="24:39" ht="13.2"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</row>
    <row r="323" spans="24:39" ht="13.2"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</row>
    <row r="324" spans="24:39" ht="13.2"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</row>
    <row r="325" spans="24:39" ht="13.2"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</row>
    <row r="326" spans="24:39" ht="13.2"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</row>
    <row r="327" spans="24:39" ht="13.2"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</row>
    <row r="328" spans="24:39" ht="13.2"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</row>
    <row r="329" spans="24:39" ht="13.2"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</row>
    <row r="330" spans="24:39" ht="13.2"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</row>
    <row r="331" spans="24:39" ht="13.2"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</row>
    <row r="332" spans="24:39" ht="13.2"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</row>
    <row r="333" spans="24:39" ht="13.2"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</row>
    <row r="334" spans="24:39" ht="13.2"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</row>
    <row r="335" spans="24:39" ht="13.2"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</row>
    <row r="336" spans="24:39" ht="13.2"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</row>
    <row r="337" spans="24:39" ht="13.2"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</row>
    <row r="338" spans="24:39" ht="13.2"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</row>
    <row r="339" spans="24:39" ht="13.2"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</row>
    <row r="340" spans="24:39" ht="13.2"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</row>
    <row r="341" spans="24:39" ht="13.2"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</row>
    <row r="342" spans="24:39" ht="13.2"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</row>
    <row r="343" spans="24:39" ht="13.2"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</row>
    <row r="344" spans="24:39" ht="13.2"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</row>
    <row r="345" spans="24:39" ht="13.2"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</row>
    <row r="346" spans="24:39" ht="13.2"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</row>
    <row r="347" spans="24:39" ht="13.2"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</row>
    <row r="348" spans="24:39" ht="13.2"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</row>
    <row r="349" spans="24:39" ht="13.2"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</row>
    <row r="350" spans="24:39" ht="13.2"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</row>
    <row r="351" spans="24:39" ht="13.2"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</row>
    <row r="352" spans="24:39" ht="13.2"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</row>
    <row r="353" spans="24:39" ht="13.2"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</row>
    <row r="354" spans="24:39" ht="13.2"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</row>
    <row r="355" spans="24:39" ht="13.2"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</row>
    <row r="356" spans="24:39" ht="13.2"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</row>
    <row r="357" spans="24:39" ht="13.2"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</row>
    <row r="358" spans="24:39" ht="13.2"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</row>
    <row r="359" spans="24:39" ht="13.2"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</row>
    <row r="360" spans="24:39" ht="13.2"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</row>
    <row r="361" spans="24:39" ht="13.2"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</row>
    <row r="362" spans="24:39" ht="13.2"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</row>
    <row r="363" spans="24:39" ht="13.2"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</row>
    <row r="364" spans="24:39" ht="13.2"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</row>
    <row r="365" spans="24:39" ht="13.2"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</row>
    <row r="366" spans="24:39" ht="13.2"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</row>
    <row r="367" spans="24:39" ht="13.2"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</row>
    <row r="368" spans="24:39" ht="13.2"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</row>
    <row r="369" spans="24:39" ht="13.2"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</row>
    <row r="370" spans="24:39" ht="13.2"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</row>
    <row r="371" spans="24:39" ht="13.2"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</row>
    <row r="372" spans="24:39" ht="13.2"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</row>
    <row r="373" spans="24:39" ht="13.2"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</row>
    <row r="374" spans="24:39" ht="13.2"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</row>
    <row r="375" spans="24:39" ht="13.2"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</row>
    <row r="376" spans="24:39" ht="13.2"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</row>
    <row r="377" spans="24:39" ht="13.2"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</row>
    <row r="378" spans="24:39" ht="13.2"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</row>
    <row r="379" spans="24:39" ht="13.2"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</row>
    <row r="380" spans="24:39" ht="13.2"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</row>
    <row r="381" spans="24:39" ht="13.2"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</row>
    <row r="382" spans="24:39" ht="13.2"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</row>
    <row r="383" spans="24:39" ht="13.2"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</row>
    <row r="384" spans="24:39" ht="13.2"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</row>
    <row r="385" spans="24:39" ht="13.2"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</row>
    <row r="386" spans="24:39" ht="13.2"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</row>
    <row r="387" spans="24:39" ht="13.2"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</row>
    <row r="388" spans="24:39" ht="13.2"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</row>
    <row r="389" spans="24:39" ht="13.2"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</row>
    <row r="390" spans="24:39" ht="13.2"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</row>
    <row r="391" spans="24:39" ht="13.2"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</row>
    <row r="392" spans="24:39" ht="13.2"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</row>
    <row r="393" spans="24:39" ht="13.2"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</row>
    <row r="394" spans="24:39" ht="13.2"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</row>
    <row r="395" spans="24:39" ht="13.2"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</row>
    <row r="396" spans="24:39" ht="13.2"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</row>
    <row r="397" spans="24:39" ht="13.2"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</row>
    <row r="398" spans="24:39" ht="13.2"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</row>
    <row r="399" spans="24:39" ht="13.2"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</row>
    <row r="400" spans="24:39" ht="13.2"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</row>
    <row r="401" spans="24:39" ht="13.2"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</row>
    <row r="402" spans="24:39" ht="13.2"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</row>
    <row r="403" spans="24:39" ht="13.2"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</row>
    <row r="404" spans="24:39" ht="13.2"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</row>
    <row r="405" spans="24:39" ht="13.2"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</row>
    <row r="406" spans="24:39" ht="13.2"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</row>
    <row r="407" spans="24:39" ht="13.2"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</row>
    <row r="408" spans="24:39" ht="13.2"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</row>
    <row r="409" spans="24:39" ht="13.2"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</row>
    <row r="410" spans="24:39" ht="13.2"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</row>
    <row r="411" spans="24:39" ht="13.2"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</row>
    <row r="412" spans="24:39" ht="13.2"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</row>
    <row r="413" spans="24:39" ht="13.2"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</row>
    <row r="414" spans="24:39" ht="13.2"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</row>
    <row r="415" spans="24:39" ht="13.2"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</row>
    <row r="416" spans="24:39" ht="13.2"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</row>
    <row r="417" spans="24:39" ht="13.2"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</row>
    <row r="418" spans="24:39" ht="13.2"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</row>
    <row r="419" spans="24:39" ht="13.2"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</row>
    <row r="420" spans="24:39" ht="13.2"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</row>
    <row r="421" spans="24:39" ht="13.2"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</row>
    <row r="422" spans="24:39" ht="13.2"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</row>
    <row r="423" spans="24:39" ht="13.2"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</row>
    <row r="424" spans="24:39" ht="13.2"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</row>
    <row r="425" spans="24:39" ht="13.2"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</row>
    <row r="426" spans="24:39" ht="13.2"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</row>
    <row r="427" spans="24:39" ht="13.2"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</row>
    <row r="428" spans="24:39" ht="13.2"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</row>
    <row r="429" spans="24:39" ht="13.2"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</row>
    <row r="430" spans="24:39" ht="13.2"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</row>
    <row r="431" spans="24:39" ht="13.2"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</row>
    <row r="432" spans="24:39" ht="13.2"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</row>
    <row r="433" spans="24:39" ht="13.2"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</row>
    <row r="434" spans="24:39" ht="13.2"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</row>
    <row r="435" spans="24:39" ht="13.2"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</row>
    <row r="436" spans="24:39" ht="13.2"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</row>
    <row r="437" spans="24:39" ht="13.2"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</row>
    <row r="438" spans="24:39" ht="13.2"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</row>
    <row r="439" spans="24:39" ht="13.2"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</row>
    <row r="440" spans="24:39" ht="13.2"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</row>
    <row r="441" spans="24:39" ht="13.2"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</row>
    <row r="442" spans="24:39" ht="13.2"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</row>
    <row r="443" spans="24:39" ht="13.2"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</row>
    <row r="444" spans="24:39" ht="13.2"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</row>
    <row r="445" spans="24:39" ht="13.2"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</row>
    <row r="446" spans="24:39" ht="13.2"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</row>
    <row r="447" spans="24:39" ht="13.2"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</row>
    <row r="448" spans="24:39" ht="13.2"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</row>
    <row r="449" spans="24:39" ht="13.2"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</row>
    <row r="450" spans="24:39" ht="13.2"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</row>
    <row r="451" spans="24:39" ht="13.2"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</row>
    <row r="452" spans="24:39" ht="13.2"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</row>
    <row r="453" spans="24:39" ht="13.2"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</row>
    <row r="454" spans="24:39" ht="13.2"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</row>
    <row r="455" spans="24:39" ht="13.2"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</row>
    <row r="456" spans="24:39" ht="13.2"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</row>
    <row r="457" spans="24:39" ht="13.2"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</row>
    <row r="458" spans="24:39" ht="13.2"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</row>
    <row r="459" spans="24:39" ht="13.2"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</row>
    <row r="460" spans="24:39" ht="13.2"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</row>
    <row r="461" spans="24:39" ht="13.2"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</row>
    <row r="462" spans="24:39" ht="13.2"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</row>
    <row r="463" spans="24:39" ht="13.2"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</row>
    <row r="464" spans="24:39" ht="13.2"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</row>
    <row r="465" spans="24:39" ht="13.2"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</row>
    <row r="466" spans="24:39" ht="13.2"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</row>
    <row r="467" spans="24:39" ht="13.2"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</row>
    <row r="468" spans="24:39" ht="13.2"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</row>
    <row r="469" spans="24:39" ht="13.2"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</row>
    <row r="470" spans="24:39" ht="13.2"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</row>
    <row r="471" spans="24:39" ht="13.2"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</row>
    <row r="472" spans="24:39" ht="13.2"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</row>
    <row r="473" spans="24:39" ht="13.2"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</row>
    <row r="474" spans="24:39" ht="13.2"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</row>
    <row r="475" spans="24:39" ht="13.2"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</row>
    <row r="476" spans="24:39" ht="13.2"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</row>
    <row r="477" spans="24:39" ht="13.2"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</row>
    <row r="478" spans="24:39" ht="13.2"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</row>
    <row r="479" spans="24:39" ht="13.2"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</row>
    <row r="480" spans="24:39" ht="13.2"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</row>
    <row r="481" spans="24:39" ht="13.2"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</row>
    <row r="482" spans="24:39" ht="13.2"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</row>
    <row r="483" spans="24:39" ht="13.2"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</row>
    <row r="484" spans="24:39" ht="13.2"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</row>
    <row r="485" spans="24:39" ht="13.2"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</row>
    <row r="486" spans="24:39" ht="13.2"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</row>
    <row r="487" spans="24:39" ht="13.2"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</row>
    <row r="488" spans="24:39" ht="13.2"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</row>
    <row r="489" spans="24:39" ht="13.2"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</row>
    <row r="490" spans="24:39" ht="13.2"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</row>
    <row r="491" spans="24:39" ht="13.2"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</row>
    <row r="492" spans="24:39" ht="13.2"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</row>
    <row r="493" spans="24:39" ht="13.2"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</row>
    <row r="494" spans="24:39" ht="13.2"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</row>
    <row r="495" spans="24:39" ht="13.2"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</row>
    <row r="496" spans="24:39" ht="13.2"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</row>
    <row r="497" spans="24:39" ht="13.2"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</row>
    <row r="498" spans="24:39" ht="13.2"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</row>
    <row r="499" spans="24:39" ht="13.2"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</row>
    <row r="500" spans="24:39" ht="13.2"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</row>
    <row r="501" spans="24:39" ht="13.2"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</row>
    <row r="502" spans="24:39" ht="13.2"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</row>
    <row r="503" spans="24:39" ht="13.2"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</row>
    <row r="504" spans="24:39" ht="13.2"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</row>
    <row r="505" spans="24:39" ht="13.2"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</row>
    <row r="506" spans="24:39" ht="13.2"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</row>
    <row r="507" spans="24:39" ht="13.2"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</row>
    <row r="508" spans="24:39" ht="13.2"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</row>
    <row r="509" spans="24:39" ht="13.2"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</row>
    <row r="510" spans="24:39" ht="13.2"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</row>
    <row r="511" spans="24:39" ht="13.2"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</row>
    <row r="512" spans="24:39" ht="13.2"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</row>
    <row r="513" spans="24:39" ht="13.2"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</row>
    <row r="514" spans="24:39" ht="13.2"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</row>
    <row r="515" spans="24:39" ht="13.2"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</row>
    <row r="516" spans="24:39" ht="13.2"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</row>
    <row r="517" spans="24:39" ht="13.2"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</row>
    <row r="518" spans="24:39" ht="13.2"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</row>
    <row r="519" spans="24:39" ht="13.2"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</row>
    <row r="520" spans="24:39" ht="13.2"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</row>
    <row r="521" spans="24:39" ht="13.2"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</row>
    <row r="522" spans="24:39" ht="13.2"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</row>
    <row r="523" spans="24:39" ht="13.2"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</row>
    <row r="524" spans="24:39" ht="13.2"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</row>
    <row r="525" spans="24:39" ht="13.2"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</row>
    <row r="526" spans="24:39" ht="13.2"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</row>
    <row r="527" spans="24:39" ht="13.2"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</row>
    <row r="528" spans="24:39" ht="13.2"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</row>
    <row r="529" spans="24:39" ht="13.2"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</row>
    <row r="530" spans="24:39" ht="13.2"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</row>
    <row r="531" spans="24:39" ht="13.2"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</row>
    <row r="532" spans="24:39" ht="13.2"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</row>
    <row r="533" spans="24:39" ht="13.2"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</row>
    <row r="534" spans="24:39" ht="13.2"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</row>
    <row r="535" spans="24:39" ht="13.2"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</row>
    <row r="536" spans="24:39" ht="13.2"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</row>
    <row r="537" spans="24:39" ht="13.2"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</row>
    <row r="538" spans="24:39" ht="13.2"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</row>
    <row r="539" spans="24:39" ht="13.2"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</row>
    <row r="540" spans="24:39" ht="13.2"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</row>
    <row r="541" spans="24:39" ht="13.2"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</row>
    <row r="542" spans="24:39" ht="13.2"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</row>
    <row r="543" spans="24:39" ht="13.2"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</row>
    <row r="544" spans="24:39" ht="13.2"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</row>
    <row r="545" spans="24:39" ht="13.2"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</row>
    <row r="546" spans="24:39" ht="13.2"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</row>
    <row r="547" spans="24:39" ht="13.2"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</row>
    <row r="548" spans="24:39" ht="13.2"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</row>
    <row r="549" spans="24:39" ht="13.2"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</row>
    <row r="550" spans="24:39" ht="13.2"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</row>
    <row r="551" spans="24:39" ht="13.2"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</row>
    <row r="552" spans="24:39" ht="13.2"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</row>
    <row r="553" spans="24:39" ht="13.2"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</row>
    <row r="554" spans="24:39" ht="13.2"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</row>
    <row r="555" spans="24:39" ht="13.2"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</row>
    <row r="556" spans="24:39" ht="13.2"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</row>
    <row r="557" spans="24:39" ht="13.2"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</row>
    <row r="558" spans="24:39" ht="13.2"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</row>
    <row r="559" spans="24:39" ht="13.2"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</row>
    <row r="560" spans="24:39" ht="13.2"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</row>
    <row r="561" spans="24:39" ht="13.2"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</row>
    <row r="562" spans="24:39" ht="13.2"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</row>
    <row r="563" spans="24:39" ht="13.2"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</row>
    <row r="564" spans="24:39" ht="13.2"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</row>
    <row r="565" spans="24:39" ht="13.2"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</row>
    <row r="566" spans="24:39" ht="13.2"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</row>
    <row r="567" spans="24:39" ht="13.2"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</row>
    <row r="568" spans="24:39" ht="13.2"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</row>
    <row r="569" spans="24:39" ht="13.2"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</row>
    <row r="570" spans="24:39" ht="13.2"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</row>
    <row r="571" spans="24:39" ht="13.2"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</row>
    <row r="572" spans="24:39" ht="13.2"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</row>
    <row r="573" spans="24:39" ht="13.2"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</row>
    <row r="574" spans="24:39" ht="13.2"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</row>
    <row r="575" spans="24:39" ht="13.2"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</row>
    <row r="576" spans="24:39" ht="13.2"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</row>
    <row r="577" spans="24:39" ht="13.2"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</row>
    <row r="578" spans="24:39" ht="13.2"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</row>
    <row r="579" spans="24:39" ht="13.2"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</row>
    <row r="580" spans="24:39" ht="13.2"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</row>
    <row r="581" spans="24:39" ht="13.2"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</row>
    <row r="582" spans="24:39" ht="13.2"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</row>
    <row r="583" spans="24:39" ht="13.2"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</row>
    <row r="584" spans="24:39" ht="13.2"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</row>
    <row r="585" spans="24:39" ht="13.2"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</row>
    <row r="586" spans="24:39" ht="13.2"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</row>
    <row r="587" spans="24:39" ht="13.2"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</row>
    <row r="588" spans="24:39" ht="13.2"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</row>
    <row r="589" spans="24:39" ht="13.2"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</row>
    <row r="590" spans="24:39" ht="13.2"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</row>
    <row r="591" spans="24:39" ht="13.2"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</row>
    <row r="592" spans="24:39" ht="13.2"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</row>
    <row r="593" spans="24:39" ht="13.2"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</row>
    <row r="594" spans="24:39" ht="13.2"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</row>
    <row r="595" spans="24:39" ht="13.2"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</row>
    <row r="596" spans="24:39" ht="13.2"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</row>
    <row r="597" spans="24:39" ht="13.2"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</row>
    <row r="598" spans="24:39" ht="13.2"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</row>
    <row r="599" spans="24:39" ht="13.2"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</row>
    <row r="600" spans="24:39" ht="13.2"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</row>
    <row r="601" spans="24:39" ht="13.2"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</row>
    <row r="602" spans="24:39" ht="13.2"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</row>
    <row r="603" spans="24:39" ht="13.2"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</row>
    <row r="604" spans="24:39" ht="13.2"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</row>
    <row r="605" spans="24:39" ht="13.2"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</row>
    <row r="606" spans="24:39" ht="13.2"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</row>
    <row r="607" spans="24:39" ht="13.2"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</row>
    <row r="608" spans="24:39" ht="13.2"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</row>
    <row r="609" spans="24:39" ht="13.2"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</row>
    <row r="610" spans="24:39" ht="13.2"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</row>
    <row r="611" spans="24:39" ht="13.2"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</row>
    <row r="612" spans="24:39" ht="13.2"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</row>
    <row r="613" spans="24:39" ht="13.2"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</row>
    <row r="614" spans="24:39" ht="13.2"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</row>
    <row r="615" spans="24:39" ht="13.2"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</row>
    <row r="616" spans="24:39" ht="13.2"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</row>
    <row r="617" spans="24:39" ht="13.2"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</row>
    <row r="618" spans="24:39" ht="13.2"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</row>
    <row r="619" spans="24:39" ht="13.2"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</row>
    <row r="620" spans="24:39" ht="13.2"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</row>
    <row r="621" spans="24:39" ht="13.2"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</row>
    <row r="622" spans="24:39" ht="13.2"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</row>
    <row r="623" spans="24:39" ht="13.2"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</row>
    <row r="624" spans="24:39" ht="13.2"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</row>
    <row r="625" spans="24:39" ht="13.2"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</row>
    <row r="626" spans="24:39" ht="13.2"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</row>
    <row r="627" spans="24:39" ht="13.2"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</row>
    <row r="628" spans="24:39" ht="13.2"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</row>
    <row r="629" spans="24:39" ht="13.2"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</row>
    <row r="630" spans="24:39" ht="13.2"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</row>
    <row r="631" spans="24:39" ht="13.2"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</row>
    <row r="632" spans="24:39" ht="13.2"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</row>
    <row r="633" spans="24:39" ht="13.2"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</row>
    <row r="634" spans="24:39" ht="13.2"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</row>
    <row r="635" spans="24:39" ht="13.2"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</row>
    <row r="636" spans="24:39" ht="13.2"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</row>
    <row r="637" spans="24:39" ht="13.2"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</row>
    <row r="638" spans="24:39" ht="13.2"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</row>
    <row r="639" spans="24:39" ht="13.2"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</row>
    <row r="640" spans="24:39" ht="13.2"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</row>
    <row r="641" spans="24:39" ht="13.2"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</row>
    <row r="642" spans="24:39" ht="13.2"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</row>
    <row r="643" spans="24:39" ht="13.2"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</row>
    <row r="644" spans="24:39" ht="13.2"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</row>
    <row r="645" spans="24:39" ht="13.2"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</row>
    <row r="646" spans="24:39" ht="13.2"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</row>
    <row r="647" spans="24:39" ht="13.2"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</row>
    <row r="648" spans="24:39" ht="13.2"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</row>
    <row r="649" spans="24:39" ht="13.2"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</row>
    <row r="650" spans="24:39" ht="13.2"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</row>
    <row r="651" spans="24:39" ht="13.2"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</row>
    <row r="652" spans="24:39" ht="13.2"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</row>
    <row r="653" spans="24:39" ht="13.2"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</row>
    <row r="654" spans="24:39" ht="13.2"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</row>
    <row r="655" spans="24:39" ht="13.2"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</row>
    <row r="656" spans="24:39" ht="13.2"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</row>
    <row r="657" spans="24:39" ht="13.2"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</row>
    <row r="658" spans="24:39" ht="13.2"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</row>
    <row r="659" spans="24:39" ht="13.2"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</row>
    <row r="660" spans="24:39" ht="13.2"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</row>
    <row r="661" spans="24:39" ht="13.2"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</row>
    <row r="662" spans="24:39" ht="13.2"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</row>
    <row r="663" spans="24:39" ht="13.2"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</row>
    <row r="664" spans="24:39" ht="13.2"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</row>
    <row r="665" spans="24:39" ht="13.2"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</row>
    <row r="666" spans="24:39" ht="13.2"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</row>
    <row r="667" spans="24:39" ht="13.2"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</row>
    <row r="668" spans="24:39" ht="13.2"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</row>
    <row r="669" spans="24:39" ht="13.2"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</row>
    <row r="670" spans="24:39" ht="13.2"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</row>
    <row r="671" spans="24:39" ht="13.2"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</row>
    <row r="672" spans="24:39" ht="13.2"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</row>
    <row r="673" spans="24:39" ht="13.2"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</row>
    <row r="674" spans="24:39" ht="13.2"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</row>
    <row r="675" spans="24:39" ht="13.2"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</row>
    <row r="676" spans="24:39" ht="13.2"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</row>
    <row r="677" spans="24:39" ht="13.2"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</row>
    <row r="678" spans="24:39" ht="13.2"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</row>
    <row r="679" spans="24:39" ht="13.2"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</row>
    <row r="680" spans="24:39" ht="13.2"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</row>
    <row r="681" spans="24:39" ht="13.2"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</row>
    <row r="682" spans="24:39" ht="13.2"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</row>
    <row r="683" spans="24:39" ht="13.2"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</row>
    <row r="684" spans="24:39" ht="13.2"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</row>
    <row r="685" spans="24:39" ht="13.2"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</row>
    <row r="686" spans="24:39" ht="13.2"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</row>
    <row r="687" spans="24:39" ht="13.2"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</row>
    <row r="688" spans="24:39" ht="13.2"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</row>
    <row r="689" spans="24:39" ht="13.2"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</row>
    <row r="690" spans="24:39" ht="13.2"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</row>
    <row r="691" spans="24:39" ht="13.2"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</row>
    <row r="692" spans="24:39" ht="13.2"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</row>
    <row r="693" spans="24:39" ht="13.2"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</row>
    <row r="694" spans="24:39" ht="13.2"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</row>
    <row r="695" spans="24:39" ht="13.2"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</row>
    <row r="696" spans="24:39" ht="13.2"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</row>
    <row r="697" spans="24:39" ht="13.2"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</row>
    <row r="698" spans="24:39" ht="13.2"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</row>
    <row r="699" spans="24:39" ht="13.2"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</row>
    <row r="700" spans="24:39" ht="13.2"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</row>
    <row r="701" spans="24:39" ht="13.2"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</row>
    <row r="702" spans="24:39" ht="13.2"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</row>
    <row r="703" spans="24:39" ht="13.2"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</row>
    <row r="704" spans="24:39" ht="13.2"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</row>
    <row r="705" spans="24:39" ht="13.2"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</row>
    <row r="706" spans="24:39" ht="13.2"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</row>
    <row r="707" spans="24:39" ht="13.2"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</row>
    <row r="708" spans="24:39" ht="13.2"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</row>
    <row r="709" spans="24:39" ht="13.2"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</row>
    <row r="710" spans="24:39" ht="13.2"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</row>
    <row r="711" spans="24:39" ht="13.2"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</row>
    <row r="712" spans="24:39" ht="13.2"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</row>
    <row r="713" spans="24:39" ht="13.2"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</row>
    <row r="714" spans="24:39" ht="13.2"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</row>
    <row r="715" spans="24:39" ht="13.2"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</row>
    <row r="716" spans="24:39" ht="13.2"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</row>
    <row r="717" spans="24:39" ht="13.2"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</row>
    <row r="718" spans="24:39" ht="13.2"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</row>
    <row r="719" spans="24:39" ht="13.2"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</row>
    <row r="720" spans="24:39" ht="13.2"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</row>
    <row r="721" spans="24:39" ht="13.2"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</row>
    <row r="722" spans="24:39" ht="13.2"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</row>
    <row r="723" spans="24:39" ht="13.2"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</row>
    <row r="724" spans="24:39" ht="13.2"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</row>
    <row r="725" spans="24:39" ht="13.2"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</row>
    <row r="726" spans="24:39" ht="13.2"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</row>
    <row r="727" spans="24:39" ht="13.2"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</row>
    <row r="728" spans="24:39" ht="13.2"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</row>
    <row r="729" spans="24:39" ht="13.2"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</row>
    <row r="730" spans="24:39" ht="13.2"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</row>
    <row r="731" spans="24:39" ht="13.2"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</row>
    <row r="732" spans="24:39" ht="13.2"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</row>
    <row r="733" spans="24:39" ht="13.2"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</row>
    <row r="734" spans="24:39" ht="13.2"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</row>
    <row r="735" spans="24:39" ht="13.2"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</row>
    <row r="736" spans="24:39" ht="13.2"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</row>
    <row r="737" spans="24:39" ht="13.2"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</row>
    <row r="738" spans="24:39" ht="13.2"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</row>
    <row r="739" spans="24:39" ht="13.2"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</row>
    <row r="740" spans="24:39" ht="13.2"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</row>
    <row r="741" spans="24:39" ht="13.2"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</row>
    <row r="742" spans="24:39" ht="13.2"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</row>
    <row r="743" spans="24:39" ht="13.2"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</row>
    <row r="744" spans="24:39" ht="13.2"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</row>
    <row r="745" spans="24:39" ht="13.2"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</row>
    <row r="746" spans="24:39" ht="13.2"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</row>
    <row r="747" spans="24:39" ht="13.2"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</row>
    <row r="748" spans="24:39" ht="13.2"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</row>
    <row r="749" spans="24:39" ht="13.2"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</row>
    <row r="750" spans="24:39" ht="13.2"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</row>
    <row r="751" spans="24:39" ht="13.2"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</row>
    <row r="752" spans="24:39" ht="13.2"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</row>
    <row r="753" spans="24:39" ht="13.2"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</row>
    <row r="754" spans="24:39" ht="13.2"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</row>
    <row r="755" spans="24:39" ht="13.2"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</row>
    <row r="756" spans="24:39" ht="13.2"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</row>
    <row r="757" spans="24:39" ht="13.2"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</row>
    <row r="758" spans="24:39" ht="13.2"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</row>
    <row r="759" spans="24:39" ht="13.2"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</row>
    <row r="760" spans="24:39" ht="13.2"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</row>
    <row r="761" spans="24:39" ht="13.2"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</row>
    <row r="762" spans="24:39" ht="13.2"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</row>
    <row r="763" spans="24:39" ht="13.2"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</row>
    <row r="764" spans="24:39" ht="13.2"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</row>
    <row r="765" spans="24:39" ht="13.2"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</row>
    <row r="766" spans="24:39" ht="13.2"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</row>
    <row r="767" spans="24:39" ht="13.2"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</row>
    <row r="768" spans="24:39" ht="13.2"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</row>
    <row r="769" spans="24:39" ht="13.2"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</row>
    <row r="770" spans="24:39" ht="13.2"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</row>
    <row r="771" spans="24:39" ht="13.2"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</row>
    <row r="772" spans="24:39" ht="13.2"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</row>
    <row r="773" spans="24:39" ht="13.2"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</row>
    <row r="774" spans="24:39" ht="13.2"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</row>
    <row r="775" spans="24:39" ht="13.2"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</row>
    <row r="776" spans="24:39" ht="13.2"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</row>
    <row r="777" spans="24:39" ht="13.2"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</row>
    <row r="778" spans="24:39" ht="13.2"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</row>
    <row r="779" spans="24:39" ht="13.2"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</row>
    <row r="780" spans="24:39" ht="13.2"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</row>
    <row r="781" spans="24:39" ht="13.2"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</row>
    <row r="782" spans="24:39" ht="13.2"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</row>
    <row r="783" spans="24:39" ht="13.2"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</row>
    <row r="784" spans="24:39" ht="13.2"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</row>
    <row r="785" spans="24:39" ht="13.2"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</row>
    <row r="786" spans="24:39" ht="13.2"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</row>
    <row r="787" spans="24:39" ht="13.2"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</row>
    <row r="788" spans="24:39" ht="13.2"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</row>
    <row r="789" spans="24:39" ht="13.2"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</row>
    <row r="790" spans="24:39" ht="13.2"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</row>
    <row r="791" spans="24:39" ht="13.2"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</row>
    <row r="792" spans="24:39" ht="13.2"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</row>
    <row r="793" spans="24:39" ht="13.2"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</row>
    <row r="794" spans="24:39" ht="13.2"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</row>
    <row r="795" spans="24:39" ht="13.2"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</row>
    <row r="796" spans="24:39" ht="13.2"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</row>
    <row r="797" spans="24:39" ht="13.2"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</row>
    <row r="798" spans="24:39" ht="13.2"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</row>
    <row r="799" spans="24:39" ht="13.2"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</row>
    <row r="800" spans="24:39" ht="13.2"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</row>
    <row r="801" spans="24:39" ht="13.2"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</row>
    <row r="802" spans="24:39" ht="13.2"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</row>
    <row r="803" spans="24:39" ht="13.2"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</row>
    <row r="804" spans="24:39" ht="13.2"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</row>
    <row r="805" spans="24:39" ht="13.2"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</row>
    <row r="806" spans="24:39" ht="13.2"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</row>
    <row r="807" spans="24:39" ht="13.2"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</row>
    <row r="808" spans="24:39" ht="13.2"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</row>
    <row r="809" spans="24:39" ht="13.2"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</row>
    <row r="810" spans="24:39" ht="13.2"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</row>
    <row r="811" spans="24:39" ht="13.2"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</row>
    <row r="812" spans="24:39" ht="13.2"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</row>
    <row r="813" spans="24:39" ht="13.2"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</row>
    <row r="814" spans="24:39" ht="13.2"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</row>
    <row r="815" spans="24:39" ht="13.2"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</row>
    <row r="816" spans="24:39" ht="13.2"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</row>
    <row r="817" spans="24:39" ht="13.2"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</row>
    <row r="818" spans="24:39" ht="13.2"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</row>
    <row r="819" spans="24:39" ht="13.2"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</row>
    <row r="820" spans="24:39" ht="13.2"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</row>
    <row r="821" spans="24:39" ht="13.2"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</row>
    <row r="822" spans="24:39" ht="13.2"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</row>
    <row r="823" spans="24:39" ht="13.2"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</row>
    <row r="824" spans="24:39" ht="13.2"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</row>
    <row r="825" spans="24:39" ht="13.2"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</row>
    <row r="826" spans="24:39" ht="13.2"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</row>
    <row r="827" spans="24:39" ht="13.2"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</row>
    <row r="828" spans="24:39" ht="13.2"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</row>
    <row r="829" spans="24:39" ht="13.2"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</row>
    <row r="830" spans="24:39" ht="13.2"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</row>
    <row r="831" spans="24:39" ht="13.2"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</row>
    <row r="832" spans="24:39" ht="13.2"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</row>
    <row r="833" spans="24:39" ht="13.2"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</row>
    <row r="834" spans="24:39" ht="13.2"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</row>
    <row r="835" spans="24:39" ht="13.2"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</row>
    <row r="836" spans="24:39" ht="13.2"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</row>
    <row r="837" spans="24:39" ht="13.2"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</row>
    <row r="838" spans="24:39" ht="13.2"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</row>
    <row r="839" spans="24:39" ht="13.2"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</row>
    <row r="840" spans="24:39" ht="13.2"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</row>
    <row r="841" spans="24:39" ht="13.2"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</row>
    <row r="842" spans="24:39" ht="13.2"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</row>
    <row r="843" spans="24:39" ht="13.2"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</row>
    <row r="844" spans="24:39" ht="13.2"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</row>
    <row r="845" spans="24:39" ht="13.2"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</row>
    <row r="846" spans="24:39" ht="13.2"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</row>
    <row r="847" spans="24:39" ht="13.2"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</row>
    <row r="848" spans="24:39" ht="13.2"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</row>
    <row r="849" spans="24:39" ht="13.2"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</row>
    <row r="850" spans="24:39" ht="13.2"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</row>
    <row r="851" spans="24:39" ht="13.2"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</row>
    <row r="852" spans="24:39" ht="13.2"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</row>
    <row r="853" spans="24:39" ht="13.2"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</row>
    <row r="854" spans="24:39" ht="13.2"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</row>
    <row r="855" spans="24:39" ht="13.2"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</row>
    <row r="856" spans="24:39" ht="13.2"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</row>
    <row r="857" spans="24:39" ht="13.2"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</row>
    <row r="858" spans="24:39" ht="13.2"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</row>
    <row r="859" spans="24:39" ht="13.2"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</row>
    <row r="860" spans="24:39" ht="13.2"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</row>
    <row r="861" spans="24:39" ht="13.2"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</row>
    <row r="862" spans="24:39" ht="13.2"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</row>
    <row r="863" spans="24:39" ht="13.2"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</row>
    <row r="864" spans="24:39" ht="13.2"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</row>
    <row r="865" spans="24:39" ht="13.2"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</row>
    <row r="866" spans="24:39" ht="13.2"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</row>
    <row r="867" spans="24:39" ht="13.2"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</row>
    <row r="868" spans="24:39" ht="13.2"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</row>
    <row r="869" spans="24:39" ht="13.2"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</row>
    <row r="870" spans="24:39" ht="13.2"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</row>
    <row r="871" spans="24:39" ht="13.2"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</row>
    <row r="872" spans="24:39" ht="13.2"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</row>
    <row r="873" spans="24:39" ht="13.2"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</row>
    <row r="874" spans="24:39" ht="13.2"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</row>
    <row r="875" spans="24:39" ht="13.2"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</row>
    <row r="876" spans="24:39" ht="13.2"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</row>
    <row r="877" spans="24:39" ht="13.2"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</row>
    <row r="878" spans="24:39" ht="13.2"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</row>
    <row r="879" spans="24:39" ht="13.2"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</row>
    <row r="880" spans="24:39" ht="13.2"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</row>
    <row r="881" spans="24:39" ht="13.2"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</row>
    <row r="882" spans="24:39" ht="13.2"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</row>
    <row r="883" spans="24:39" ht="13.2"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</row>
    <row r="884" spans="24:39" ht="13.2"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</row>
    <row r="885" spans="24:39" ht="13.2"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</row>
    <row r="886" spans="24:39" ht="13.2"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</row>
    <row r="887" spans="24:39" ht="13.2"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</row>
    <row r="888" spans="24:39" ht="13.2"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</row>
    <row r="889" spans="24:39" ht="13.2"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</row>
    <row r="890" spans="24:39" ht="13.2"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</row>
    <row r="891" spans="24:39" ht="13.2"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</row>
    <row r="892" spans="24:39" ht="13.2"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</row>
    <row r="893" spans="24:39" ht="13.2"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</row>
    <row r="894" spans="24:39" ht="13.2"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</row>
    <row r="895" spans="24:39" ht="13.2"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</row>
    <row r="896" spans="24:39" ht="13.2"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</row>
    <row r="897" spans="24:39" ht="13.2"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</row>
    <row r="898" spans="24:39" ht="13.2"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</row>
    <row r="899" spans="24:39" ht="13.2"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</row>
    <row r="900" spans="24:39" ht="13.2"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</row>
    <row r="901" spans="24:39" ht="13.2"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</row>
    <row r="902" spans="24:39" ht="13.2"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</row>
    <row r="903" spans="24:39" ht="13.2"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</row>
    <row r="904" spans="24:39" ht="13.2"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</row>
    <row r="905" spans="24:39" ht="13.2"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</row>
    <row r="906" spans="24:39" ht="13.2"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</row>
    <row r="907" spans="24:39" ht="13.2"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</row>
    <row r="908" spans="24:39" ht="13.2"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</row>
    <row r="909" spans="24:39" ht="13.2"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</row>
    <row r="910" spans="24:39" ht="13.2"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</row>
    <row r="911" spans="24:39" ht="13.2"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</row>
    <row r="912" spans="24:39" ht="13.2"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</row>
    <row r="913" spans="24:39" ht="13.2"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</row>
    <row r="914" spans="24:39" ht="13.2"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</row>
    <row r="915" spans="24:39" ht="13.2"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</row>
    <row r="916" spans="24:39" ht="13.2"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</row>
    <row r="917" spans="24:39" ht="13.2"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</row>
    <row r="918" spans="24:39" ht="13.2"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</row>
    <row r="919" spans="24:39" ht="13.2"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</row>
    <row r="920" spans="24:39" ht="13.2"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</row>
    <row r="921" spans="24:39" ht="13.2"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</row>
    <row r="922" spans="24:39" ht="13.2"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</row>
    <row r="923" spans="24:39" ht="13.2"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</row>
    <row r="924" spans="24:39" ht="13.2"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</row>
    <row r="925" spans="24:39" ht="13.2"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</row>
    <row r="926" spans="24:39" ht="13.2"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</row>
    <row r="927" spans="24:39" ht="13.2"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</row>
    <row r="928" spans="24:39" ht="13.2"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</row>
    <row r="929" spans="24:39" ht="13.2"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</row>
    <row r="930" spans="24:39" ht="13.2"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</row>
    <row r="931" spans="24:39" ht="13.2"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</row>
    <row r="932" spans="24:39" ht="13.2"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</row>
    <row r="933" spans="24:39" ht="13.2"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</row>
    <row r="934" spans="24:39" ht="13.2"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</row>
    <row r="935" spans="24:39" ht="13.2"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</row>
    <row r="936" spans="24:39" ht="13.2"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</row>
    <row r="937" spans="24:39" ht="13.2"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</row>
    <row r="938" spans="24:39" ht="13.2"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</row>
    <row r="939" spans="24:39" ht="13.2"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</row>
    <row r="940" spans="24:39" ht="13.2"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</row>
    <row r="941" spans="24:39" ht="13.2"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</row>
    <row r="942" spans="24:39" ht="13.2"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</row>
    <row r="943" spans="24:39" ht="13.2"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</row>
    <row r="944" spans="24:39" ht="13.2"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</row>
  </sheetData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2:O15"/>
  <sheetViews>
    <sheetView workbookViewId="0"/>
  </sheetViews>
  <sheetFormatPr defaultColWidth="12.6640625" defaultRowHeight="15.75" customHeight="1"/>
  <cols>
    <col min="1" max="1" width="3.6640625" customWidth="1"/>
    <col min="2" max="2" width="14" customWidth="1"/>
    <col min="3" max="10" width="12.6640625" hidden="1"/>
  </cols>
  <sheetData>
    <row r="2" spans="1:15" ht="15.75" customHeight="1">
      <c r="B2" s="384" t="s">
        <v>666</v>
      </c>
    </row>
    <row r="3" spans="1:15" ht="15.75" customHeight="1">
      <c r="B3" s="385" t="s">
        <v>667</v>
      </c>
    </row>
    <row r="4" spans="1:15">
      <c r="E4" s="95" t="s">
        <v>196</v>
      </c>
      <c r="F4" s="115">
        <v>51000</v>
      </c>
    </row>
    <row r="5" spans="1:15">
      <c r="B5" s="87">
        <v>3000</v>
      </c>
    </row>
    <row r="7" spans="1:15" ht="15.75" customHeight="1">
      <c r="A7" s="193"/>
      <c r="B7" s="193" t="s">
        <v>668</v>
      </c>
    </row>
    <row r="8" spans="1:15" ht="15.75" customHeight="1">
      <c r="A8" s="283" t="s">
        <v>212</v>
      </c>
      <c r="B8" s="283" t="s">
        <v>669</v>
      </c>
      <c r="C8" s="107">
        <v>45910</v>
      </c>
      <c r="D8" s="107">
        <v>45917</v>
      </c>
      <c r="E8" s="262">
        <v>45922</v>
      </c>
      <c r="F8" s="262">
        <v>45929</v>
      </c>
      <c r="G8" s="177">
        <v>45936</v>
      </c>
      <c r="H8" s="178">
        <v>45943</v>
      </c>
      <c r="I8" s="178">
        <v>45950</v>
      </c>
      <c r="J8" s="178">
        <v>45958</v>
      </c>
      <c r="K8" s="386">
        <v>45964</v>
      </c>
      <c r="L8" s="387">
        <v>45971</v>
      </c>
      <c r="M8" s="387">
        <v>45978</v>
      </c>
      <c r="N8" s="387">
        <v>45985</v>
      </c>
      <c r="O8" s="388"/>
    </row>
    <row r="9" spans="1:15" ht="15.75" customHeight="1">
      <c r="A9" s="110">
        <v>1</v>
      </c>
      <c r="B9" s="109" t="s">
        <v>670</v>
      </c>
      <c r="C9" s="91">
        <v>1</v>
      </c>
      <c r="D9" s="91">
        <v>1</v>
      </c>
      <c r="E9" s="91">
        <v>1</v>
      </c>
      <c r="F9" s="91">
        <v>1</v>
      </c>
      <c r="G9" s="91">
        <v>1</v>
      </c>
      <c r="H9" s="91">
        <v>1</v>
      </c>
      <c r="I9" s="91">
        <v>1</v>
      </c>
      <c r="J9" s="91">
        <v>1</v>
      </c>
      <c r="K9" s="91">
        <v>1</v>
      </c>
      <c r="L9" s="91"/>
      <c r="M9" s="91"/>
      <c r="N9" s="91"/>
      <c r="O9" s="100"/>
    </row>
    <row r="10" spans="1:15" ht="15.75" customHeight="1">
      <c r="A10" s="128">
        <v>2</v>
      </c>
      <c r="B10" s="112" t="s">
        <v>443</v>
      </c>
      <c r="C10" s="91">
        <v>1</v>
      </c>
      <c r="D10" s="91">
        <v>1</v>
      </c>
      <c r="E10" s="91">
        <v>1</v>
      </c>
      <c r="F10" s="91">
        <v>1</v>
      </c>
      <c r="G10" s="91">
        <v>1</v>
      </c>
      <c r="H10" s="91">
        <v>1</v>
      </c>
      <c r="I10" s="91">
        <v>1</v>
      </c>
      <c r="J10" s="91"/>
      <c r="K10" s="91">
        <v>1</v>
      </c>
      <c r="L10" s="91"/>
      <c r="M10" s="91"/>
      <c r="N10" s="91"/>
      <c r="O10" s="100"/>
    </row>
    <row r="11" spans="1:15" ht="15.75" customHeight="1">
      <c r="A11" s="128">
        <v>3</v>
      </c>
      <c r="B11" s="112" t="s">
        <v>500</v>
      </c>
      <c r="C11" s="91"/>
      <c r="D11" s="91">
        <v>1</v>
      </c>
      <c r="E11" s="91">
        <v>1</v>
      </c>
      <c r="F11" s="91">
        <v>1</v>
      </c>
      <c r="G11" s="91">
        <v>1</v>
      </c>
      <c r="H11" s="91">
        <v>1</v>
      </c>
      <c r="I11" s="91"/>
      <c r="J11" s="91"/>
      <c r="K11" s="91"/>
      <c r="L11" s="91"/>
      <c r="M11" s="91"/>
      <c r="N11" s="91"/>
      <c r="O11" s="100"/>
    </row>
    <row r="12" spans="1:15" ht="15.75" customHeight="1">
      <c r="A12" s="128">
        <v>4</v>
      </c>
      <c r="B12" s="112" t="s">
        <v>671</v>
      </c>
      <c r="C12" s="91"/>
      <c r="D12" s="91">
        <v>1</v>
      </c>
      <c r="E12" s="91">
        <v>1</v>
      </c>
      <c r="F12" s="91"/>
      <c r="G12" s="91">
        <v>1</v>
      </c>
      <c r="H12" s="91"/>
      <c r="I12" s="91"/>
      <c r="J12" s="91"/>
      <c r="K12" s="91">
        <v>1</v>
      </c>
      <c r="L12" s="91"/>
      <c r="M12" s="91"/>
      <c r="N12" s="91"/>
      <c r="O12" s="100"/>
    </row>
    <row r="13" spans="1:15" ht="15.75" customHeight="1">
      <c r="A13" s="281"/>
      <c r="B13" s="278" t="s">
        <v>241</v>
      </c>
      <c r="C13" s="106">
        <v>3</v>
      </c>
      <c r="D13" s="106">
        <v>5</v>
      </c>
      <c r="E13" s="106">
        <v>5</v>
      </c>
      <c r="F13" s="106">
        <v>4</v>
      </c>
      <c r="G13" s="149">
        <v>4</v>
      </c>
      <c r="H13" s="149">
        <v>3</v>
      </c>
      <c r="I13" s="106">
        <v>2</v>
      </c>
      <c r="J13" s="106">
        <v>1</v>
      </c>
      <c r="K13" s="106">
        <v>3</v>
      </c>
      <c r="L13" s="106"/>
      <c r="M13" s="106"/>
      <c r="N13" s="106"/>
      <c r="O13" s="100"/>
    </row>
    <row r="14" spans="1:15" ht="15.75" customHeight="1">
      <c r="A14" s="193"/>
      <c r="B14" s="173"/>
      <c r="C14" s="85"/>
      <c r="D14" s="85"/>
      <c r="E14" s="85"/>
      <c r="F14" s="85">
        <v>17</v>
      </c>
      <c r="J14" s="85">
        <v>10</v>
      </c>
      <c r="K14" s="85">
        <v>3</v>
      </c>
    </row>
    <row r="15" spans="1:15">
      <c r="B15" s="95" t="s">
        <v>183</v>
      </c>
      <c r="C15" s="95"/>
      <c r="D15" s="95"/>
      <c r="E15" s="95"/>
      <c r="F15" s="95"/>
      <c r="G15" s="95"/>
      <c r="H15" s="95"/>
      <c r="I15" s="114" t="s">
        <v>128</v>
      </c>
      <c r="J15" s="114" t="s">
        <v>672</v>
      </c>
      <c r="K15" s="95" t="s">
        <v>673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2:P15"/>
  <sheetViews>
    <sheetView workbookViewId="0"/>
  </sheetViews>
  <sheetFormatPr defaultColWidth="12.6640625" defaultRowHeight="15.75" customHeight="1"/>
  <cols>
    <col min="1" max="1" width="3.33203125" customWidth="1"/>
    <col min="2" max="2" width="14.33203125" customWidth="1"/>
    <col min="3" max="11" width="12.6640625" hidden="1"/>
  </cols>
  <sheetData>
    <row r="2" spans="1:16" ht="23.4">
      <c r="B2" s="389" t="s">
        <v>674</v>
      </c>
    </row>
    <row r="3" spans="1:16" ht="14.4">
      <c r="B3" s="390" t="s">
        <v>675</v>
      </c>
    </row>
    <row r="4" spans="1:16" ht="14.4">
      <c r="B4" s="390" t="s">
        <v>676</v>
      </c>
    </row>
    <row r="5" spans="1:16" ht="13.2" hidden="1">
      <c r="B5" s="87">
        <v>3000</v>
      </c>
    </row>
    <row r="7" spans="1:16" ht="14.4">
      <c r="A7" s="193"/>
      <c r="B7" s="193"/>
      <c r="C7" s="85" t="s">
        <v>677</v>
      </c>
    </row>
    <row r="8" spans="1:16" ht="14.4">
      <c r="A8" s="193"/>
      <c r="B8" s="193"/>
      <c r="C8" s="85"/>
    </row>
    <row r="9" spans="1:16" ht="15.6">
      <c r="A9" s="283" t="s">
        <v>212</v>
      </c>
      <c r="B9" s="283" t="s">
        <v>232</v>
      </c>
      <c r="C9" s="105">
        <v>45905</v>
      </c>
      <c r="D9" s="105">
        <v>45910</v>
      </c>
      <c r="E9" s="105">
        <v>45917</v>
      </c>
      <c r="F9" s="105">
        <v>45922</v>
      </c>
      <c r="G9" s="105">
        <v>45929</v>
      </c>
      <c r="H9" s="177">
        <v>45936</v>
      </c>
      <c r="I9" s="178">
        <v>45943</v>
      </c>
      <c r="J9" s="178">
        <v>45950</v>
      </c>
      <c r="K9" s="178">
        <v>45958</v>
      </c>
      <c r="L9" s="178">
        <v>45964</v>
      </c>
      <c r="M9" s="178">
        <v>45971</v>
      </c>
      <c r="N9" s="178">
        <v>45978</v>
      </c>
      <c r="O9" s="178">
        <v>45985</v>
      </c>
      <c r="P9" s="391"/>
    </row>
    <row r="10" spans="1:16" ht="15.6">
      <c r="A10" s="280">
        <v>1</v>
      </c>
      <c r="B10" s="290" t="s">
        <v>678</v>
      </c>
      <c r="C10" s="91"/>
      <c r="D10" s="91">
        <v>1</v>
      </c>
      <c r="E10" s="91">
        <v>1</v>
      </c>
      <c r="F10" s="91">
        <v>1</v>
      </c>
      <c r="G10" s="91">
        <v>1</v>
      </c>
      <c r="H10" s="91">
        <v>1</v>
      </c>
      <c r="I10" s="91">
        <v>1</v>
      </c>
      <c r="J10" s="91">
        <v>1</v>
      </c>
      <c r="K10" s="91">
        <v>1</v>
      </c>
      <c r="L10" s="91">
        <v>1</v>
      </c>
      <c r="M10" s="91"/>
      <c r="N10" s="91"/>
      <c r="O10" s="91"/>
    </row>
    <row r="11" spans="1:16" ht="15.6">
      <c r="A11" s="280">
        <v>2</v>
      </c>
      <c r="B11" s="290" t="s">
        <v>679</v>
      </c>
      <c r="C11" s="91">
        <v>1</v>
      </c>
      <c r="D11" s="91">
        <v>1</v>
      </c>
      <c r="E11" s="91">
        <v>1</v>
      </c>
      <c r="F11" s="91">
        <v>1</v>
      </c>
      <c r="G11" s="91">
        <v>1</v>
      </c>
      <c r="H11" s="91">
        <v>1</v>
      </c>
      <c r="I11" s="91">
        <v>1</v>
      </c>
      <c r="J11" s="91"/>
      <c r="K11" s="91">
        <v>1</v>
      </c>
      <c r="L11" s="91">
        <v>1</v>
      </c>
      <c r="M11" s="91"/>
      <c r="N11" s="91"/>
      <c r="O11" s="91"/>
    </row>
    <row r="12" spans="1:16" ht="14.4">
      <c r="A12" s="280">
        <v>3</v>
      </c>
      <c r="B12" s="112" t="s">
        <v>680</v>
      </c>
      <c r="C12" s="91">
        <v>1</v>
      </c>
      <c r="D12" s="91">
        <v>1</v>
      </c>
      <c r="E12" s="91">
        <v>1</v>
      </c>
      <c r="F12" s="91">
        <v>1</v>
      </c>
      <c r="G12" s="91">
        <v>1</v>
      </c>
      <c r="H12" s="91">
        <v>1</v>
      </c>
      <c r="I12" s="91">
        <v>1</v>
      </c>
      <c r="J12" s="91">
        <v>1</v>
      </c>
      <c r="K12" s="91">
        <v>1</v>
      </c>
      <c r="L12" s="91">
        <v>1</v>
      </c>
      <c r="M12" s="91"/>
      <c r="N12" s="91"/>
      <c r="O12" s="91"/>
    </row>
    <row r="13" spans="1:16" ht="14.4">
      <c r="A13" s="281"/>
      <c r="B13" s="278" t="s">
        <v>681</v>
      </c>
      <c r="C13" s="106">
        <v>2</v>
      </c>
      <c r="D13" s="106">
        <v>3</v>
      </c>
      <c r="E13" s="106">
        <v>3</v>
      </c>
      <c r="F13" s="106">
        <v>3</v>
      </c>
      <c r="G13" s="106">
        <v>3</v>
      </c>
      <c r="H13" s="149">
        <v>3</v>
      </c>
      <c r="I13" s="149">
        <v>3</v>
      </c>
      <c r="J13" s="149">
        <v>2</v>
      </c>
      <c r="K13" s="149">
        <v>3</v>
      </c>
      <c r="L13" s="106">
        <v>3</v>
      </c>
      <c r="M13" s="106"/>
      <c r="N13" s="106"/>
      <c r="O13" s="106"/>
    </row>
    <row r="14" spans="1:16" ht="14.4">
      <c r="A14" s="193"/>
      <c r="B14" s="392" t="s">
        <v>128</v>
      </c>
      <c r="C14" s="95"/>
      <c r="D14" s="95"/>
      <c r="E14" s="95"/>
      <c r="F14" s="95"/>
      <c r="G14" s="95">
        <v>14</v>
      </c>
      <c r="H14" s="95"/>
      <c r="I14" s="95"/>
      <c r="J14" s="95"/>
      <c r="K14" s="95">
        <v>11</v>
      </c>
      <c r="L14" s="95">
        <v>9000</v>
      </c>
    </row>
    <row r="15" spans="1:16" ht="13.2">
      <c r="B15" s="85"/>
      <c r="C15" s="85"/>
      <c r="D15" s="85"/>
      <c r="E15" s="85"/>
      <c r="F15" s="95" t="s">
        <v>196</v>
      </c>
      <c r="G15" s="115">
        <v>42000</v>
      </c>
      <c r="J15" s="114" t="s">
        <v>128</v>
      </c>
      <c r="K15" s="114" t="s">
        <v>682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2:AE16"/>
  <sheetViews>
    <sheetView workbookViewId="0"/>
  </sheetViews>
  <sheetFormatPr defaultColWidth="12.6640625" defaultRowHeight="15.75" customHeight="1"/>
  <cols>
    <col min="1" max="1" width="2.44140625" customWidth="1"/>
    <col min="4" max="27" width="12.6640625" hidden="1"/>
  </cols>
  <sheetData>
    <row r="2" spans="1:31" ht="21.6">
      <c r="B2" s="393" t="s">
        <v>683</v>
      </c>
      <c r="C2" s="94"/>
      <c r="D2" s="94"/>
    </row>
    <row r="3" spans="1:31" ht="13.2">
      <c r="B3" s="394" t="s">
        <v>684</v>
      </c>
      <c r="C3" s="394"/>
      <c r="D3" s="394"/>
    </row>
    <row r="4" spans="1:31" ht="13.2">
      <c r="B4" s="395" t="s">
        <v>685</v>
      </c>
    </row>
    <row r="5" spans="1:31" ht="13.2" hidden="1">
      <c r="B5" s="87">
        <v>3000</v>
      </c>
    </row>
    <row r="7" spans="1:31" ht="13.2">
      <c r="B7" s="396">
        <v>0.54166666666666663</v>
      </c>
      <c r="C7" s="85" t="s">
        <v>686</v>
      </c>
      <c r="T7" s="85" t="s">
        <v>82</v>
      </c>
      <c r="U7" s="85" t="s">
        <v>82</v>
      </c>
    </row>
    <row r="8" spans="1:31" ht="13.8">
      <c r="A8" s="113"/>
      <c r="B8" s="137" t="s">
        <v>107</v>
      </c>
      <c r="C8" s="125">
        <v>45926</v>
      </c>
      <c r="D8" s="107">
        <v>45933</v>
      </c>
      <c r="E8" s="107">
        <v>45940</v>
      </c>
      <c r="F8" s="104">
        <v>45947</v>
      </c>
      <c r="G8" s="104">
        <v>45961</v>
      </c>
      <c r="H8" s="104">
        <v>45968</v>
      </c>
      <c r="I8" s="104">
        <v>45975</v>
      </c>
      <c r="J8" s="104">
        <v>45982</v>
      </c>
      <c r="K8" s="104">
        <v>45989</v>
      </c>
      <c r="L8" s="104">
        <v>45996</v>
      </c>
      <c r="M8" s="104">
        <v>46003</v>
      </c>
      <c r="N8" s="104">
        <v>46010</v>
      </c>
      <c r="O8" s="104">
        <v>46017</v>
      </c>
      <c r="P8" s="104">
        <v>45666</v>
      </c>
      <c r="Q8" s="104">
        <v>46038</v>
      </c>
      <c r="R8" s="104">
        <v>46045</v>
      </c>
      <c r="S8" s="104">
        <v>46052</v>
      </c>
      <c r="T8" s="107">
        <v>46059</v>
      </c>
      <c r="U8" s="107">
        <v>46066</v>
      </c>
      <c r="V8" s="355">
        <v>46073</v>
      </c>
      <c r="W8" s="355">
        <v>46080</v>
      </c>
      <c r="X8" s="107">
        <v>46087</v>
      </c>
      <c r="Y8" s="107">
        <v>46094</v>
      </c>
      <c r="Z8" s="107">
        <v>46101</v>
      </c>
      <c r="AA8" s="107">
        <v>46108</v>
      </c>
      <c r="AB8" s="107">
        <v>46114</v>
      </c>
      <c r="AC8" s="107"/>
      <c r="AD8" s="107"/>
      <c r="AE8" s="107"/>
    </row>
    <row r="9" spans="1:31" ht="13.2">
      <c r="A9" s="113"/>
      <c r="B9" s="91" t="s">
        <v>108</v>
      </c>
      <c r="C9" s="126" t="s">
        <v>171</v>
      </c>
      <c r="D9" s="91">
        <v>1</v>
      </c>
      <c r="E9" s="91">
        <v>1</v>
      </c>
      <c r="F9" s="91">
        <v>1</v>
      </c>
      <c r="G9" s="91">
        <v>1</v>
      </c>
      <c r="H9" s="91"/>
      <c r="I9" s="91">
        <v>1</v>
      </c>
      <c r="J9" s="91">
        <v>1</v>
      </c>
      <c r="K9" s="91">
        <v>1</v>
      </c>
      <c r="L9" s="91">
        <v>1</v>
      </c>
      <c r="M9" s="91">
        <v>1</v>
      </c>
      <c r="N9" s="91">
        <v>1</v>
      </c>
      <c r="O9" s="91">
        <v>1</v>
      </c>
      <c r="P9" s="91">
        <v>1</v>
      </c>
      <c r="Q9" s="91"/>
      <c r="R9" s="91"/>
      <c r="S9" s="91">
        <v>1</v>
      </c>
      <c r="T9" s="91">
        <v>1</v>
      </c>
      <c r="U9" s="91">
        <v>1</v>
      </c>
      <c r="V9" s="91">
        <v>1</v>
      </c>
      <c r="W9" s="91">
        <v>1</v>
      </c>
      <c r="X9" s="91">
        <v>1</v>
      </c>
      <c r="Y9" s="91">
        <v>1</v>
      </c>
      <c r="Z9" s="91">
        <v>1</v>
      </c>
      <c r="AA9" s="91">
        <v>1</v>
      </c>
      <c r="AB9" s="91">
        <v>1</v>
      </c>
      <c r="AC9" s="91"/>
      <c r="AD9" s="91"/>
      <c r="AE9" s="91"/>
    </row>
    <row r="10" spans="1:31" ht="13.2">
      <c r="A10" s="113"/>
      <c r="B10" s="91" t="s">
        <v>687</v>
      </c>
      <c r="C10" s="126"/>
      <c r="D10" s="91">
        <v>1</v>
      </c>
      <c r="E10" s="91">
        <v>1</v>
      </c>
      <c r="F10" s="91">
        <v>1</v>
      </c>
      <c r="G10" s="91">
        <v>1</v>
      </c>
      <c r="H10" s="91"/>
      <c r="I10" s="91"/>
      <c r="J10" s="91"/>
      <c r="K10" s="91">
        <v>1</v>
      </c>
      <c r="L10" s="91">
        <v>1</v>
      </c>
      <c r="M10" s="91">
        <v>1</v>
      </c>
      <c r="N10" s="91">
        <v>1</v>
      </c>
      <c r="O10" s="91">
        <v>1</v>
      </c>
      <c r="P10" s="91"/>
      <c r="Q10" s="91">
        <v>1</v>
      </c>
      <c r="R10" s="91">
        <v>1</v>
      </c>
      <c r="S10" s="91">
        <v>1</v>
      </c>
      <c r="T10" s="91">
        <v>1</v>
      </c>
      <c r="U10" s="91">
        <v>1</v>
      </c>
      <c r="V10" s="91">
        <v>1</v>
      </c>
      <c r="W10" s="91">
        <v>1</v>
      </c>
      <c r="X10" s="91">
        <v>1</v>
      </c>
      <c r="Y10" s="91">
        <v>1</v>
      </c>
      <c r="Z10" s="91">
        <v>1</v>
      </c>
      <c r="AA10" s="91">
        <v>1</v>
      </c>
      <c r="AB10" s="91">
        <v>1</v>
      </c>
      <c r="AC10" s="91"/>
      <c r="AD10" s="91"/>
      <c r="AE10" s="91"/>
    </row>
    <row r="11" spans="1:31" ht="13.2">
      <c r="A11" s="113"/>
      <c r="B11" s="91" t="s">
        <v>498</v>
      </c>
      <c r="C11" s="126"/>
      <c r="D11" s="91">
        <v>1</v>
      </c>
      <c r="E11" s="91">
        <v>1</v>
      </c>
      <c r="F11" s="91">
        <v>1</v>
      </c>
      <c r="G11" s="91">
        <v>1</v>
      </c>
      <c r="H11" s="91"/>
      <c r="I11" s="91">
        <v>1</v>
      </c>
      <c r="J11" s="91">
        <v>1</v>
      </c>
      <c r="K11" s="91">
        <v>1</v>
      </c>
      <c r="L11" s="91">
        <v>1</v>
      </c>
      <c r="M11" s="91"/>
      <c r="N11" s="91"/>
      <c r="O11" s="91">
        <v>1</v>
      </c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</row>
    <row r="12" spans="1:31" ht="13.2">
      <c r="A12" s="113"/>
      <c r="B12" s="91" t="s">
        <v>121</v>
      </c>
      <c r="C12" s="126"/>
      <c r="D12" s="91"/>
      <c r="E12" s="91"/>
      <c r="F12" s="91">
        <v>1</v>
      </c>
      <c r="G12" s="91">
        <v>1</v>
      </c>
      <c r="H12" s="91"/>
      <c r="I12" s="91">
        <v>1</v>
      </c>
      <c r="J12" s="91">
        <v>1</v>
      </c>
      <c r="K12" s="91">
        <v>1</v>
      </c>
      <c r="L12" s="91">
        <v>1</v>
      </c>
      <c r="M12" s="91">
        <v>1</v>
      </c>
      <c r="N12" s="91">
        <v>1</v>
      </c>
      <c r="O12" s="91">
        <v>1</v>
      </c>
      <c r="P12" s="91">
        <v>1</v>
      </c>
      <c r="Q12" s="91">
        <v>1</v>
      </c>
      <c r="R12" s="91">
        <v>1</v>
      </c>
      <c r="S12" s="91">
        <v>1</v>
      </c>
      <c r="T12" s="91">
        <v>1</v>
      </c>
      <c r="U12" s="91">
        <v>1</v>
      </c>
      <c r="V12" s="91">
        <v>1</v>
      </c>
      <c r="W12" s="91">
        <v>1</v>
      </c>
      <c r="X12" s="91">
        <v>1</v>
      </c>
      <c r="Y12" s="91">
        <v>1</v>
      </c>
      <c r="Z12" s="91">
        <v>1</v>
      </c>
      <c r="AA12" s="91"/>
      <c r="AB12" s="91">
        <v>1</v>
      </c>
      <c r="AC12" s="91"/>
      <c r="AD12" s="91"/>
      <c r="AE12" s="91"/>
    </row>
    <row r="13" spans="1:31" ht="13.2">
      <c r="A13" s="113"/>
      <c r="B13" s="91" t="s">
        <v>688</v>
      </c>
      <c r="C13" s="126"/>
      <c r="D13" s="91"/>
      <c r="E13" s="91"/>
      <c r="F13" s="91"/>
      <c r="G13" s="91"/>
      <c r="H13" s="91"/>
      <c r="I13" s="91"/>
      <c r="J13" s="91"/>
      <c r="K13" s="91">
        <v>1</v>
      </c>
      <c r="L13" s="91">
        <v>1</v>
      </c>
      <c r="M13" s="91">
        <v>1</v>
      </c>
      <c r="N13" s="91">
        <v>1</v>
      </c>
      <c r="O13" s="91">
        <v>1</v>
      </c>
      <c r="P13" s="91"/>
      <c r="Q13" s="91"/>
      <c r="R13" s="91"/>
      <c r="S13" s="91"/>
      <c r="T13" s="91"/>
      <c r="U13" s="91">
        <v>1</v>
      </c>
      <c r="V13" s="91">
        <v>1</v>
      </c>
      <c r="W13" s="91"/>
      <c r="X13" s="91">
        <v>1</v>
      </c>
      <c r="Y13" s="91">
        <v>1</v>
      </c>
      <c r="Z13" s="91">
        <v>1</v>
      </c>
      <c r="AA13" s="91">
        <v>1</v>
      </c>
      <c r="AB13" s="91">
        <v>1</v>
      </c>
      <c r="AC13" s="91"/>
      <c r="AD13" s="91"/>
      <c r="AE13" s="91"/>
    </row>
    <row r="14" spans="1:31" ht="13.2">
      <c r="A14" s="113"/>
      <c r="B14" s="113" t="s">
        <v>307</v>
      </c>
      <c r="C14" s="113"/>
      <c r="D14" s="113">
        <v>3</v>
      </c>
      <c r="E14" s="113">
        <v>3</v>
      </c>
      <c r="F14" s="113">
        <v>4</v>
      </c>
      <c r="G14" s="113">
        <v>4</v>
      </c>
      <c r="H14" s="113"/>
      <c r="I14" s="113">
        <v>3</v>
      </c>
      <c r="J14" s="113">
        <v>3</v>
      </c>
      <c r="K14" s="113">
        <v>5</v>
      </c>
      <c r="L14" s="113">
        <v>5</v>
      </c>
      <c r="M14" s="113">
        <v>4</v>
      </c>
      <c r="N14" s="113">
        <v>4</v>
      </c>
      <c r="O14" s="113">
        <v>5</v>
      </c>
      <c r="P14" s="113">
        <v>2</v>
      </c>
      <c r="Q14" s="113">
        <v>2</v>
      </c>
      <c r="R14" s="113">
        <v>2</v>
      </c>
      <c r="S14" s="113">
        <v>3</v>
      </c>
      <c r="T14" s="113">
        <v>3</v>
      </c>
      <c r="U14" s="113">
        <v>4</v>
      </c>
      <c r="V14" s="113">
        <v>4</v>
      </c>
      <c r="W14" s="113">
        <v>3</v>
      </c>
      <c r="X14" s="113">
        <v>4</v>
      </c>
      <c r="Y14" s="113">
        <v>4</v>
      </c>
      <c r="Z14" s="113">
        <v>4</v>
      </c>
      <c r="AA14" s="113">
        <v>3</v>
      </c>
      <c r="AB14" s="113">
        <v>4</v>
      </c>
      <c r="AC14" s="113"/>
      <c r="AD14" s="113"/>
      <c r="AE14" s="113"/>
    </row>
    <row r="15" spans="1:31" ht="13.2">
      <c r="G15" s="85">
        <v>14</v>
      </c>
      <c r="K15" s="85">
        <v>11</v>
      </c>
      <c r="O15" s="85">
        <v>18</v>
      </c>
      <c r="R15" s="85">
        <v>6</v>
      </c>
      <c r="W15" s="85">
        <v>14</v>
      </c>
      <c r="AA15" s="85">
        <v>15</v>
      </c>
    </row>
    <row r="16" spans="1:31" ht="13.2">
      <c r="F16" s="114" t="s">
        <v>128</v>
      </c>
      <c r="G16" s="114" t="s">
        <v>689</v>
      </c>
      <c r="J16" s="95" t="s">
        <v>128</v>
      </c>
      <c r="K16" s="114" t="s">
        <v>682</v>
      </c>
      <c r="N16" s="95" t="s">
        <v>128</v>
      </c>
      <c r="O16" s="114" t="s">
        <v>512</v>
      </c>
      <c r="Q16" s="95" t="s">
        <v>128</v>
      </c>
      <c r="R16" s="95">
        <v>18000</v>
      </c>
      <c r="V16" s="95" t="s">
        <v>128</v>
      </c>
      <c r="W16" s="95">
        <f>W15*B5</f>
        <v>42000</v>
      </c>
      <c r="Z16" s="95" t="s">
        <v>128</v>
      </c>
      <c r="AA16" s="95">
        <f>AA15*B5</f>
        <v>45000</v>
      </c>
    </row>
  </sheetData>
  <hyperlinks>
    <hyperlink ref="B4" r:id="rId1" xr:uid="{00000000-0004-0000-1A00-000000000000}"/>
  </hyperlinks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J21"/>
  <sheetViews>
    <sheetView workbookViewId="0"/>
  </sheetViews>
  <sheetFormatPr defaultColWidth="12.6640625" defaultRowHeight="15.75" customHeight="1"/>
  <cols>
    <col min="1" max="1" width="3.109375" customWidth="1"/>
    <col min="2" max="2" width="14.44140625" customWidth="1"/>
    <col min="3" max="14" width="12.6640625" hidden="1"/>
  </cols>
  <sheetData>
    <row r="1" spans="1:36" ht="14.4">
      <c r="G1" s="260"/>
    </row>
    <row r="2" spans="1:36" ht="27">
      <c r="B2" s="397" t="s">
        <v>690</v>
      </c>
      <c r="G2" s="390"/>
    </row>
    <row r="3" spans="1:36" ht="14.4">
      <c r="B3" s="390" t="s">
        <v>691</v>
      </c>
      <c r="G3" s="390"/>
    </row>
    <row r="4" spans="1:36" ht="14.4">
      <c r="B4" s="398" t="s">
        <v>692</v>
      </c>
    </row>
    <row r="5" spans="1:36" ht="13.2">
      <c r="B5" s="87">
        <v>4000</v>
      </c>
    </row>
    <row r="7" spans="1:36" ht="14.4">
      <c r="A7" s="193"/>
      <c r="B7" s="399" t="s">
        <v>693</v>
      </c>
    </row>
    <row r="8" spans="1:36" ht="14.4">
      <c r="A8" s="278" t="s">
        <v>212</v>
      </c>
      <c r="B8" s="278" t="s">
        <v>232</v>
      </c>
      <c r="C8" s="264">
        <v>45903</v>
      </c>
      <c r="D8" s="264">
        <v>45910</v>
      </c>
      <c r="E8" s="264">
        <v>45917</v>
      </c>
      <c r="F8" s="264">
        <v>45924</v>
      </c>
      <c r="G8" s="264">
        <v>45938</v>
      </c>
      <c r="H8" s="264">
        <v>45945</v>
      </c>
      <c r="I8" s="264">
        <v>45952</v>
      </c>
      <c r="J8" s="264">
        <v>45959</v>
      </c>
      <c r="K8" s="264">
        <v>45966</v>
      </c>
      <c r="L8" s="264">
        <v>45973</v>
      </c>
      <c r="M8" s="264">
        <v>45980</v>
      </c>
      <c r="N8" s="264">
        <v>45987</v>
      </c>
      <c r="O8" s="264">
        <v>45994</v>
      </c>
      <c r="P8" s="264">
        <v>46001</v>
      </c>
      <c r="Q8" s="264">
        <v>46006</v>
      </c>
      <c r="R8" s="264">
        <v>46013</v>
      </c>
      <c r="S8" s="400"/>
      <c r="T8" s="400"/>
      <c r="U8" s="400"/>
      <c r="V8" s="400"/>
      <c r="W8" s="400"/>
      <c r="X8" s="400"/>
      <c r="Y8" s="400"/>
      <c r="Z8" s="400"/>
      <c r="AA8" s="400"/>
      <c r="AB8" s="400"/>
      <c r="AC8" s="400"/>
      <c r="AD8" s="400"/>
      <c r="AE8" s="400"/>
      <c r="AF8" s="400"/>
      <c r="AG8" s="400"/>
      <c r="AH8" s="400"/>
      <c r="AI8" s="400"/>
      <c r="AJ8" s="400"/>
    </row>
    <row r="9" spans="1:36" ht="14.4">
      <c r="A9" s="401">
        <v>1</v>
      </c>
      <c r="B9" s="295" t="s">
        <v>694</v>
      </c>
      <c r="C9" s="91">
        <v>1</v>
      </c>
      <c r="D9" s="91">
        <v>1</v>
      </c>
      <c r="E9" s="91">
        <v>1</v>
      </c>
      <c r="F9" s="91">
        <v>1</v>
      </c>
      <c r="G9" s="91">
        <v>1</v>
      </c>
      <c r="H9" s="91">
        <v>1</v>
      </c>
      <c r="I9" s="91">
        <v>1</v>
      </c>
      <c r="J9" s="91">
        <v>1</v>
      </c>
      <c r="K9" s="91"/>
      <c r="L9" s="91">
        <v>1</v>
      </c>
      <c r="M9" s="91">
        <v>1</v>
      </c>
      <c r="N9" s="91"/>
      <c r="O9" s="91"/>
      <c r="P9" s="91">
        <v>1</v>
      </c>
      <c r="Q9" s="91">
        <v>1</v>
      </c>
      <c r="R9" s="91">
        <v>1</v>
      </c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</row>
    <row r="10" spans="1:36" ht="14.4">
      <c r="A10" s="280">
        <v>2</v>
      </c>
      <c r="B10" s="297" t="s">
        <v>646</v>
      </c>
      <c r="C10" s="91"/>
      <c r="D10" s="91"/>
      <c r="E10" s="91">
        <v>1</v>
      </c>
      <c r="F10" s="91">
        <v>1</v>
      </c>
      <c r="G10" s="91">
        <v>1</v>
      </c>
      <c r="H10" s="91"/>
      <c r="I10" s="91"/>
      <c r="J10" s="91"/>
      <c r="K10" s="91"/>
      <c r="L10" s="91"/>
      <c r="M10" s="91">
        <v>1</v>
      </c>
      <c r="N10" s="91">
        <v>1</v>
      </c>
      <c r="O10" s="91">
        <v>1</v>
      </c>
      <c r="P10" s="91">
        <v>1</v>
      </c>
      <c r="Q10" s="91">
        <v>1</v>
      </c>
      <c r="R10" s="91">
        <v>1</v>
      </c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</row>
    <row r="11" spans="1:36" ht="14.4">
      <c r="A11" s="402">
        <v>3</v>
      </c>
      <c r="B11" s="298" t="s">
        <v>695</v>
      </c>
      <c r="C11" s="91">
        <v>1</v>
      </c>
      <c r="D11" s="91">
        <v>1</v>
      </c>
      <c r="E11" s="91">
        <v>1</v>
      </c>
      <c r="F11" s="91">
        <v>1</v>
      </c>
      <c r="G11" s="91">
        <v>1</v>
      </c>
      <c r="H11" s="91">
        <v>1</v>
      </c>
      <c r="I11" s="91">
        <v>1</v>
      </c>
      <c r="J11" s="91">
        <v>1</v>
      </c>
      <c r="K11" s="91">
        <v>1</v>
      </c>
      <c r="L11" s="91">
        <v>1</v>
      </c>
      <c r="M11" s="91">
        <v>1</v>
      </c>
      <c r="N11" s="91">
        <v>1</v>
      </c>
      <c r="O11" s="91">
        <v>1</v>
      </c>
      <c r="P11" s="91">
        <v>1</v>
      </c>
      <c r="Q11" s="91">
        <v>1</v>
      </c>
      <c r="R11" s="91">
        <v>1</v>
      </c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</row>
    <row r="12" spans="1:36" ht="14.4">
      <c r="A12" s="402">
        <v>4</v>
      </c>
      <c r="B12" s="298" t="s">
        <v>696</v>
      </c>
      <c r="C12" s="91"/>
      <c r="D12" s="91">
        <v>1</v>
      </c>
      <c r="E12" s="91">
        <v>1</v>
      </c>
      <c r="F12" s="91">
        <v>1</v>
      </c>
      <c r="G12" s="91">
        <v>1</v>
      </c>
      <c r="H12" s="91">
        <v>1</v>
      </c>
      <c r="I12" s="91">
        <v>1</v>
      </c>
      <c r="J12" s="91"/>
      <c r="K12" s="91">
        <v>1</v>
      </c>
      <c r="L12" s="91">
        <v>1</v>
      </c>
      <c r="M12" s="91"/>
      <c r="N12" s="91">
        <v>1</v>
      </c>
      <c r="O12" s="91"/>
      <c r="P12" s="91">
        <v>1</v>
      </c>
      <c r="Q12" s="91"/>
      <c r="R12" s="91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</row>
    <row r="13" spans="1:36" ht="14.4">
      <c r="A13" s="402">
        <v>5</v>
      </c>
      <c r="B13" s="298" t="s">
        <v>697</v>
      </c>
      <c r="C13" s="91">
        <v>1</v>
      </c>
      <c r="D13" s="91">
        <v>1</v>
      </c>
      <c r="E13" s="91"/>
      <c r="F13" s="91">
        <v>1</v>
      </c>
      <c r="G13" s="91">
        <v>1</v>
      </c>
      <c r="H13" s="91">
        <v>1</v>
      </c>
      <c r="I13" s="91">
        <v>1</v>
      </c>
      <c r="J13" s="91">
        <v>1</v>
      </c>
      <c r="K13" s="91">
        <v>1</v>
      </c>
      <c r="L13" s="91"/>
      <c r="M13" s="91">
        <v>1</v>
      </c>
      <c r="N13" s="91">
        <v>1</v>
      </c>
      <c r="O13" s="91">
        <v>1</v>
      </c>
      <c r="P13" s="91">
        <v>1</v>
      </c>
      <c r="Q13" s="91"/>
      <c r="R13" s="91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</row>
    <row r="14" spans="1:36" ht="14.4">
      <c r="A14" s="402">
        <v>6</v>
      </c>
      <c r="B14" s="298" t="s">
        <v>698</v>
      </c>
      <c r="C14" s="91"/>
      <c r="D14" s="91"/>
      <c r="E14" s="91">
        <v>1</v>
      </c>
      <c r="F14" s="91">
        <v>1</v>
      </c>
      <c r="G14" s="91">
        <v>1</v>
      </c>
      <c r="H14" s="91">
        <v>1</v>
      </c>
      <c r="I14" s="91">
        <v>1</v>
      </c>
      <c r="J14" s="91"/>
      <c r="K14" s="91"/>
      <c r="L14" s="91"/>
      <c r="M14" s="91"/>
      <c r="N14" s="91"/>
      <c r="O14" s="91"/>
      <c r="P14" s="91"/>
      <c r="Q14" s="91"/>
      <c r="R14" s="91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</row>
    <row r="15" spans="1:36" ht="14.4">
      <c r="A15" s="402">
        <v>7</v>
      </c>
      <c r="B15" s="298" t="s">
        <v>295</v>
      </c>
      <c r="C15" s="91"/>
      <c r="D15" s="91"/>
      <c r="E15" s="91">
        <v>1</v>
      </c>
      <c r="F15" s="91"/>
      <c r="G15" s="91">
        <v>1</v>
      </c>
      <c r="H15" s="91">
        <v>1</v>
      </c>
      <c r="I15" s="91">
        <v>1</v>
      </c>
      <c r="J15" s="91"/>
      <c r="K15" s="91">
        <v>1</v>
      </c>
      <c r="L15" s="91">
        <v>1</v>
      </c>
      <c r="M15" s="91">
        <v>1</v>
      </c>
      <c r="N15" s="91">
        <v>1</v>
      </c>
      <c r="O15" s="91">
        <v>1</v>
      </c>
      <c r="P15" s="91"/>
      <c r="Q15" s="91">
        <v>1</v>
      </c>
      <c r="R15" s="91">
        <v>1</v>
      </c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</row>
    <row r="16" spans="1:36" ht="14.4">
      <c r="A16" s="402">
        <v>8</v>
      </c>
      <c r="B16" s="298" t="s">
        <v>520</v>
      </c>
      <c r="C16" s="91"/>
      <c r="D16" s="91"/>
      <c r="E16" s="91"/>
      <c r="F16" s="91">
        <v>1</v>
      </c>
      <c r="G16" s="91">
        <v>1</v>
      </c>
      <c r="H16" s="91">
        <v>1</v>
      </c>
      <c r="I16" s="91">
        <v>1</v>
      </c>
      <c r="J16" s="91">
        <v>1</v>
      </c>
      <c r="K16" s="91">
        <v>1</v>
      </c>
      <c r="L16" s="91">
        <v>1</v>
      </c>
      <c r="M16" s="91"/>
      <c r="N16" s="91">
        <v>1</v>
      </c>
      <c r="O16" s="91">
        <v>1</v>
      </c>
      <c r="P16" s="91"/>
      <c r="Q16" s="91"/>
      <c r="R16" s="91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</row>
    <row r="17" spans="1:36" ht="14.4">
      <c r="A17" s="402">
        <v>9</v>
      </c>
      <c r="B17" s="298" t="s">
        <v>699</v>
      </c>
      <c r="C17" s="91"/>
      <c r="D17" s="91"/>
      <c r="E17" s="91"/>
      <c r="F17" s="91">
        <v>1</v>
      </c>
      <c r="G17" s="91">
        <v>1</v>
      </c>
      <c r="H17" s="91">
        <v>1</v>
      </c>
      <c r="I17" s="91">
        <v>1</v>
      </c>
      <c r="J17" s="91"/>
      <c r="K17" s="91"/>
      <c r="L17" s="91"/>
      <c r="M17" s="91"/>
      <c r="N17" s="91"/>
      <c r="O17" s="91"/>
      <c r="P17" s="91"/>
      <c r="Q17" s="91"/>
      <c r="R17" s="91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</row>
    <row r="18" spans="1:36" ht="14.4">
      <c r="A18" s="402"/>
      <c r="B18" s="298" t="s">
        <v>110</v>
      </c>
      <c r="C18" s="91"/>
      <c r="D18" s="91"/>
      <c r="E18" s="91"/>
      <c r="F18" s="91"/>
      <c r="G18" s="91"/>
      <c r="H18" s="91"/>
      <c r="I18" s="91"/>
      <c r="J18" s="91">
        <v>1</v>
      </c>
      <c r="K18" s="91"/>
      <c r="L18" s="91"/>
      <c r="M18" s="91"/>
      <c r="N18" s="91"/>
      <c r="O18" s="91">
        <v>1</v>
      </c>
      <c r="P18" s="91"/>
      <c r="Q18" s="91">
        <v>1</v>
      </c>
      <c r="R18" s="91">
        <v>1</v>
      </c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</row>
    <row r="19" spans="1:36" ht="15.75" customHeight="1">
      <c r="A19" s="403"/>
      <c r="B19" s="278" t="s">
        <v>147</v>
      </c>
      <c r="C19" s="106">
        <v>3</v>
      </c>
      <c r="D19" s="106">
        <v>5</v>
      </c>
      <c r="E19" s="106">
        <v>8</v>
      </c>
      <c r="F19" s="106">
        <v>9</v>
      </c>
      <c r="G19" s="106">
        <v>9</v>
      </c>
      <c r="H19" s="106">
        <v>8</v>
      </c>
      <c r="I19" s="106">
        <v>8</v>
      </c>
      <c r="J19" s="106">
        <v>5</v>
      </c>
      <c r="K19" s="106">
        <v>5</v>
      </c>
      <c r="L19" s="106">
        <v>5</v>
      </c>
      <c r="M19" s="106">
        <v>5</v>
      </c>
      <c r="N19" s="106">
        <v>6</v>
      </c>
      <c r="O19" s="106">
        <v>6</v>
      </c>
      <c r="P19" s="106">
        <v>5</v>
      </c>
      <c r="Q19" s="106">
        <v>5</v>
      </c>
      <c r="R19" s="106">
        <v>5</v>
      </c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</row>
    <row r="20" spans="1:36" ht="13.2">
      <c r="C20" s="100"/>
      <c r="D20" s="100"/>
      <c r="E20" s="100"/>
      <c r="F20" s="100">
        <v>25</v>
      </c>
      <c r="G20" s="100"/>
      <c r="H20" s="100"/>
      <c r="I20" s="100"/>
      <c r="J20" s="100">
        <v>30</v>
      </c>
      <c r="K20" s="100"/>
      <c r="L20" s="100"/>
      <c r="M20" s="100"/>
      <c r="N20" s="100">
        <v>21</v>
      </c>
      <c r="O20" s="100"/>
      <c r="P20" s="100"/>
      <c r="Q20" s="100"/>
      <c r="R20" s="100">
        <v>21</v>
      </c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</row>
    <row r="21" spans="1:36" ht="13.2">
      <c r="I21" s="114" t="s">
        <v>128</v>
      </c>
      <c r="J21" s="114" t="s">
        <v>700</v>
      </c>
      <c r="M21" s="95" t="s">
        <v>128</v>
      </c>
      <c r="N21" s="114" t="s">
        <v>701</v>
      </c>
      <c r="O21" s="213"/>
      <c r="P21" s="213"/>
      <c r="Q21" s="275" t="s">
        <v>128</v>
      </c>
      <c r="R21" s="114">
        <v>84000</v>
      </c>
    </row>
  </sheetData>
  <hyperlinks>
    <hyperlink ref="B4" r:id="rId1" xr:uid="{00000000-0004-0000-1B00-000000000000}"/>
  </hyperlinks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F66"/>
  <sheetViews>
    <sheetView tabSelected="1" topLeftCell="A29" workbookViewId="0"/>
  </sheetViews>
  <sheetFormatPr defaultColWidth="12.6640625" defaultRowHeight="15.75" customHeight="1"/>
  <cols>
    <col min="1" max="1" width="3.21875" customWidth="1"/>
    <col min="2" max="2" width="13.6640625" customWidth="1"/>
    <col min="3" max="3" width="13.77734375" hidden="1" customWidth="1"/>
    <col min="4" max="28" width="12.6640625" hidden="1"/>
  </cols>
  <sheetData>
    <row r="1" spans="1:32" ht="25.8">
      <c r="B1" s="404" t="s">
        <v>702</v>
      </c>
      <c r="E1" s="404" t="s">
        <v>702</v>
      </c>
      <c r="T1" s="85" t="s">
        <v>67</v>
      </c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 spans="1:32" ht="14.4">
      <c r="B2" s="260" t="s">
        <v>703</v>
      </c>
      <c r="E2" s="260" t="s">
        <v>704</v>
      </c>
    </row>
    <row r="3" spans="1:32" ht="14.4">
      <c r="B3" s="398" t="s">
        <v>705</v>
      </c>
      <c r="E3" s="260" t="s">
        <v>706</v>
      </c>
    </row>
    <row r="4" spans="1:32" ht="13.2" hidden="1">
      <c r="B4" s="87">
        <v>3500</v>
      </c>
      <c r="E4" s="87">
        <v>3500</v>
      </c>
    </row>
    <row r="6" spans="1:32" ht="14.4">
      <c r="A6" s="193"/>
      <c r="B6" s="405" t="s">
        <v>707</v>
      </c>
      <c r="C6" s="406"/>
      <c r="D6" s="406"/>
      <c r="E6" s="406"/>
      <c r="F6" s="406"/>
      <c r="G6" s="406"/>
      <c r="H6" s="406"/>
      <c r="I6" s="406"/>
      <c r="J6" s="406"/>
      <c r="K6" s="406"/>
      <c r="L6" s="406"/>
      <c r="M6" s="406"/>
      <c r="N6" s="406"/>
      <c r="O6" s="406"/>
      <c r="P6" s="406"/>
      <c r="Q6" s="406"/>
      <c r="R6" s="406"/>
      <c r="S6" s="406"/>
      <c r="T6" s="406"/>
      <c r="U6" s="406"/>
      <c r="V6" s="406"/>
      <c r="W6" s="406"/>
      <c r="X6" s="406"/>
      <c r="Y6" s="406"/>
      <c r="Z6" s="406"/>
      <c r="AA6" s="406"/>
      <c r="AB6" s="406"/>
      <c r="AC6" s="406"/>
      <c r="AD6" s="406"/>
      <c r="AE6" s="406"/>
      <c r="AF6" s="406"/>
    </row>
    <row r="7" spans="1:32" ht="15" customHeight="1">
      <c r="A7" s="311" t="s">
        <v>212</v>
      </c>
      <c r="B7" s="407" t="s">
        <v>232</v>
      </c>
      <c r="C7" s="408">
        <v>45908</v>
      </c>
      <c r="D7" s="408">
        <v>45915</v>
      </c>
      <c r="E7" s="408">
        <v>45922</v>
      </c>
      <c r="F7" s="408">
        <v>45929</v>
      </c>
      <c r="G7" s="408">
        <v>45936</v>
      </c>
      <c r="H7" s="408">
        <v>45943</v>
      </c>
      <c r="I7" s="408">
        <v>45950</v>
      </c>
      <c r="J7" s="408">
        <v>45964</v>
      </c>
      <c r="K7" s="408">
        <v>45971</v>
      </c>
      <c r="L7" s="408">
        <v>45978</v>
      </c>
      <c r="M7" s="408">
        <v>45985</v>
      </c>
      <c r="N7" s="408">
        <v>45992</v>
      </c>
      <c r="O7" s="408">
        <v>45999</v>
      </c>
      <c r="P7" s="408">
        <v>46006</v>
      </c>
      <c r="Q7" s="408">
        <v>46015</v>
      </c>
      <c r="R7" s="409">
        <v>46027</v>
      </c>
      <c r="S7" s="409">
        <v>46034</v>
      </c>
      <c r="T7" s="409">
        <v>46041</v>
      </c>
      <c r="U7" s="409">
        <v>46048</v>
      </c>
      <c r="V7" s="410">
        <v>46055</v>
      </c>
      <c r="W7" s="409">
        <v>46062</v>
      </c>
      <c r="X7" s="409">
        <v>46069</v>
      </c>
      <c r="Y7" s="409">
        <v>46076</v>
      </c>
      <c r="Z7" s="409">
        <v>46083</v>
      </c>
      <c r="AA7" s="409">
        <v>46097</v>
      </c>
      <c r="AB7" s="409">
        <v>46111</v>
      </c>
      <c r="AC7" s="409">
        <v>46118</v>
      </c>
      <c r="AD7" s="409"/>
      <c r="AE7" s="409"/>
      <c r="AF7" s="409"/>
    </row>
    <row r="8" spans="1:32" ht="14.4">
      <c r="A8" s="411">
        <v>1</v>
      </c>
      <c r="B8" s="412" t="s">
        <v>240</v>
      </c>
      <c r="C8" s="413">
        <v>1</v>
      </c>
      <c r="D8" s="413">
        <v>1</v>
      </c>
      <c r="E8" s="413">
        <v>1</v>
      </c>
      <c r="F8" s="413">
        <v>1</v>
      </c>
      <c r="G8" s="413">
        <v>1</v>
      </c>
      <c r="H8" s="413">
        <v>1</v>
      </c>
      <c r="I8" s="413">
        <v>1</v>
      </c>
      <c r="J8" s="413">
        <v>1</v>
      </c>
      <c r="K8" s="413">
        <v>1</v>
      </c>
      <c r="L8" s="413">
        <v>1</v>
      </c>
      <c r="M8" s="413"/>
      <c r="N8" s="413"/>
      <c r="O8" s="413"/>
      <c r="P8" s="413">
        <v>1</v>
      </c>
      <c r="Q8" s="413">
        <v>1</v>
      </c>
      <c r="R8" s="413">
        <v>1</v>
      </c>
      <c r="S8" s="413">
        <v>1</v>
      </c>
      <c r="T8" s="413">
        <v>1</v>
      </c>
      <c r="U8" s="413">
        <v>1</v>
      </c>
      <c r="V8" s="413">
        <v>1</v>
      </c>
      <c r="W8" s="413">
        <v>1</v>
      </c>
      <c r="X8" s="413">
        <v>1</v>
      </c>
      <c r="Y8" s="413">
        <v>1</v>
      </c>
      <c r="Z8" s="414"/>
      <c r="AA8" s="414"/>
      <c r="AB8" s="414"/>
      <c r="AC8" s="414"/>
      <c r="AD8" s="414"/>
      <c r="AE8" s="414"/>
      <c r="AF8" s="414"/>
    </row>
    <row r="9" spans="1:32" ht="15" customHeight="1">
      <c r="A9" s="415">
        <v>1</v>
      </c>
      <c r="B9" s="295" t="s">
        <v>708</v>
      </c>
      <c r="C9" s="416">
        <v>1</v>
      </c>
      <c r="D9" s="416">
        <v>1</v>
      </c>
      <c r="E9" s="416">
        <v>1</v>
      </c>
      <c r="F9" s="416">
        <v>1</v>
      </c>
      <c r="G9" s="416"/>
      <c r="H9" s="416">
        <v>1</v>
      </c>
      <c r="I9" s="416">
        <v>1</v>
      </c>
      <c r="J9" s="414">
        <v>1</v>
      </c>
      <c r="K9" s="414">
        <v>1</v>
      </c>
      <c r="L9" s="414"/>
      <c r="M9" s="414">
        <v>1</v>
      </c>
      <c r="N9" s="414">
        <v>1</v>
      </c>
      <c r="O9" s="414">
        <v>1</v>
      </c>
      <c r="P9" s="414"/>
      <c r="Q9" s="414">
        <v>1</v>
      </c>
      <c r="R9" s="414"/>
      <c r="S9" s="414">
        <v>1</v>
      </c>
      <c r="T9" s="414">
        <v>1</v>
      </c>
      <c r="U9" s="414">
        <v>1</v>
      </c>
      <c r="V9" s="414">
        <v>1</v>
      </c>
      <c r="W9" s="414"/>
      <c r="X9" s="414">
        <v>1</v>
      </c>
      <c r="Y9" s="414"/>
      <c r="Z9" s="414">
        <v>1</v>
      </c>
      <c r="AA9" s="414">
        <v>1</v>
      </c>
      <c r="AB9" s="414">
        <v>1</v>
      </c>
      <c r="AC9" s="414"/>
      <c r="AD9" s="414"/>
      <c r="AE9" s="414"/>
      <c r="AF9" s="414"/>
    </row>
    <row r="10" spans="1:32" ht="15" customHeight="1">
      <c r="A10" s="415">
        <v>2</v>
      </c>
      <c r="B10" s="297" t="s">
        <v>709</v>
      </c>
      <c r="C10" s="416"/>
      <c r="D10" s="416"/>
      <c r="E10" s="416"/>
      <c r="F10" s="416"/>
      <c r="G10" s="416">
        <v>1</v>
      </c>
      <c r="H10" s="416">
        <v>1</v>
      </c>
      <c r="I10" s="416">
        <v>1</v>
      </c>
      <c r="J10" s="414">
        <v>1</v>
      </c>
      <c r="K10" s="414">
        <v>1</v>
      </c>
      <c r="L10" s="414">
        <v>1</v>
      </c>
      <c r="M10" s="414">
        <v>1</v>
      </c>
      <c r="N10" s="414">
        <v>1</v>
      </c>
      <c r="O10" s="414"/>
      <c r="P10" s="414">
        <v>1</v>
      </c>
      <c r="Q10" s="414"/>
      <c r="R10" s="414"/>
      <c r="S10" s="414"/>
      <c r="T10" s="414"/>
      <c r="U10" s="414">
        <v>1</v>
      </c>
      <c r="V10" s="414">
        <v>1</v>
      </c>
      <c r="W10" s="414">
        <v>1</v>
      </c>
      <c r="X10" s="414"/>
      <c r="Y10" s="414"/>
      <c r="Z10" s="414">
        <v>1</v>
      </c>
      <c r="AA10" s="414">
        <v>1</v>
      </c>
      <c r="AB10" s="414">
        <v>1</v>
      </c>
      <c r="AC10" s="414"/>
      <c r="AD10" s="414"/>
      <c r="AE10" s="414"/>
      <c r="AF10" s="414"/>
    </row>
    <row r="11" spans="1:32" ht="17.25" customHeight="1">
      <c r="A11" s="415">
        <v>3</v>
      </c>
      <c r="B11" s="295" t="s">
        <v>710</v>
      </c>
      <c r="C11" s="416"/>
      <c r="D11" s="416"/>
      <c r="E11" s="416"/>
      <c r="F11" s="416"/>
      <c r="G11" s="416">
        <v>1</v>
      </c>
      <c r="H11" s="416">
        <v>1</v>
      </c>
      <c r="I11" s="416">
        <v>1</v>
      </c>
      <c r="J11" s="414">
        <v>1</v>
      </c>
      <c r="K11" s="414">
        <v>1</v>
      </c>
      <c r="L11" s="414"/>
      <c r="M11" s="414"/>
      <c r="N11" s="414"/>
      <c r="O11" s="414">
        <v>1</v>
      </c>
      <c r="P11" s="414">
        <v>1</v>
      </c>
      <c r="Q11" s="414"/>
      <c r="R11" s="414"/>
      <c r="S11" s="414">
        <v>1</v>
      </c>
      <c r="T11" s="414">
        <v>1</v>
      </c>
      <c r="U11" s="414">
        <v>1</v>
      </c>
      <c r="V11" s="414">
        <v>1</v>
      </c>
      <c r="W11" s="414">
        <v>1</v>
      </c>
      <c r="X11" s="414"/>
      <c r="Y11" s="414"/>
      <c r="Z11" s="414">
        <v>1</v>
      </c>
      <c r="AA11" s="414"/>
      <c r="AB11" s="414"/>
      <c r="AC11" s="414"/>
      <c r="AD11" s="414"/>
      <c r="AE11" s="414"/>
      <c r="AF11" s="414"/>
    </row>
    <row r="12" spans="1:32" ht="16.5" customHeight="1">
      <c r="A12" s="415">
        <v>4</v>
      </c>
      <c r="B12" s="112" t="s">
        <v>711</v>
      </c>
      <c r="C12" s="416"/>
      <c r="D12" s="416"/>
      <c r="E12" s="416"/>
      <c r="F12" s="416"/>
      <c r="G12" s="416">
        <v>1</v>
      </c>
      <c r="H12" s="416"/>
      <c r="I12" s="416">
        <v>1</v>
      </c>
      <c r="J12" s="414">
        <v>1</v>
      </c>
      <c r="K12" s="414"/>
      <c r="L12" s="414">
        <v>1</v>
      </c>
      <c r="M12" s="414"/>
      <c r="N12" s="414">
        <v>1</v>
      </c>
      <c r="O12" s="414">
        <v>1</v>
      </c>
      <c r="P12" s="414"/>
      <c r="Q12" s="414"/>
      <c r="R12" s="414"/>
      <c r="S12" s="414">
        <v>1</v>
      </c>
      <c r="T12" s="414"/>
      <c r="U12" s="414">
        <v>1</v>
      </c>
      <c r="V12" s="414"/>
      <c r="W12" s="414"/>
      <c r="X12" s="414"/>
      <c r="Y12" s="414"/>
      <c r="Z12" s="414"/>
      <c r="AA12" s="414"/>
      <c r="AB12" s="414"/>
      <c r="AC12" s="414"/>
      <c r="AD12" s="414"/>
      <c r="AE12" s="414"/>
      <c r="AF12" s="414"/>
    </row>
    <row r="13" spans="1:32" ht="15.75" customHeight="1">
      <c r="A13" s="415">
        <v>5</v>
      </c>
      <c r="B13" s="112" t="s">
        <v>712</v>
      </c>
      <c r="C13" s="416"/>
      <c r="D13" s="416"/>
      <c r="E13" s="416"/>
      <c r="F13" s="416"/>
      <c r="G13" s="416">
        <v>1</v>
      </c>
      <c r="H13" s="416">
        <v>1</v>
      </c>
      <c r="I13" s="416">
        <v>1</v>
      </c>
      <c r="J13" s="414">
        <v>1</v>
      </c>
      <c r="K13" s="414">
        <v>1</v>
      </c>
      <c r="L13" s="414">
        <v>1</v>
      </c>
      <c r="M13" s="414">
        <v>1</v>
      </c>
      <c r="N13" s="414">
        <v>1</v>
      </c>
      <c r="O13" s="414"/>
      <c r="P13" s="414">
        <v>1</v>
      </c>
      <c r="Q13" s="414">
        <v>1</v>
      </c>
      <c r="R13" s="414">
        <v>1</v>
      </c>
      <c r="S13" s="414">
        <v>1</v>
      </c>
      <c r="T13" s="414"/>
      <c r="U13" s="414">
        <v>1</v>
      </c>
      <c r="V13" s="414">
        <v>1</v>
      </c>
      <c r="W13" s="414"/>
      <c r="X13" s="414"/>
      <c r="Y13" s="414">
        <v>1</v>
      </c>
      <c r="Z13" s="414">
        <v>1</v>
      </c>
      <c r="AA13" s="414"/>
      <c r="AB13" s="414">
        <v>1</v>
      </c>
      <c r="AC13" s="414"/>
      <c r="AD13" s="414"/>
      <c r="AE13" s="414"/>
      <c r="AF13" s="414"/>
    </row>
    <row r="14" spans="1:32" ht="15.75" customHeight="1">
      <c r="A14" s="415">
        <v>6</v>
      </c>
      <c r="B14" s="298" t="s">
        <v>713</v>
      </c>
      <c r="C14" s="416"/>
      <c r="D14" s="416"/>
      <c r="E14" s="416"/>
      <c r="F14" s="416"/>
      <c r="G14" s="416"/>
      <c r="H14" s="416"/>
      <c r="I14" s="416">
        <v>1</v>
      </c>
      <c r="J14" s="414">
        <v>1</v>
      </c>
      <c r="K14" s="414">
        <v>1</v>
      </c>
      <c r="L14" s="414">
        <v>1</v>
      </c>
      <c r="M14" s="414">
        <v>1</v>
      </c>
      <c r="N14" s="414">
        <v>1</v>
      </c>
      <c r="O14" s="414">
        <v>1</v>
      </c>
      <c r="P14" s="414">
        <v>1</v>
      </c>
      <c r="Q14" s="414">
        <v>1</v>
      </c>
      <c r="R14" s="414">
        <v>1</v>
      </c>
      <c r="S14" s="414">
        <v>1</v>
      </c>
      <c r="T14" s="414">
        <v>1</v>
      </c>
      <c r="U14" s="414">
        <v>1</v>
      </c>
      <c r="V14" s="414">
        <v>1</v>
      </c>
      <c r="W14" s="414">
        <v>1</v>
      </c>
      <c r="X14" s="414">
        <v>1</v>
      </c>
      <c r="Y14" s="414">
        <v>1</v>
      </c>
      <c r="Z14" s="414"/>
      <c r="AA14" s="414"/>
      <c r="AB14" s="414"/>
      <c r="AC14" s="414"/>
      <c r="AD14" s="414"/>
      <c r="AE14" s="414"/>
      <c r="AF14" s="414"/>
    </row>
    <row r="15" spans="1:32" ht="13.5" customHeight="1">
      <c r="A15" s="417"/>
      <c r="B15" s="323" t="s">
        <v>147</v>
      </c>
      <c r="C15" s="418">
        <v>3</v>
      </c>
      <c r="D15" s="418">
        <v>3</v>
      </c>
      <c r="E15" s="418">
        <v>6</v>
      </c>
      <c r="F15" s="418">
        <v>3</v>
      </c>
      <c r="G15" s="418">
        <v>5</v>
      </c>
      <c r="H15" s="418">
        <v>5</v>
      </c>
      <c r="I15" s="418">
        <v>7</v>
      </c>
      <c r="J15" s="418">
        <v>7</v>
      </c>
      <c r="K15" s="418">
        <v>6</v>
      </c>
      <c r="L15" s="418">
        <v>5</v>
      </c>
      <c r="M15" s="418">
        <v>4</v>
      </c>
      <c r="N15" s="418">
        <v>5</v>
      </c>
      <c r="O15" s="418">
        <v>4</v>
      </c>
      <c r="P15" s="418">
        <v>5</v>
      </c>
      <c r="Q15" s="418">
        <v>4</v>
      </c>
      <c r="R15" s="419">
        <v>3</v>
      </c>
      <c r="S15" s="419">
        <v>6</v>
      </c>
      <c r="T15" s="419">
        <v>4</v>
      </c>
      <c r="U15" s="419">
        <v>7</v>
      </c>
      <c r="V15" s="419">
        <v>6</v>
      </c>
      <c r="W15" s="419">
        <v>4</v>
      </c>
      <c r="X15" s="419">
        <v>3</v>
      </c>
      <c r="Y15" s="419">
        <v>3</v>
      </c>
      <c r="Z15" s="419">
        <v>4</v>
      </c>
      <c r="AA15" s="419">
        <v>2</v>
      </c>
      <c r="AB15" s="419">
        <v>3</v>
      </c>
      <c r="AC15" s="419"/>
      <c r="AD15" s="419">
        <v>0</v>
      </c>
      <c r="AE15" s="419"/>
      <c r="AF15" s="419"/>
    </row>
    <row r="16" spans="1:32" ht="14.25" customHeight="1">
      <c r="A16" s="193"/>
      <c r="B16" s="193"/>
      <c r="C16" s="406"/>
      <c r="D16" s="406"/>
      <c r="E16" s="420"/>
      <c r="F16" s="420">
        <v>15</v>
      </c>
      <c r="G16" s="421"/>
      <c r="H16" s="421"/>
      <c r="I16" s="422"/>
      <c r="J16" s="421"/>
      <c r="K16" s="421"/>
      <c r="M16" s="119">
        <v>22</v>
      </c>
      <c r="N16" s="421"/>
      <c r="O16" s="421"/>
      <c r="P16" s="421"/>
      <c r="Q16" s="421"/>
      <c r="R16" s="421"/>
      <c r="S16" s="421"/>
      <c r="T16" s="421"/>
      <c r="U16" s="421">
        <v>16</v>
      </c>
      <c r="V16" s="421"/>
      <c r="W16" s="421"/>
      <c r="X16" s="421"/>
      <c r="Y16" s="421">
        <v>12</v>
      </c>
      <c r="Z16" s="421"/>
      <c r="AA16" s="421"/>
      <c r="AB16" s="421">
        <v>9</v>
      </c>
      <c r="AC16" s="421"/>
      <c r="AD16" s="421"/>
      <c r="AE16" s="421"/>
      <c r="AF16" s="421"/>
    </row>
    <row r="17" spans="1:32" ht="15.75" customHeight="1">
      <c r="L17" s="420" t="s">
        <v>183</v>
      </c>
      <c r="M17" s="423" t="s">
        <v>714</v>
      </c>
      <c r="N17" s="424"/>
      <c r="O17" s="424"/>
      <c r="P17" s="424"/>
      <c r="Q17" s="425">
        <v>18</v>
      </c>
      <c r="R17" s="424"/>
      <c r="S17" s="424"/>
      <c r="T17" s="424"/>
      <c r="U17" s="425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</row>
    <row r="18" spans="1:32" ht="14.25" customHeight="1">
      <c r="N18" s="422"/>
      <c r="O18" s="422"/>
      <c r="P18" s="422"/>
      <c r="Q18" s="422"/>
      <c r="R18" s="422"/>
      <c r="S18" s="422"/>
      <c r="T18" s="422"/>
      <c r="U18" s="422"/>
      <c r="V18" s="422"/>
      <c r="W18" s="422"/>
      <c r="X18" s="422"/>
      <c r="Y18" s="422"/>
      <c r="Z18" s="422"/>
      <c r="AA18" s="422"/>
      <c r="AB18" s="422"/>
      <c r="AC18" s="422"/>
      <c r="AD18" s="422"/>
      <c r="AE18" s="422"/>
      <c r="AF18" s="422"/>
    </row>
    <row r="19" spans="1:32" ht="14.25" customHeight="1">
      <c r="N19" s="422"/>
      <c r="O19" s="422"/>
      <c r="P19" s="422"/>
      <c r="Q19" s="422"/>
      <c r="R19" s="422"/>
      <c r="S19" s="422"/>
      <c r="T19" s="422"/>
      <c r="U19" s="422"/>
      <c r="V19" s="422"/>
      <c r="W19" s="422"/>
      <c r="X19" s="422"/>
      <c r="Y19" s="422"/>
      <c r="Z19" s="422"/>
      <c r="AA19" s="422"/>
      <c r="AB19" s="422"/>
      <c r="AC19" s="422"/>
      <c r="AD19" s="422"/>
      <c r="AE19" s="422"/>
      <c r="AF19" s="422"/>
    </row>
    <row r="20" spans="1:32" ht="15" customHeight="1">
      <c r="A20" s="102" t="s">
        <v>212</v>
      </c>
      <c r="B20" s="407" t="s">
        <v>232</v>
      </c>
      <c r="C20" s="408">
        <v>45908</v>
      </c>
      <c r="D20" s="408">
        <v>45915</v>
      </c>
      <c r="E20" s="408">
        <v>45922</v>
      </c>
      <c r="F20" s="408">
        <v>45929</v>
      </c>
      <c r="G20" s="408">
        <v>45936</v>
      </c>
      <c r="H20" s="408">
        <v>45943</v>
      </c>
      <c r="I20" s="408">
        <v>45950</v>
      </c>
      <c r="J20" s="408">
        <v>45964</v>
      </c>
      <c r="K20" s="408">
        <v>45971</v>
      </c>
      <c r="L20" s="408">
        <v>45978</v>
      </c>
      <c r="M20" s="408">
        <v>45985</v>
      </c>
      <c r="N20" s="426">
        <v>45992</v>
      </c>
      <c r="O20" s="426">
        <v>45999</v>
      </c>
      <c r="P20" s="427">
        <v>46006</v>
      </c>
      <c r="Q20" s="427">
        <v>46015</v>
      </c>
      <c r="R20" s="428">
        <v>46027</v>
      </c>
      <c r="S20" s="428">
        <v>46034</v>
      </c>
      <c r="T20" s="428">
        <v>46041</v>
      </c>
      <c r="U20" s="428">
        <v>46048</v>
      </c>
      <c r="V20" s="429">
        <v>46055</v>
      </c>
      <c r="W20" s="428">
        <v>46062</v>
      </c>
      <c r="X20" s="428">
        <v>46069</v>
      </c>
      <c r="Y20" s="428">
        <v>46076</v>
      </c>
      <c r="Z20" s="428">
        <v>46083</v>
      </c>
      <c r="AA20" s="428">
        <v>46097</v>
      </c>
      <c r="AB20" s="428">
        <v>46111</v>
      </c>
      <c r="AC20" s="428">
        <v>46118</v>
      </c>
      <c r="AD20" s="428"/>
      <c r="AE20" s="428"/>
      <c r="AF20" s="428"/>
    </row>
    <row r="21" spans="1:32" ht="14.25" customHeight="1">
      <c r="A21" s="415">
        <v>1</v>
      </c>
      <c r="B21" s="297" t="s">
        <v>679</v>
      </c>
      <c r="C21" s="416">
        <v>1</v>
      </c>
      <c r="D21" s="416">
        <v>1</v>
      </c>
      <c r="E21" s="416"/>
      <c r="F21" s="416">
        <v>1</v>
      </c>
      <c r="G21" s="416">
        <v>1</v>
      </c>
      <c r="H21" s="416">
        <v>1</v>
      </c>
      <c r="I21" s="416">
        <v>1</v>
      </c>
      <c r="J21" s="414"/>
      <c r="K21" s="414">
        <v>1</v>
      </c>
      <c r="L21" s="414">
        <v>1</v>
      </c>
      <c r="M21" s="414">
        <v>1</v>
      </c>
      <c r="N21" s="416">
        <v>1</v>
      </c>
      <c r="O21" s="416">
        <v>1</v>
      </c>
      <c r="P21" s="416">
        <v>1</v>
      </c>
      <c r="Q21" s="416">
        <v>1</v>
      </c>
      <c r="R21" s="416">
        <v>1</v>
      </c>
      <c r="S21" s="416">
        <v>1</v>
      </c>
      <c r="T21" s="416">
        <v>1</v>
      </c>
      <c r="U21" s="416">
        <v>1</v>
      </c>
      <c r="V21" s="416">
        <v>1</v>
      </c>
      <c r="W21" s="416">
        <v>1</v>
      </c>
      <c r="X21" s="416"/>
      <c r="Y21" s="416">
        <v>1</v>
      </c>
      <c r="Z21" s="416">
        <v>1</v>
      </c>
      <c r="AA21" s="416">
        <v>1</v>
      </c>
      <c r="AB21" s="416"/>
      <c r="AC21" s="416"/>
      <c r="AD21" s="416"/>
      <c r="AE21" s="416"/>
      <c r="AF21" s="416"/>
    </row>
    <row r="22" spans="1:32" ht="14.25" customHeight="1">
      <c r="A22" s="415">
        <v>2</v>
      </c>
      <c r="B22" s="295" t="s">
        <v>715</v>
      </c>
      <c r="C22" s="416">
        <v>1</v>
      </c>
      <c r="D22" s="416">
        <v>1</v>
      </c>
      <c r="E22" s="416">
        <v>1</v>
      </c>
      <c r="F22" s="416">
        <v>1</v>
      </c>
      <c r="G22" s="416">
        <v>1</v>
      </c>
      <c r="H22" s="416">
        <v>1</v>
      </c>
      <c r="I22" s="416">
        <v>1</v>
      </c>
      <c r="J22" s="414">
        <v>1</v>
      </c>
      <c r="K22" s="414">
        <v>1</v>
      </c>
      <c r="L22" s="414"/>
      <c r="M22" s="414"/>
      <c r="N22" s="416">
        <v>1</v>
      </c>
      <c r="O22" s="416">
        <v>1</v>
      </c>
      <c r="P22" s="416">
        <v>1</v>
      </c>
      <c r="Q22" s="416">
        <v>1</v>
      </c>
      <c r="R22" s="416">
        <v>1</v>
      </c>
      <c r="S22" s="416">
        <v>1</v>
      </c>
      <c r="T22" s="416">
        <v>1</v>
      </c>
      <c r="U22" s="416">
        <v>1</v>
      </c>
      <c r="V22" s="416">
        <v>1</v>
      </c>
      <c r="W22" s="416">
        <v>1</v>
      </c>
      <c r="X22" s="416">
        <v>1</v>
      </c>
      <c r="Y22" s="416">
        <v>1</v>
      </c>
      <c r="Z22" s="416"/>
      <c r="AA22" s="416">
        <v>1</v>
      </c>
      <c r="AB22" s="416"/>
      <c r="AC22" s="416"/>
      <c r="AD22" s="416"/>
      <c r="AE22" s="416"/>
      <c r="AF22" s="416"/>
    </row>
    <row r="23" spans="1:32" ht="15.75" customHeight="1">
      <c r="A23" s="415">
        <v>3</v>
      </c>
      <c r="B23" s="295" t="s">
        <v>716</v>
      </c>
      <c r="C23" s="416">
        <v>1</v>
      </c>
      <c r="D23" s="416">
        <v>1</v>
      </c>
      <c r="E23" s="416">
        <v>1</v>
      </c>
      <c r="F23" s="430">
        <v>1</v>
      </c>
      <c r="G23" s="416">
        <v>1</v>
      </c>
      <c r="H23" s="416">
        <v>1</v>
      </c>
      <c r="I23" s="416">
        <v>1</v>
      </c>
      <c r="J23" s="414">
        <v>1</v>
      </c>
      <c r="K23" s="414">
        <v>1</v>
      </c>
      <c r="L23" s="414"/>
      <c r="M23" s="414">
        <v>1</v>
      </c>
      <c r="N23" s="416">
        <v>1</v>
      </c>
      <c r="O23" s="416">
        <v>1</v>
      </c>
      <c r="P23" s="416">
        <v>1</v>
      </c>
      <c r="Q23" s="416">
        <v>1</v>
      </c>
      <c r="R23" s="416">
        <v>1</v>
      </c>
      <c r="S23" s="416"/>
      <c r="T23" s="416"/>
      <c r="U23" s="416">
        <v>1</v>
      </c>
      <c r="V23" s="416">
        <v>1</v>
      </c>
      <c r="W23" s="416">
        <v>1</v>
      </c>
      <c r="X23" s="416">
        <v>1</v>
      </c>
      <c r="Y23" s="416"/>
      <c r="Z23" s="416">
        <v>1</v>
      </c>
      <c r="AA23" s="416">
        <v>1</v>
      </c>
      <c r="AB23" s="416"/>
      <c r="AC23" s="416">
        <v>1</v>
      </c>
      <c r="AD23" s="416"/>
      <c r="AE23" s="416"/>
      <c r="AF23" s="416"/>
    </row>
    <row r="24" spans="1:32" ht="15" customHeight="1">
      <c r="A24" s="415">
        <v>4</v>
      </c>
      <c r="B24" s="295" t="s">
        <v>461</v>
      </c>
      <c r="C24" s="416">
        <v>1</v>
      </c>
      <c r="D24" s="416">
        <v>1</v>
      </c>
      <c r="E24" s="416">
        <v>1</v>
      </c>
      <c r="F24" s="416">
        <v>1</v>
      </c>
      <c r="G24" s="416">
        <v>1</v>
      </c>
      <c r="H24" s="416">
        <v>1</v>
      </c>
      <c r="I24" s="416">
        <v>1</v>
      </c>
      <c r="J24" s="414">
        <v>1</v>
      </c>
      <c r="K24" s="414">
        <v>1</v>
      </c>
      <c r="L24" s="414">
        <v>1</v>
      </c>
      <c r="M24" s="414">
        <v>1</v>
      </c>
      <c r="N24" s="416">
        <v>1</v>
      </c>
      <c r="O24" s="416">
        <v>1</v>
      </c>
      <c r="P24" s="416"/>
      <c r="Q24" s="416"/>
      <c r="R24" s="416"/>
      <c r="S24" s="416"/>
      <c r="T24" s="416"/>
      <c r="U24" s="416"/>
      <c r="V24" s="416"/>
      <c r="W24" s="416"/>
      <c r="X24" s="416"/>
      <c r="Y24" s="416"/>
      <c r="Z24" s="416"/>
      <c r="AA24" s="416"/>
      <c r="AB24" s="416"/>
      <c r="AC24" s="416">
        <v>1</v>
      </c>
      <c r="AD24" s="416"/>
      <c r="AE24" s="416"/>
      <c r="AF24" s="416"/>
    </row>
    <row r="25" spans="1:32" ht="15" customHeight="1">
      <c r="A25" s="415">
        <v>5</v>
      </c>
      <c r="B25" s="297" t="s">
        <v>717</v>
      </c>
      <c r="C25" s="416">
        <v>1</v>
      </c>
      <c r="D25" s="416">
        <v>1</v>
      </c>
      <c r="E25" s="416">
        <v>1</v>
      </c>
      <c r="F25" s="416">
        <v>1</v>
      </c>
      <c r="G25" s="416">
        <v>1</v>
      </c>
      <c r="H25" s="416">
        <v>1</v>
      </c>
      <c r="I25" s="416">
        <v>1</v>
      </c>
      <c r="J25" s="414">
        <v>1</v>
      </c>
      <c r="K25" s="414">
        <v>1</v>
      </c>
      <c r="L25" s="414"/>
      <c r="M25" s="414"/>
      <c r="N25" s="416"/>
      <c r="O25" s="416">
        <v>1</v>
      </c>
      <c r="P25" s="416">
        <v>1</v>
      </c>
      <c r="Q25" s="416">
        <v>1</v>
      </c>
      <c r="R25" s="416">
        <v>1</v>
      </c>
      <c r="S25" s="416">
        <v>1</v>
      </c>
      <c r="T25" s="416">
        <v>1</v>
      </c>
      <c r="U25" s="416">
        <v>1</v>
      </c>
      <c r="V25" s="416"/>
      <c r="W25" s="416"/>
      <c r="X25" s="416"/>
      <c r="Y25" s="416"/>
      <c r="Z25" s="416"/>
      <c r="AA25" s="416"/>
      <c r="AB25" s="416"/>
      <c r="AC25" s="416"/>
      <c r="AD25" s="416"/>
      <c r="AE25" s="416"/>
      <c r="AF25" s="416"/>
    </row>
    <row r="26" spans="1:32" ht="15" customHeight="1">
      <c r="A26" s="415">
        <v>6</v>
      </c>
      <c r="B26" s="295" t="s">
        <v>543</v>
      </c>
      <c r="C26" s="416">
        <v>1</v>
      </c>
      <c r="D26" s="416">
        <v>1</v>
      </c>
      <c r="E26" s="416">
        <v>1</v>
      </c>
      <c r="F26" s="416">
        <v>1</v>
      </c>
      <c r="G26" s="416">
        <v>1</v>
      </c>
      <c r="H26" s="416">
        <v>1</v>
      </c>
      <c r="I26" s="416">
        <v>1</v>
      </c>
      <c r="J26" s="414">
        <v>1</v>
      </c>
      <c r="K26" s="414">
        <v>1</v>
      </c>
      <c r="L26" s="414"/>
      <c r="M26" s="414"/>
      <c r="N26" s="416">
        <v>1</v>
      </c>
      <c r="O26" s="416">
        <v>1</v>
      </c>
      <c r="P26" s="416">
        <v>1</v>
      </c>
      <c r="Q26" s="416">
        <v>1</v>
      </c>
      <c r="R26" s="416">
        <v>1</v>
      </c>
      <c r="S26" s="416">
        <v>1</v>
      </c>
      <c r="T26" s="416">
        <v>1</v>
      </c>
      <c r="U26" s="416">
        <v>1</v>
      </c>
      <c r="V26" s="416">
        <v>1</v>
      </c>
      <c r="W26" s="416">
        <v>1</v>
      </c>
      <c r="X26" s="416">
        <v>1</v>
      </c>
      <c r="Y26" s="416">
        <v>1</v>
      </c>
      <c r="Z26" s="416">
        <v>1</v>
      </c>
      <c r="AA26" s="416">
        <v>1</v>
      </c>
      <c r="AB26" s="416">
        <v>1</v>
      </c>
      <c r="AC26" s="416">
        <v>1</v>
      </c>
      <c r="AD26" s="416"/>
      <c r="AE26" s="416"/>
      <c r="AF26" s="416"/>
    </row>
    <row r="27" spans="1:32" ht="14.25" customHeight="1">
      <c r="A27" s="415">
        <v>7</v>
      </c>
      <c r="B27" s="295" t="s">
        <v>718</v>
      </c>
      <c r="C27" s="416">
        <v>1</v>
      </c>
      <c r="D27" s="416">
        <v>1</v>
      </c>
      <c r="E27" s="416">
        <v>1</v>
      </c>
      <c r="F27" s="416">
        <v>1</v>
      </c>
      <c r="G27" s="416">
        <v>1</v>
      </c>
      <c r="H27" s="416">
        <v>1</v>
      </c>
      <c r="I27" s="416">
        <v>1</v>
      </c>
      <c r="J27" s="414">
        <v>1</v>
      </c>
      <c r="K27" s="414">
        <v>1</v>
      </c>
      <c r="L27" s="414"/>
      <c r="M27" s="414">
        <v>1</v>
      </c>
      <c r="N27" s="416">
        <v>1</v>
      </c>
      <c r="O27" s="416">
        <v>1</v>
      </c>
      <c r="P27" s="416">
        <v>1</v>
      </c>
      <c r="Q27" s="416">
        <v>1</v>
      </c>
      <c r="R27" s="416">
        <v>1</v>
      </c>
      <c r="S27" s="416">
        <v>1</v>
      </c>
      <c r="T27" s="416">
        <v>1</v>
      </c>
      <c r="U27" s="416">
        <v>1</v>
      </c>
      <c r="V27" s="416">
        <v>1</v>
      </c>
      <c r="W27" s="416">
        <v>1</v>
      </c>
      <c r="X27" s="416"/>
      <c r="Y27" s="416">
        <v>1</v>
      </c>
      <c r="Z27" s="416">
        <v>1</v>
      </c>
      <c r="AA27" s="416">
        <v>1</v>
      </c>
      <c r="AB27" s="416"/>
      <c r="AC27" s="416"/>
      <c r="AD27" s="416"/>
      <c r="AE27" s="416"/>
      <c r="AF27" s="416"/>
    </row>
    <row r="28" spans="1:32" ht="14.25" customHeight="1">
      <c r="A28" s="415">
        <v>8</v>
      </c>
      <c r="B28" s="112" t="s">
        <v>719</v>
      </c>
      <c r="C28" s="416">
        <v>1</v>
      </c>
      <c r="D28" s="416">
        <v>1</v>
      </c>
      <c r="E28" s="416">
        <v>1</v>
      </c>
      <c r="F28" s="416">
        <v>1</v>
      </c>
      <c r="G28" s="416">
        <v>1</v>
      </c>
      <c r="H28" s="416">
        <v>1</v>
      </c>
      <c r="I28" s="416">
        <v>1</v>
      </c>
      <c r="J28" s="416">
        <v>1</v>
      </c>
      <c r="K28" s="416">
        <v>1</v>
      </c>
      <c r="L28" s="416"/>
      <c r="M28" s="416">
        <v>1</v>
      </c>
      <c r="N28" s="416">
        <v>1</v>
      </c>
      <c r="O28" s="416">
        <v>1</v>
      </c>
      <c r="P28" s="416">
        <v>1</v>
      </c>
      <c r="Q28" s="416"/>
      <c r="R28" s="416"/>
      <c r="S28" s="416"/>
      <c r="T28" s="416"/>
      <c r="U28" s="416"/>
      <c r="V28" s="416">
        <v>1</v>
      </c>
      <c r="W28" s="416"/>
      <c r="X28" s="416"/>
      <c r="Y28" s="416">
        <v>1</v>
      </c>
      <c r="Z28" s="416"/>
      <c r="AA28" s="416"/>
      <c r="AB28" s="416"/>
      <c r="AC28" s="416"/>
      <c r="AD28" s="416"/>
      <c r="AE28" s="416"/>
      <c r="AF28" s="416"/>
    </row>
    <row r="29" spans="1:32" ht="14.25" customHeight="1">
      <c r="A29" s="411">
        <v>9</v>
      </c>
      <c r="B29" s="112" t="s">
        <v>720</v>
      </c>
      <c r="C29" s="416">
        <v>1</v>
      </c>
      <c r="D29" s="416">
        <v>1</v>
      </c>
      <c r="E29" s="416">
        <v>1</v>
      </c>
      <c r="F29" s="416">
        <v>1</v>
      </c>
      <c r="G29" s="416"/>
      <c r="H29" s="416">
        <v>1</v>
      </c>
      <c r="I29" s="416">
        <v>1</v>
      </c>
      <c r="J29" s="416">
        <v>1</v>
      </c>
      <c r="K29" s="416"/>
      <c r="L29" s="416">
        <v>1</v>
      </c>
      <c r="M29" s="416">
        <v>1</v>
      </c>
      <c r="N29" s="416">
        <v>1</v>
      </c>
      <c r="O29" s="416">
        <v>1</v>
      </c>
      <c r="P29" s="416">
        <v>1</v>
      </c>
      <c r="Q29" s="416">
        <v>1</v>
      </c>
      <c r="R29" s="416"/>
      <c r="S29" s="416"/>
      <c r="T29" s="416">
        <v>1</v>
      </c>
      <c r="U29" s="416"/>
      <c r="V29" s="416">
        <v>1</v>
      </c>
      <c r="W29" s="416">
        <v>1</v>
      </c>
      <c r="X29" s="416">
        <v>1</v>
      </c>
      <c r="Y29" s="416">
        <v>1</v>
      </c>
      <c r="Z29" s="416">
        <v>1</v>
      </c>
      <c r="AA29" s="416">
        <v>1</v>
      </c>
      <c r="AB29" s="416"/>
      <c r="AC29" s="416"/>
      <c r="AD29" s="416"/>
      <c r="AE29" s="416"/>
      <c r="AF29" s="416"/>
    </row>
    <row r="30" spans="1:32" ht="14.25" customHeight="1">
      <c r="A30" s="411">
        <v>10</v>
      </c>
      <c r="B30" s="112" t="s">
        <v>578</v>
      </c>
      <c r="C30" s="416">
        <v>1</v>
      </c>
      <c r="D30" s="416">
        <v>1</v>
      </c>
      <c r="E30" s="416">
        <v>1</v>
      </c>
      <c r="F30" s="416"/>
      <c r="G30" s="416">
        <v>1</v>
      </c>
      <c r="H30" s="416">
        <v>1</v>
      </c>
      <c r="I30" s="416">
        <v>1</v>
      </c>
      <c r="J30" s="416"/>
      <c r="K30" s="416">
        <v>1</v>
      </c>
      <c r="L30" s="416"/>
      <c r="M30" s="416"/>
      <c r="N30" s="416"/>
      <c r="O30" s="416">
        <v>1</v>
      </c>
      <c r="P30" s="416">
        <v>1</v>
      </c>
      <c r="Q30" s="416">
        <v>1</v>
      </c>
      <c r="R30" s="416">
        <v>1</v>
      </c>
      <c r="S30" s="416"/>
      <c r="T30" s="416">
        <v>1</v>
      </c>
      <c r="U30" s="416">
        <v>1</v>
      </c>
      <c r="V30" s="416">
        <v>1</v>
      </c>
      <c r="W30" s="416">
        <v>1</v>
      </c>
      <c r="X30" s="416">
        <v>1</v>
      </c>
      <c r="Y30" s="416">
        <v>1</v>
      </c>
      <c r="Z30" s="416">
        <v>1</v>
      </c>
      <c r="AA30" s="416">
        <v>1</v>
      </c>
      <c r="AB30" s="416"/>
      <c r="AC30" s="416">
        <v>1</v>
      </c>
      <c r="AD30" s="416"/>
      <c r="AE30" s="416"/>
      <c r="AF30" s="416"/>
    </row>
    <row r="31" spans="1:32" ht="14.25" customHeight="1">
      <c r="A31" s="411">
        <v>11</v>
      </c>
      <c r="B31" s="112" t="s">
        <v>721</v>
      </c>
      <c r="C31" s="416"/>
      <c r="D31" s="416"/>
      <c r="E31" s="416"/>
      <c r="F31" s="416"/>
      <c r="G31" s="416">
        <v>1</v>
      </c>
      <c r="H31" s="416">
        <v>1</v>
      </c>
      <c r="I31" s="416">
        <v>1</v>
      </c>
      <c r="J31" s="416"/>
      <c r="K31" s="416"/>
      <c r="L31" s="416"/>
      <c r="M31" s="416"/>
      <c r="N31" s="416">
        <v>1</v>
      </c>
      <c r="O31" s="416">
        <v>1</v>
      </c>
      <c r="P31" s="416">
        <v>1</v>
      </c>
      <c r="Q31" s="416">
        <v>1</v>
      </c>
      <c r="R31" s="416"/>
      <c r="S31" s="416">
        <v>1</v>
      </c>
      <c r="T31" s="416">
        <v>1</v>
      </c>
      <c r="U31" s="416">
        <v>1</v>
      </c>
      <c r="V31" s="416"/>
      <c r="W31" s="416"/>
      <c r="X31" s="416"/>
      <c r="Y31" s="416">
        <v>1</v>
      </c>
      <c r="Z31" s="416"/>
      <c r="AA31" s="416"/>
      <c r="AB31" s="416"/>
      <c r="AC31" s="416">
        <v>1</v>
      </c>
      <c r="AD31" s="416"/>
      <c r="AE31" s="416"/>
      <c r="AF31" s="416"/>
    </row>
    <row r="32" spans="1:32" ht="14.25" customHeight="1">
      <c r="A32" s="411">
        <v>12</v>
      </c>
      <c r="B32" s="112" t="s">
        <v>722</v>
      </c>
      <c r="C32" s="416">
        <v>1</v>
      </c>
      <c r="D32" s="416">
        <v>1</v>
      </c>
      <c r="E32" s="416"/>
      <c r="F32" s="416">
        <v>1</v>
      </c>
      <c r="G32" s="416">
        <v>1</v>
      </c>
      <c r="H32" s="416">
        <v>1</v>
      </c>
      <c r="I32" s="416">
        <v>1</v>
      </c>
      <c r="J32" s="416">
        <v>1</v>
      </c>
      <c r="K32" s="416">
        <v>1</v>
      </c>
      <c r="L32" s="416"/>
      <c r="M32" s="416"/>
      <c r="N32" s="416">
        <v>1</v>
      </c>
      <c r="O32" s="416">
        <v>1</v>
      </c>
      <c r="P32" s="416">
        <v>1</v>
      </c>
      <c r="Q32" s="416">
        <v>1</v>
      </c>
      <c r="R32" s="416"/>
      <c r="S32" s="416"/>
      <c r="T32" s="416">
        <v>1</v>
      </c>
      <c r="U32" s="416">
        <v>1</v>
      </c>
      <c r="V32" s="416">
        <v>1</v>
      </c>
      <c r="W32" s="416">
        <v>1</v>
      </c>
      <c r="X32" s="416"/>
      <c r="Y32" s="416">
        <v>1</v>
      </c>
      <c r="Z32" s="416"/>
      <c r="AA32" s="416"/>
      <c r="AB32" s="416"/>
      <c r="AC32" s="416"/>
      <c r="AD32" s="416"/>
      <c r="AE32" s="416"/>
      <c r="AF32" s="416"/>
    </row>
    <row r="33" spans="1:32" ht="13.5" customHeight="1">
      <c r="A33" s="411">
        <v>13</v>
      </c>
      <c r="B33" s="112" t="s">
        <v>723</v>
      </c>
      <c r="C33" s="416">
        <v>1</v>
      </c>
      <c r="D33" s="416">
        <v>1</v>
      </c>
      <c r="E33" s="416">
        <v>1</v>
      </c>
      <c r="F33" s="416"/>
      <c r="G33" s="416">
        <v>1</v>
      </c>
      <c r="H33" s="416">
        <v>1</v>
      </c>
      <c r="I33" s="416"/>
      <c r="J33" s="416"/>
      <c r="K33" s="416"/>
      <c r="L33" s="416"/>
      <c r="M33" s="416"/>
      <c r="N33" s="414">
        <v>1</v>
      </c>
      <c r="O33" s="414"/>
      <c r="P33" s="414"/>
      <c r="Q33" s="414"/>
      <c r="R33" s="414"/>
      <c r="S33" s="414"/>
      <c r="T33" s="414"/>
      <c r="U33" s="414"/>
      <c r="V33" s="414"/>
      <c r="W33" s="414"/>
      <c r="X33" s="414"/>
      <c r="Y33" s="414"/>
      <c r="Z33" s="414"/>
      <c r="AA33" s="414"/>
      <c r="AB33" s="414"/>
      <c r="AC33" s="414"/>
      <c r="AD33" s="414"/>
      <c r="AE33" s="414"/>
      <c r="AF33" s="414"/>
    </row>
    <row r="34" spans="1:32" ht="13.5" customHeight="1">
      <c r="A34" s="411">
        <v>14</v>
      </c>
      <c r="B34" s="112" t="s">
        <v>724</v>
      </c>
      <c r="C34" s="416"/>
      <c r="D34" s="416"/>
      <c r="E34" s="416"/>
      <c r="F34" s="416"/>
      <c r="G34" s="416">
        <v>1</v>
      </c>
      <c r="H34" s="416">
        <v>1</v>
      </c>
      <c r="I34" s="416">
        <v>1</v>
      </c>
      <c r="J34" s="416">
        <v>1</v>
      </c>
      <c r="K34" s="416">
        <v>1</v>
      </c>
      <c r="L34" s="416"/>
      <c r="M34" s="416"/>
      <c r="N34" s="431">
        <v>1</v>
      </c>
      <c r="O34" s="431">
        <v>1</v>
      </c>
      <c r="P34" s="431">
        <v>1</v>
      </c>
      <c r="Q34" s="431">
        <v>1</v>
      </c>
      <c r="R34" s="431">
        <v>1</v>
      </c>
      <c r="S34" s="431">
        <v>1</v>
      </c>
      <c r="T34" s="431">
        <v>1</v>
      </c>
      <c r="U34" s="431">
        <v>1</v>
      </c>
      <c r="V34" s="431"/>
      <c r="W34" s="431"/>
      <c r="X34" s="431"/>
      <c r="Y34" s="431"/>
      <c r="Z34" s="431"/>
      <c r="AA34" s="431"/>
      <c r="AB34" s="431"/>
      <c r="AC34" s="431"/>
      <c r="AD34" s="431"/>
      <c r="AE34" s="431"/>
      <c r="AF34" s="431"/>
    </row>
    <row r="35" spans="1:32" ht="14.25" customHeight="1">
      <c r="A35" s="411">
        <v>15</v>
      </c>
      <c r="B35" s="112" t="s">
        <v>725</v>
      </c>
      <c r="C35" s="416"/>
      <c r="D35" s="416"/>
      <c r="E35" s="416"/>
      <c r="F35" s="416"/>
      <c r="G35" s="416"/>
      <c r="H35" s="416"/>
      <c r="I35" s="416"/>
      <c r="J35" s="416"/>
      <c r="K35" s="416"/>
      <c r="L35" s="416"/>
      <c r="M35" s="416">
        <v>1</v>
      </c>
      <c r="N35" s="432">
        <v>1</v>
      </c>
      <c r="O35" s="432">
        <v>1</v>
      </c>
      <c r="P35" s="432">
        <v>1</v>
      </c>
      <c r="Q35" s="432">
        <v>1</v>
      </c>
      <c r="R35" s="432">
        <v>1</v>
      </c>
      <c r="S35" s="432">
        <v>1</v>
      </c>
      <c r="T35" s="432">
        <v>1</v>
      </c>
      <c r="U35" s="433"/>
      <c r="V35" s="432">
        <v>1</v>
      </c>
      <c r="W35" s="432">
        <v>1</v>
      </c>
      <c r="X35" s="432">
        <v>1</v>
      </c>
      <c r="Y35" s="432">
        <v>1</v>
      </c>
      <c r="Z35" s="432">
        <v>1</v>
      </c>
      <c r="AA35" s="432">
        <v>1</v>
      </c>
      <c r="AB35" s="432">
        <v>1</v>
      </c>
      <c r="AC35" s="432">
        <v>1</v>
      </c>
      <c r="AD35" s="432"/>
      <c r="AE35" s="432"/>
      <c r="AF35" s="432"/>
    </row>
    <row r="36" spans="1:32" ht="14.25" customHeight="1">
      <c r="A36" s="101"/>
      <c r="B36" s="102" t="s">
        <v>147</v>
      </c>
      <c r="C36" s="418">
        <v>12</v>
      </c>
      <c r="D36" s="418">
        <v>12</v>
      </c>
      <c r="E36" s="418">
        <v>10</v>
      </c>
      <c r="F36" s="418">
        <v>10</v>
      </c>
      <c r="G36" s="418">
        <v>13</v>
      </c>
      <c r="H36" s="418">
        <v>14</v>
      </c>
      <c r="I36" s="418">
        <v>13</v>
      </c>
      <c r="J36" s="418">
        <v>10</v>
      </c>
      <c r="K36" s="418">
        <v>11</v>
      </c>
      <c r="L36" s="418">
        <v>3</v>
      </c>
      <c r="M36" s="418">
        <v>7</v>
      </c>
      <c r="N36" s="418">
        <v>13</v>
      </c>
      <c r="O36" s="418">
        <v>14</v>
      </c>
      <c r="P36" s="418">
        <v>13</v>
      </c>
      <c r="Q36" s="418">
        <v>12</v>
      </c>
      <c r="R36" s="419">
        <v>9</v>
      </c>
      <c r="S36" s="419">
        <v>8</v>
      </c>
      <c r="T36" s="419">
        <v>11</v>
      </c>
      <c r="U36" s="419">
        <v>10</v>
      </c>
      <c r="V36" s="419">
        <v>10</v>
      </c>
      <c r="W36" s="419">
        <v>9</v>
      </c>
      <c r="X36" s="419">
        <v>6</v>
      </c>
      <c r="Y36" s="419">
        <v>10</v>
      </c>
      <c r="Z36" s="419">
        <v>7</v>
      </c>
      <c r="AA36" s="419">
        <v>8</v>
      </c>
      <c r="AB36" s="419">
        <v>2</v>
      </c>
      <c r="AC36" s="419">
        <v>6</v>
      </c>
      <c r="AD36" s="419"/>
      <c r="AE36" s="419"/>
      <c r="AF36" s="419"/>
    </row>
    <row r="37" spans="1:32" ht="15" customHeight="1">
      <c r="A37" s="193"/>
      <c r="B37" s="193"/>
      <c r="C37" s="406"/>
      <c r="D37" s="406"/>
      <c r="E37" s="421"/>
      <c r="F37" s="421">
        <v>44</v>
      </c>
      <c r="G37" s="421"/>
      <c r="H37" s="421"/>
      <c r="I37" s="422"/>
      <c r="J37" s="421"/>
      <c r="K37" s="421"/>
      <c r="M37" s="119">
        <v>31</v>
      </c>
      <c r="N37" s="422"/>
      <c r="O37" s="422"/>
      <c r="P37" s="422"/>
      <c r="Q37" s="422"/>
      <c r="R37" s="422"/>
      <c r="S37" s="422"/>
      <c r="T37" s="422"/>
      <c r="U37" s="422">
        <v>38</v>
      </c>
      <c r="V37" s="422"/>
      <c r="W37" s="422"/>
      <c r="X37" s="422"/>
      <c r="Y37" s="422">
        <v>35</v>
      </c>
      <c r="Z37" s="422"/>
      <c r="AA37" s="422"/>
      <c r="AB37" s="422">
        <v>17</v>
      </c>
      <c r="AC37" s="422"/>
      <c r="AD37" s="422"/>
      <c r="AE37" s="422"/>
      <c r="AF37" s="422"/>
    </row>
    <row r="38" spans="1:32" ht="15.75" customHeight="1">
      <c r="L38" s="420" t="s">
        <v>128</v>
      </c>
      <c r="M38" s="423" t="s">
        <v>726</v>
      </c>
      <c r="N38" s="422"/>
      <c r="O38" s="422"/>
      <c r="P38" s="422"/>
      <c r="Q38" s="422">
        <v>52</v>
      </c>
      <c r="R38" s="422"/>
      <c r="S38" s="422"/>
      <c r="T38" s="422"/>
      <c r="U38" s="422"/>
      <c r="V38" s="422"/>
      <c r="W38" s="422"/>
      <c r="X38" s="422"/>
      <c r="Y38" s="422"/>
      <c r="Z38" s="422"/>
      <c r="AA38" s="422"/>
      <c r="AB38" s="422"/>
      <c r="AC38" s="422"/>
      <c r="AD38" s="422"/>
      <c r="AE38" s="422"/>
      <c r="AF38" s="422"/>
    </row>
    <row r="39" spans="1:32" ht="15" customHeight="1">
      <c r="N39" s="422"/>
      <c r="O39" s="422"/>
      <c r="P39" s="422"/>
      <c r="Q39" s="422"/>
      <c r="R39" s="422"/>
      <c r="S39" s="422"/>
      <c r="T39" s="422"/>
      <c r="U39" s="422"/>
      <c r="V39" s="422"/>
      <c r="W39" s="422"/>
      <c r="X39" s="422"/>
      <c r="Y39" s="422"/>
      <c r="Z39" s="422"/>
      <c r="AA39" s="422"/>
      <c r="AB39" s="422"/>
      <c r="AC39" s="422"/>
      <c r="AD39" s="422"/>
      <c r="AE39" s="422"/>
      <c r="AF39" s="422"/>
    </row>
    <row r="40" spans="1:32" ht="14.25" customHeight="1">
      <c r="A40" s="102" t="s">
        <v>212</v>
      </c>
      <c r="B40" s="407" t="s">
        <v>232</v>
      </c>
      <c r="C40" s="408">
        <v>45908</v>
      </c>
      <c r="D40" s="408">
        <v>45915</v>
      </c>
      <c r="E40" s="408">
        <v>45922</v>
      </c>
      <c r="F40" s="408">
        <v>45929</v>
      </c>
      <c r="G40" s="408">
        <v>45936</v>
      </c>
      <c r="H40" s="408">
        <v>45943</v>
      </c>
      <c r="I40" s="408">
        <v>45950</v>
      </c>
      <c r="J40" s="408">
        <v>45964</v>
      </c>
      <c r="K40" s="408">
        <v>45971</v>
      </c>
      <c r="L40" s="408">
        <v>45978</v>
      </c>
      <c r="M40" s="408">
        <v>45985</v>
      </c>
      <c r="N40" s="434">
        <v>45992</v>
      </c>
      <c r="O40" s="434">
        <v>45999</v>
      </c>
      <c r="P40" s="435">
        <v>46006</v>
      </c>
      <c r="Q40" s="435">
        <v>46015</v>
      </c>
      <c r="R40" s="436">
        <v>46027</v>
      </c>
      <c r="S40" s="436">
        <v>46034</v>
      </c>
      <c r="T40" s="436">
        <v>46041</v>
      </c>
      <c r="U40" s="436">
        <v>46048</v>
      </c>
      <c r="V40" s="437">
        <v>46055</v>
      </c>
      <c r="W40" s="436">
        <v>46062</v>
      </c>
      <c r="X40" s="436">
        <v>46069</v>
      </c>
      <c r="Y40" s="436">
        <v>46076</v>
      </c>
      <c r="Z40" s="436">
        <v>46083</v>
      </c>
      <c r="AA40" s="436">
        <v>46097</v>
      </c>
      <c r="AB40" s="436">
        <v>46111</v>
      </c>
      <c r="AC40" s="438">
        <v>46118</v>
      </c>
      <c r="AD40" s="439"/>
      <c r="AE40" s="439"/>
      <c r="AF40" s="439"/>
    </row>
    <row r="41" spans="1:32" ht="15" customHeight="1">
      <c r="A41" s="415">
        <v>1</v>
      </c>
      <c r="B41" s="295" t="s">
        <v>295</v>
      </c>
      <c r="C41" s="416">
        <v>1</v>
      </c>
      <c r="D41" s="416">
        <v>1</v>
      </c>
      <c r="E41" s="416">
        <v>1</v>
      </c>
      <c r="F41" s="416">
        <v>1</v>
      </c>
      <c r="G41" s="416">
        <v>1</v>
      </c>
      <c r="H41" s="416">
        <v>1</v>
      </c>
      <c r="I41" s="416"/>
      <c r="J41" s="414">
        <v>1</v>
      </c>
      <c r="K41" s="414">
        <v>1</v>
      </c>
      <c r="L41" s="414">
        <v>1</v>
      </c>
      <c r="M41" s="414"/>
      <c r="N41" s="414">
        <v>1</v>
      </c>
      <c r="O41" s="414">
        <v>1</v>
      </c>
      <c r="P41" s="414">
        <v>1</v>
      </c>
      <c r="Q41" s="414"/>
      <c r="R41" s="414">
        <v>1</v>
      </c>
      <c r="S41" s="414">
        <v>1</v>
      </c>
      <c r="T41" s="414">
        <v>1</v>
      </c>
      <c r="U41" s="414">
        <v>1</v>
      </c>
      <c r="V41" s="414">
        <v>1</v>
      </c>
      <c r="W41" s="414">
        <v>1</v>
      </c>
      <c r="X41" s="414"/>
      <c r="Y41" s="414">
        <v>1</v>
      </c>
      <c r="Z41" s="414">
        <v>1</v>
      </c>
      <c r="AA41" s="414">
        <v>1</v>
      </c>
      <c r="AB41" s="414">
        <v>1</v>
      </c>
      <c r="AC41" s="422"/>
      <c r="AD41" s="422"/>
      <c r="AE41" s="422"/>
      <c r="AF41" s="422"/>
    </row>
    <row r="42" spans="1:32" ht="15" customHeight="1">
      <c r="A42" s="440">
        <v>2</v>
      </c>
      <c r="B42" s="297" t="s">
        <v>727</v>
      </c>
      <c r="C42" s="416">
        <v>1</v>
      </c>
      <c r="D42" s="416">
        <v>1</v>
      </c>
      <c r="E42" s="416">
        <v>1</v>
      </c>
      <c r="F42" s="416">
        <v>1</v>
      </c>
      <c r="G42" s="416"/>
      <c r="H42" s="416"/>
      <c r="I42" s="416">
        <v>1</v>
      </c>
      <c r="J42" s="414">
        <v>1</v>
      </c>
      <c r="K42" s="414">
        <v>1</v>
      </c>
      <c r="L42" s="414"/>
      <c r="M42" s="414">
        <v>1</v>
      </c>
      <c r="N42" s="414">
        <v>1</v>
      </c>
      <c r="O42" s="414">
        <v>1</v>
      </c>
      <c r="P42" s="414">
        <v>1</v>
      </c>
      <c r="Q42" s="414">
        <v>1</v>
      </c>
      <c r="R42" s="414"/>
      <c r="S42" s="414">
        <v>1</v>
      </c>
      <c r="T42" s="414">
        <v>1</v>
      </c>
      <c r="U42" s="414">
        <v>1</v>
      </c>
      <c r="V42" s="414"/>
      <c r="W42" s="414">
        <v>1</v>
      </c>
      <c r="X42" s="414">
        <v>1</v>
      </c>
      <c r="Y42" s="414">
        <v>1</v>
      </c>
      <c r="Z42" s="414"/>
      <c r="AA42" s="414">
        <v>1</v>
      </c>
      <c r="AB42" s="414">
        <v>1</v>
      </c>
      <c r="AC42" s="422"/>
      <c r="AD42" s="422"/>
      <c r="AE42" s="422"/>
      <c r="AF42" s="422"/>
    </row>
    <row r="43" spans="1:32" ht="15.75" customHeight="1">
      <c r="A43" s="440">
        <v>3</v>
      </c>
      <c r="B43" s="297" t="s">
        <v>728</v>
      </c>
      <c r="C43" s="416">
        <v>1</v>
      </c>
      <c r="D43" s="416">
        <v>1</v>
      </c>
      <c r="E43" s="416">
        <v>1</v>
      </c>
      <c r="F43" s="416"/>
      <c r="G43" s="416">
        <v>1</v>
      </c>
      <c r="H43" s="416">
        <v>1</v>
      </c>
      <c r="I43" s="416">
        <v>1</v>
      </c>
      <c r="J43" s="414">
        <v>1</v>
      </c>
      <c r="K43" s="414">
        <v>1</v>
      </c>
      <c r="L43" s="414">
        <v>1</v>
      </c>
      <c r="M43" s="414">
        <v>1</v>
      </c>
      <c r="N43" s="414">
        <v>1</v>
      </c>
      <c r="O43" s="414">
        <v>1</v>
      </c>
      <c r="P43" s="414"/>
      <c r="Q43" s="414">
        <v>1</v>
      </c>
      <c r="R43" s="414">
        <v>1</v>
      </c>
      <c r="S43" s="414">
        <v>1</v>
      </c>
      <c r="T43" s="414">
        <v>1</v>
      </c>
      <c r="U43" s="414">
        <v>1</v>
      </c>
      <c r="V43" s="414">
        <v>1</v>
      </c>
      <c r="W43" s="414">
        <v>1</v>
      </c>
      <c r="X43" s="414"/>
      <c r="Y43" s="414">
        <v>1</v>
      </c>
      <c r="Z43" s="414">
        <v>1</v>
      </c>
      <c r="AA43" s="414"/>
      <c r="AB43" s="414"/>
      <c r="AC43" s="422"/>
      <c r="AD43" s="422"/>
      <c r="AE43" s="422"/>
      <c r="AF43" s="422"/>
    </row>
    <row r="44" spans="1:32" ht="15.75" customHeight="1">
      <c r="A44" s="110">
        <v>4</v>
      </c>
      <c r="B44" s="109" t="s">
        <v>680</v>
      </c>
      <c r="C44" s="416">
        <v>1</v>
      </c>
      <c r="D44" s="416">
        <v>1</v>
      </c>
      <c r="E44" s="416">
        <v>1</v>
      </c>
      <c r="F44" s="416">
        <v>1</v>
      </c>
      <c r="G44" s="416">
        <v>1</v>
      </c>
      <c r="H44" s="416">
        <v>1</v>
      </c>
      <c r="I44" s="416">
        <v>1</v>
      </c>
      <c r="J44" s="414">
        <v>1</v>
      </c>
      <c r="K44" s="414">
        <v>1</v>
      </c>
      <c r="L44" s="414"/>
      <c r="M44" s="414">
        <v>1</v>
      </c>
      <c r="N44" s="414"/>
      <c r="O44" s="414">
        <v>1</v>
      </c>
      <c r="P44" s="414">
        <v>1</v>
      </c>
      <c r="Q44" s="414">
        <v>1</v>
      </c>
      <c r="R44" s="414">
        <v>1</v>
      </c>
      <c r="S44" s="414">
        <v>1</v>
      </c>
      <c r="T44" s="414">
        <v>1</v>
      </c>
      <c r="U44" s="414">
        <v>1</v>
      </c>
      <c r="V44" s="414"/>
      <c r="W44" s="414"/>
      <c r="X44" s="414"/>
      <c r="Y44" s="414"/>
      <c r="Z44" s="414"/>
      <c r="AA44" s="414"/>
      <c r="AB44" s="414"/>
      <c r="AC44" s="422"/>
      <c r="AD44" s="422"/>
      <c r="AE44" s="422"/>
      <c r="AF44" s="422"/>
    </row>
    <row r="45" spans="1:32" ht="15.75" customHeight="1">
      <c r="A45" s="110">
        <v>5</v>
      </c>
      <c r="B45" s="109" t="s">
        <v>729</v>
      </c>
      <c r="C45" s="416">
        <v>1</v>
      </c>
      <c r="D45" s="416">
        <v>1</v>
      </c>
      <c r="E45" s="416"/>
      <c r="F45" s="416">
        <v>1</v>
      </c>
      <c r="G45" s="416">
        <v>1</v>
      </c>
      <c r="H45" s="416">
        <v>1</v>
      </c>
      <c r="I45" s="416"/>
      <c r="J45" s="414">
        <v>1</v>
      </c>
      <c r="K45" s="414">
        <v>1</v>
      </c>
      <c r="L45" s="414"/>
      <c r="M45" s="414"/>
      <c r="N45" s="414">
        <v>1</v>
      </c>
      <c r="O45" s="414">
        <v>1</v>
      </c>
      <c r="P45" s="414">
        <v>1</v>
      </c>
      <c r="Q45" s="414"/>
      <c r="R45" s="414">
        <v>1</v>
      </c>
      <c r="S45" s="414"/>
      <c r="T45" s="414"/>
      <c r="U45" s="414"/>
      <c r="V45" s="414">
        <v>1</v>
      </c>
      <c r="W45" s="414"/>
      <c r="X45" s="414"/>
      <c r="Y45" s="414">
        <v>1</v>
      </c>
      <c r="Z45" s="414">
        <v>1</v>
      </c>
      <c r="AA45" s="414"/>
      <c r="AB45" s="414">
        <v>1</v>
      </c>
      <c r="AC45" s="422"/>
      <c r="AD45" s="422"/>
      <c r="AE45" s="422"/>
      <c r="AF45" s="422"/>
    </row>
    <row r="46" spans="1:32" ht="15.75" customHeight="1">
      <c r="A46" s="128">
        <v>6</v>
      </c>
      <c r="B46" s="112" t="s">
        <v>302</v>
      </c>
      <c r="C46" s="416">
        <v>1</v>
      </c>
      <c r="D46" s="416"/>
      <c r="E46" s="416"/>
      <c r="F46" s="416"/>
      <c r="G46" s="416">
        <v>1</v>
      </c>
      <c r="H46" s="416">
        <v>1</v>
      </c>
      <c r="I46" s="416">
        <v>1</v>
      </c>
      <c r="J46" s="414"/>
      <c r="K46" s="414"/>
      <c r="L46" s="414"/>
      <c r="M46" s="414"/>
      <c r="N46" s="414">
        <v>1</v>
      </c>
      <c r="O46" s="414">
        <v>1</v>
      </c>
      <c r="P46" s="414">
        <v>1</v>
      </c>
      <c r="Q46" s="414"/>
      <c r="R46" s="414"/>
      <c r="S46" s="414">
        <v>1</v>
      </c>
      <c r="T46" s="414">
        <v>1</v>
      </c>
      <c r="U46" s="414">
        <v>1</v>
      </c>
      <c r="V46" s="414">
        <v>1</v>
      </c>
      <c r="W46" s="414">
        <v>1</v>
      </c>
      <c r="X46" s="414"/>
      <c r="Y46" s="414"/>
      <c r="Z46" s="414"/>
      <c r="AA46" s="414">
        <v>1</v>
      </c>
      <c r="AB46" s="414"/>
      <c r="AC46" s="422"/>
      <c r="AD46" s="422"/>
      <c r="AE46" s="422"/>
      <c r="AF46" s="422"/>
    </row>
    <row r="47" spans="1:32" ht="15.75" customHeight="1">
      <c r="A47" s="128">
        <v>7</v>
      </c>
      <c r="B47" s="112" t="s">
        <v>720</v>
      </c>
      <c r="C47" s="416"/>
      <c r="D47" s="416"/>
      <c r="E47" s="416"/>
      <c r="F47" s="416"/>
      <c r="G47" s="416">
        <v>1</v>
      </c>
      <c r="H47" s="416">
        <v>1</v>
      </c>
      <c r="I47" s="416"/>
      <c r="J47" s="414"/>
      <c r="K47" s="414"/>
      <c r="L47" s="414"/>
      <c r="M47" s="414"/>
      <c r="N47" s="414"/>
      <c r="O47" s="414"/>
      <c r="P47" s="414"/>
      <c r="Q47" s="414"/>
      <c r="R47" s="414"/>
      <c r="S47" s="414"/>
      <c r="T47" s="414"/>
      <c r="U47" s="414"/>
      <c r="V47" s="414"/>
      <c r="W47" s="414"/>
      <c r="X47" s="414"/>
      <c r="Y47" s="414"/>
      <c r="Z47" s="414"/>
      <c r="AA47" s="414"/>
      <c r="AB47" s="414"/>
      <c r="AC47" s="422"/>
      <c r="AD47" s="422"/>
      <c r="AE47" s="422"/>
      <c r="AF47" s="422"/>
    </row>
    <row r="48" spans="1:32" ht="15" customHeight="1">
      <c r="A48" s="128">
        <v>8</v>
      </c>
      <c r="B48" s="112" t="s">
        <v>730</v>
      </c>
      <c r="C48" s="416">
        <v>1</v>
      </c>
      <c r="D48" s="416"/>
      <c r="E48" s="416">
        <v>1</v>
      </c>
      <c r="F48" s="416">
        <v>1</v>
      </c>
      <c r="G48" s="416">
        <v>1</v>
      </c>
      <c r="H48" s="416">
        <v>1</v>
      </c>
      <c r="I48" s="416">
        <v>1</v>
      </c>
      <c r="J48" s="414">
        <v>1</v>
      </c>
      <c r="K48" s="414"/>
      <c r="L48" s="414"/>
      <c r="M48" s="414">
        <v>1</v>
      </c>
      <c r="N48" s="414"/>
      <c r="O48" s="414"/>
      <c r="P48" s="414"/>
      <c r="Q48" s="414"/>
      <c r="R48" s="414"/>
      <c r="S48" s="414">
        <v>1</v>
      </c>
      <c r="T48" s="414">
        <v>1</v>
      </c>
      <c r="U48" s="414">
        <v>1</v>
      </c>
      <c r="V48" s="414">
        <v>1</v>
      </c>
      <c r="W48" s="414"/>
      <c r="X48" s="414"/>
      <c r="Y48" s="414">
        <v>1</v>
      </c>
      <c r="Z48" s="414"/>
      <c r="AA48" s="414"/>
      <c r="AB48" s="414"/>
      <c r="AC48" s="422"/>
      <c r="AD48" s="422"/>
      <c r="AE48" s="422"/>
      <c r="AF48" s="422"/>
    </row>
    <row r="49" spans="1:32" ht="15" customHeight="1">
      <c r="A49" s="128">
        <v>9</v>
      </c>
      <c r="B49" s="112" t="s">
        <v>721</v>
      </c>
      <c r="C49" s="416"/>
      <c r="D49" s="416">
        <v>1</v>
      </c>
      <c r="E49" s="416">
        <v>1</v>
      </c>
      <c r="F49" s="416">
        <v>1</v>
      </c>
      <c r="G49" s="416">
        <v>1</v>
      </c>
      <c r="H49" s="416">
        <v>1</v>
      </c>
      <c r="I49" s="416">
        <v>1</v>
      </c>
      <c r="J49" s="414"/>
      <c r="K49" s="414"/>
      <c r="L49" s="414">
        <v>1</v>
      </c>
      <c r="M49" s="414">
        <v>1</v>
      </c>
      <c r="N49" s="431">
        <v>1</v>
      </c>
      <c r="O49" s="431"/>
      <c r="P49" s="431"/>
      <c r="Q49" s="431"/>
      <c r="R49" s="431"/>
      <c r="S49" s="431">
        <v>1</v>
      </c>
      <c r="T49" s="431"/>
      <c r="U49" s="431">
        <v>1</v>
      </c>
      <c r="V49" s="431"/>
      <c r="W49" s="431">
        <v>1</v>
      </c>
      <c r="X49" s="431"/>
      <c r="Y49" s="431">
        <v>1</v>
      </c>
      <c r="Z49" s="431"/>
      <c r="AA49" s="431"/>
      <c r="AB49" s="431"/>
      <c r="AC49" s="421"/>
      <c r="AD49" s="421"/>
      <c r="AE49" s="421"/>
      <c r="AF49" s="421"/>
    </row>
    <row r="50" spans="1:32" ht="14.4">
      <c r="A50" s="128">
        <v>10</v>
      </c>
      <c r="B50" s="112" t="s">
        <v>731</v>
      </c>
      <c r="C50" s="416"/>
      <c r="D50" s="416"/>
      <c r="E50" s="416"/>
      <c r="F50" s="416"/>
      <c r="G50" s="416"/>
      <c r="H50" s="416"/>
      <c r="I50" s="416">
        <v>1</v>
      </c>
      <c r="J50" s="414">
        <v>1</v>
      </c>
      <c r="K50" s="414">
        <v>1</v>
      </c>
      <c r="L50" s="414">
        <v>1</v>
      </c>
      <c r="M50" s="414">
        <v>1</v>
      </c>
      <c r="N50" s="91">
        <v>1</v>
      </c>
      <c r="O50" s="91">
        <v>1</v>
      </c>
      <c r="P50" s="91"/>
      <c r="Q50" s="91"/>
      <c r="R50" s="91"/>
      <c r="S50" s="91"/>
      <c r="T50" s="91">
        <v>1</v>
      </c>
      <c r="U50" s="91"/>
      <c r="V50" s="91"/>
      <c r="W50" s="91"/>
      <c r="X50" s="91">
        <v>1</v>
      </c>
      <c r="Y50" s="91">
        <v>1</v>
      </c>
      <c r="Z50" s="91">
        <v>1</v>
      </c>
      <c r="AA50" s="91"/>
      <c r="AB50" s="91">
        <v>1</v>
      </c>
      <c r="AC50" s="85"/>
      <c r="AD50" s="85"/>
      <c r="AE50" s="85"/>
      <c r="AF50" s="85"/>
    </row>
    <row r="51" spans="1:32" ht="14.4">
      <c r="A51" s="128">
        <v>11</v>
      </c>
      <c r="B51" s="112" t="s">
        <v>732</v>
      </c>
      <c r="C51" s="416">
        <v>1</v>
      </c>
      <c r="D51" s="416"/>
      <c r="E51" s="416"/>
      <c r="F51" s="416"/>
      <c r="G51" s="416">
        <v>1</v>
      </c>
      <c r="H51" s="416">
        <v>1</v>
      </c>
      <c r="I51" s="416">
        <v>1</v>
      </c>
      <c r="J51" s="414">
        <v>1</v>
      </c>
      <c r="K51" s="414">
        <v>1</v>
      </c>
      <c r="L51" s="414"/>
      <c r="M51" s="414">
        <v>1</v>
      </c>
      <c r="N51" s="91">
        <v>1</v>
      </c>
      <c r="O51" s="91">
        <v>1</v>
      </c>
      <c r="P51" s="91"/>
      <c r="Q51" s="91"/>
      <c r="R51" s="91"/>
      <c r="S51" s="91">
        <v>1</v>
      </c>
      <c r="T51" s="91"/>
      <c r="U51" s="91">
        <v>1</v>
      </c>
      <c r="V51" s="91">
        <v>1</v>
      </c>
      <c r="W51" s="91"/>
      <c r="X51" s="91"/>
      <c r="Y51" s="91">
        <v>1</v>
      </c>
      <c r="Z51" s="91">
        <v>1</v>
      </c>
      <c r="AA51" s="91"/>
      <c r="AB51" s="91"/>
      <c r="AC51" s="85"/>
      <c r="AD51" s="85"/>
      <c r="AE51" s="85"/>
      <c r="AF51" s="85"/>
    </row>
    <row r="52" spans="1:32" ht="14.4">
      <c r="A52" s="128">
        <v>12</v>
      </c>
      <c r="B52" s="112" t="s">
        <v>279</v>
      </c>
      <c r="C52" s="416"/>
      <c r="D52" s="416"/>
      <c r="E52" s="416"/>
      <c r="F52" s="416"/>
      <c r="G52" s="416"/>
      <c r="H52" s="416"/>
      <c r="I52" s="416">
        <v>1</v>
      </c>
      <c r="J52" s="414">
        <v>1</v>
      </c>
      <c r="K52" s="414">
        <v>1</v>
      </c>
      <c r="L52" s="414"/>
      <c r="M52" s="414">
        <v>1</v>
      </c>
      <c r="N52" s="91">
        <v>1</v>
      </c>
      <c r="O52" s="91">
        <v>1</v>
      </c>
      <c r="P52" s="91">
        <v>1</v>
      </c>
      <c r="Q52" s="91"/>
      <c r="R52" s="91">
        <v>1</v>
      </c>
      <c r="S52" s="91">
        <v>1</v>
      </c>
      <c r="T52" s="91"/>
      <c r="U52" s="91"/>
      <c r="V52" s="91">
        <v>1</v>
      </c>
      <c r="W52" s="91"/>
      <c r="X52" s="91">
        <v>1</v>
      </c>
      <c r="Y52" s="91"/>
      <c r="Z52" s="91">
        <v>1</v>
      </c>
      <c r="AA52" s="91">
        <v>1</v>
      </c>
      <c r="AB52" s="91">
        <v>1</v>
      </c>
      <c r="AC52" s="85"/>
      <c r="AD52" s="85"/>
      <c r="AE52" s="85"/>
      <c r="AF52" s="85"/>
    </row>
    <row r="53" spans="1:32" ht="14.4">
      <c r="A53" s="128"/>
      <c r="B53" s="112" t="s">
        <v>733</v>
      </c>
      <c r="C53" s="416"/>
      <c r="D53" s="416"/>
      <c r="E53" s="416"/>
      <c r="F53" s="416"/>
      <c r="G53" s="416"/>
      <c r="H53" s="416"/>
      <c r="I53" s="416"/>
      <c r="J53" s="414"/>
      <c r="K53" s="414"/>
      <c r="L53" s="414"/>
      <c r="M53" s="414"/>
      <c r="N53" s="91"/>
      <c r="O53" s="91"/>
      <c r="P53" s="91">
        <v>1</v>
      </c>
      <c r="Q53" s="91">
        <v>1</v>
      </c>
      <c r="R53" s="91">
        <v>1</v>
      </c>
      <c r="S53" s="91">
        <v>1</v>
      </c>
      <c r="T53" s="91">
        <v>1</v>
      </c>
      <c r="U53" s="91">
        <v>1</v>
      </c>
      <c r="V53" s="91">
        <v>1</v>
      </c>
      <c r="W53" s="91">
        <v>1</v>
      </c>
      <c r="X53" s="91"/>
      <c r="Y53" s="91"/>
      <c r="Z53" s="91"/>
      <c r="AA53" s="91"/>
      <c r="AB53" s="91"/>
    </row>
    <row r="54" spans="1:32" ht="14.4">
      <c r="A54" s="101"/>
      <c r="B54" s="102" t="s">
        <v>147</v>
      </c>
      <c r="C54" s="418">
        <v>8</v>
      </c>
      <c r="D54" s="418">
        <v>6</v>
      </c>
      <c r="E54" s="418">
        <v>6</v>
      </c>
      <c r="F54" s="418">
        <v>6</v>
      </c>
      <c r="G54" s="418">
        <v>9</v>
      </c>
      <c r="H54" s="418">
        <v>9</v>
      </c>
      <c r="I54" s="418">
        <v>9</v>
      </c>
      <c r="J54" s="418">
        <v>9</v>
      </c>
      <c r="K54" s="418">
        <v>8</v>
      </c>
      <c r="L54" s="418">
        <v>4</v>
      </c>
      <c r="M54" s="418">
        <v>8</v>
      </c>
      <c r="N54" s="113">
        <v>9</v>
      </c>
      <c r="O54" s="113">
        <v>9</v>
      </c>
      <c r="P54" s="113">
        <v>7</v>
      </c>
      <c r="Q54" s="113">
        <v>4</v>
      </c>
      <c r="R54" s="106">
        <v>6</v>
      </c>
      <c r="S54" s="106">
        <v>10</v>
      </c>
      <c r="T54" s="106">
        <v>8</v>
      </c>
      <c r="U54" s="106">
        <v>9</v>
      </c>
      <c r="V54" s="106">
        <v>8</v>
      </c>
      <c r="W54" s="106">
        <v>6</v>
      </c>
      <c r="X54" s="106">
        <v>3</v>
      </c>
      <c r="Y54" s="106">
        <v>8</v>
      </c>
      <c r="Z54" s="106">
        <v>6</v>
      </c>
      <c r="AA54" s="106">
        <v>4</v>
      </c>
      <c r="AB54" s="106">
        <v>5</v>
      </c>
      <c r="AC54" s="85"/>
      <c r="AD54" s="85"/>
      <c r="AE54" s="85"/>
      <c r="AF54" s="85"/>
    </row>
    <row r="55" spans="1:32" ht="13.8">
      <c r="A55" s="406"/>
      <c r="B55" s="406"/>
      <c r="C55" s="406"/>
      <c r="D55" s="406"/>
      <c r="E55" s="421"/>
      <c r="F55" s="421">
        <v>26</v>
      </c>
      <c r="G55" s="421"/>
      <c r="H55" s="100"/>
      <c r="I55" s="213"/>
      <c r="J55" s="421"/>
      <c r="K55" s="421"/>
      <c r="M55" s="119">
        <v>29</v>
      </c>
      <c r="Q55" s="85">
        <v>29</v>
      </c>
      <c r="U55" s="85">
        <v>33</v>
      </c>
      <c r="Y55" s="85">
        <v>25</v>
      </c>
      <c r="AB55" s="85">
        <v>15</v>
      </c>
    </row>
    <row r="56" spans="1:32" ht="26.4">
      <c r="L56" s="420" t="s">
        <v>183</v>
      </c>
      <c r="M56" s="423" t="s">
        <v>734</v>
      </c>
      <c r="P56" s="95" t="s">
        <v>128</v>
      </c>
      <c r="Q56" s="114" t="s">
        <v>735</v>
      </c>
      <c r="T56" s="95" t="s">
        <v>128</v>
      </c>
      <c r="U56" s="114" t="s">
        <v>736</v>
      </c>
      <c r="X56" s="93" t="s">
        <v>737</v>
      </c>
      <c r="Y56" s="94">
        <f>Y55+Y37+Y16</f>
        <v>72</v>
      </c>
      <c r="AA56" s="93" t="s">
        <v>737</v>
      </c>
      <c r="AB56" s="94">
        <f>AB55+AB37+AB16</f>
        <v>41</v>
      </c>
    </row>
    <row r="57" spans="1:32" ht="13.2">
      <c r="X57" s="95" t="s">
        <v>128</v>
      </c>
      <c r="Y57" s="95">
        <f>Y56*B4</f>
        <v>252000</v>
      </c>
      <c r="AA57" s="95" t="s">
        <v>128</v>
      </c>
      <c r="AB57" s="95">
        <f>AB56*B4</f>
        <v>143500</v>
      </c>
    </row>
    <row r="58" spans="1:32" ht="13.2">
      <c r="L58" s="95" t="s">
        <v>661</v>
      </c>
      <c r="M58" s="114" t="s">
        <v>738</v>
      </c>
      <c r="AB58" s="85">
        <v>0</v>
      </c>
    </row>
    <row r="66" spans="17:17" ht="13.2">
      <c r="Q66" s="85">
        <v>102</v>
      </c>
    </row>
  </sheetData>
  <hyperlinks>
    <hyperlink ref="B3" r:id="rId1" xr:uid="{00000000-0004-0000-1C00-000000000000}"/>
  </hyperlinks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2:AG29"/>
  <sheetViews>
    <sheetView workbookViewId="0"/>
  </sheetViews>
  <sheetFormatPr defaultColWidth="12.6640625" defaultRowHeight="15.75" customHeight="1"/>
  <cols>
    <col min="1" max="1" width="3.77734375" customWidth="1"/>
    <col min="2" max="2" width="16.77734375" customWidth="1"/>
    <col min="3" max="29" width="12.6640625" hidden="1"/>
  </cols>
  <sheetData>
    <row r="2" spans="1:33" ht="29.4">
      <c r="B2" s="441" t="s">
        <v>739</v>
      </c>
    </row>
    <row r="3" spans="1:33" ht="14.4">
      <c r="B3" s="308" t="s">
        <v>740</v>
      </c>
    </row>
    <row r="4" spans="1:33" ht="14.4">
      <c r="A4" s="100"/>
      <c r="B4" s="398" t="s">
        <v>741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</row>
    <row r="5" spans="1:33" ht="14.4">
      <c r="B5" s="260"/>
    </row>
    <row r="6" spans="1:33" ht="13.2" hidden="1">
      <c r="B6" s="87">
        <v>4000</v>
      </c>
    </row>
    <row r="7" spans="1:33" ht="14.4">
      <c r="A7" s="193"/>
      <c r="B7" s="205"/>
    </row>
    <row r="8" spans="1:33" ht="14.4">
      <c r="A8" s="193"/>
      <c r="B8" s="308" t="s">
        <v>742</v>
      </c>
      <c r="I8" s="85" t="s">
        <v>696</v>
      </c>
    </row>
    <row r="9" spans="1:33" ht="14.4">
      <c r="A9" s="278" t="s">
        <v>212</v>
      </c>
      <c r="B9" s="278" t="s">
        <v>232</v>
      </c>
      <c r="C9" s="264">
        <v>45902</v>
      </c>
      <c r="D9" s="264">
        <v>45909</v>
      </c>
      <c r="E9" s="264">
        <v>45916</v>
      </c>
      <c r="F9" s="264">
        <v>45923</v>
      </c>
      <c r="G9" s="264">
        <v>45937</v>
      </c>
      <c r="H9" s="264">
        <v>45944</v>
      </c>
      <c r="I9" s="264">
        <v>45951</v>
      </c>
      <c r="J9" s="264">
        <v>45958</v>
      </c>
      <c r="K9" s="264">
        <v>45965</v>
      </c>
      <c r="L9" s="264">
        <v>45972</v>
      </c>
      <c r="M9" s="264">
        <v>45979</v>
      </c>
      <c r="N9" s="264">
        <v>45986</v>
      </c>
      <c r="O9" s="262">
        <v>45993</v>
      </c>
      <c r="P9" s="262">
        <v>46000</v>
      </c>
      <c r="Q9" s="262">
        <v>46007</v>
      </c>
      <c r="R9" s="262">
        <v>46015</v>
      </c>
      <c r="S9" s="262">
        <v>46028</v>
      </c>
      <c r="T9" s="262">
        <v>46035</v>
      </c>
      <c r="U9" s="262">
        <v>46042</v>
      </c>
      <c r="V9" s="262">
        <v>46049</v>
      </c>
      <c r="W9" s="262">
        <v>46056</v>
      </c>
      <c r="X9" s="262">
        <v>46063</v>
      </c>
      <c r="Y9" s="262">
        <v>46070</v>
      </c>
      <c r="Z9" s="262">
        <v>46077</v>
      </c>
      <c r="AA9" s="262">
        <v>45726</v>
      </c>
      <c r="AB9" s="262">
        <v>46098</v>
      </c>
      <c r="AC9" s="262">
        <v>46112</v>
      </c>
      <c r="AD9" s="262"/>
      <c r="AE9" s="262"/>
      <c r="AF9" s="262"/>
      <c r="AG9" s="262"/>
    </row>
    <row r="10" spans="1:33" ht="14.4">
      <c r="A10" s="128">
        <v>1</v>
      </c>
      <c r="B10" s="112" t="s">
        <v>554</v>
      </c>
      <c r="C10" s="91">
        <v>1</v>
      </c>
      <c r="D10" s="91">
        <v>1</v>
      </c>
      <c r="E10" s="91">
        <v>1</v>
      </c>
      <c r="F10" s="91">
        <v>1</v>
      </c>
      <c r="G10" s="91"/>
      <c r="H10" s="91">
        <v>1</v>
      </c>
      <c r="I10" s="91">
        <v>1</v>
      </c>
      <c r="J10" s="91">
        <v>1</v>
      </c>
      <c r="K10" s="91" t="s">
        <v>422</v>
      </c>
      <c r="L10" s="91">
        <v>1</v>
      </c>
      <c r="M10" s="91"/>
      <c r="N10" s="91">
        <v>1</v>
      </c>
      <c r="O10" s="138"/>
      <c r="P10" s="138"/>
      <c r="Q10" s="138"/>
      <c r="R10" s="138">
        <v>1</v>
      </c>
      <c r="S10" s="138"/>
      <c r="T10" s="138"/>
      <c r="U10" s="138">
        <v>1</v>
      </c>
      <c r="V10" s="138">
        <v>1</v>
      </c>
      <c r="W10" s="138">
        <v>1</v>
      </c>
      <c r="X10" s="138">
        <v>1</v>
      </c>
      <c r="Y10" s="138">
        <v>1</v>
      </c>
      <c r="Z10" s="138"/>
      <c r="AA10" s="138"/>
      <c r="AB10" s="138">
        <v>1</v>
      </c>
      <c r="AC10" s="138">
        <v>1</v>
      </c>
      <c r="AD10" s="138"/>
      <c r="AE10" s="138"/>
      <c r="AF10" s="138"/>
      <c r="AG10" s="138"/>
    </row>
    <row r="11" spans="1:33" ht="14.4">
      <c r="A11" s="128">
        <v>2</v>
      </c>
      <c r="B11" s="112" t="s">
        <v>743</v>
      </c>
      <c r="C11" s="91">
        <v>1</v>
      </c>
      <c r="D11" s="91">
        <v>1</v>
      </c>
      <c r="E11" s="91">
        <v>1</v>
      </c>
      <c r="F11" s="91">
        <v>1</v>
      </c>
      <c r="G11" s="91">
        <v>1</v>
      </c>
      <c r="H11" s="91">
        <v>1</v>
      </c>
      <c r="I11" s="91"/>
      <c r="J11" s="91">
        <v>1</v>
      </c>
      <c r="K11" s="91"/>
      <c r="L11" s="91">
        <v>1</v>
      </c>
      <c r="M11" s="91">
        <v>1</v>
      </c>
      <c r="N11" s="91">
        <v>1</v>
      </c>
      <c r="O11" s="138">
        <v>1</v>
      </c>
      <c r="P11" s="138"/>
      <c r="Q11" s="138" t="s">
        <v>422</v>
      </c>
      <c r="R11" s="138">
        <v>1</v>
      </c>
      <c r="S11" s="138">
        <v>1</v>
      </c>
      <c r="T11" s="138">
        <v>1</v>
      </c>
      <c r="U11" s="138">
        <v>1</v>
      </c>
      <c r="V11" s="138">
        <v>1</v>
      </c>
      <c r="W11" s="138">
        <v>1</v>
      </c>
      <c r="X11" s="138"/>
      <c r="Y11" s="138">
        <v>1</v>
      </c>
      <c r="Z11" s="138">
        <v>1</v>
      </c>
      <c r="AA11" s="138">
        <v>1</v>
      </c>
      <c r="AB11" s="138">
        <v>1</v>
      </c>
      <c r="AC11" s="138"/>
      <c r="AD11" s="138"/>
      <c r="AE11" s="138"/>
      <c r="AF11" s="138"/>
      <c r="AG11" s="138"/>
    </row>
    <row r="12" spans="1:33" ht="14.4">
      <c r="A12" s="112">
        <v>3</v>
      </c>
      <c r="B12" s="112" t="s">
        <v>744</v>
      </c>
      <c r="C12" s="91">
        <v>1</v>
      </c>
      <c r="D12" s="91">
        <v>1</v>
      </c>
      <c r="E12" s="91">
        <v>1</v>
      </c>
      <c r="F12" s="91"/>
      <c r="G12" s="91">
        <v>1</v>
      </c>
      <c r="H12" s="91">
        <v>1</v>
      </c>
      <c r="I12" s="91"/>
      <c r="J12" s="91"/>
      <c r="K12" s="91"/>
      <c r="L12" s="91">
        <v>1</v>
      </c>
      <c r="M12" s="91"/>
      <c r="N12" s="91">
        <v>1</v>
      </c>
      <c r="O12" s="138">
        <v>1</v>
      </c>
      <c r="P12" s="138">
        <v>1</v>
      </c>
      <c r="Q12" s="138"/>
      <c r="R12" s="138">
        <v>1</v>
      </c>
      <c r="S12" s="138">
        <v>1</v>
      </c>
      <c r="T12" s="138"/>
      <c r="U12" s="138">
        <v>1</v>
      </c>
      <c r="V12" s="138">
        <v>1</v>
      </c>
      <c r="W12" s="138">
        <v>1</v>
      </c>
      <c r="X12" s="138">
        <v>1</v>
      </c>
      <c r="Y12" s="138"/>
      <c r="Z12" s="138"/>
      <c r="AA12" s="138"/>
      <c r="AB12" s="138"/>
      <c r="AC12" s="138"/>
      <c r="AD12" s="138"/>
      <c r="AE12" s="138"/>
      <c r="AF12" s="138"/>
      <c r="AG12" s="138"/>
    </row>
    <row r="13" spans="1:33" ht="13.2">
      <c r="A13" s="91">
        <v>4</v>
      </c>
      <c r="B13" s="91" t="s">
        <v>745</v>
      </c>
      <c r="C13" s="91">
        <v>1</v>
      </c>
      <c r="D13" s="91">
        <v>1</v>
      </c>
      <c r="E13" s="91">
        <v>1</v>
      </c>
      <c r="F13" s="91"/>
      <c r="G13" s="91">
        <v>1</v>
      </c>
      <c r="H13" s="91">
        <v>1</v>
      </c>
      <c r="I13" s="91">
        <v>1</v>
      </c>
      <c r="J13" s="91"/>
      <c r="K13" s="91"/>
      <c r="L13" s="91">
        <v>1</v>
      </c>
      <c r="M13" s="91">
        <v>1</v>
      </c>
      <c r="N13" s="91"/>
      <c r="O13" s="138">
        <v>1</v>
      </c>
      <c r="P13" s="138">
        <v>1</v>
      </c>
      <c r="Q13" s="138"/>
      <c r="R13" s="138">
        <v>1</v>
      </c>
      <c r="S13" s="138"/>
      <c r="T13" s="138">
        <v>1</v>
      </c>
      <c r="U13" s="138">
        <v>1</v>
      </c>
      <c r="V13" s="138">
        <v>1</v>
      </c>
      <c r="W13" s="138">
        <v>1</v>
      </c>
      <c r="X13" s="138">
        <v>1</v>
      </c>
      <c r="Y13" s="138">
        <v>1</v>
      </c>
      <c r="Z13" s="138">
        <v>1</v>
      </c>
      <c r="AA13" s="138"/>
      <c r="AB13" s="138">
        <v>1</v>
      </c>
      <c r="AC13" s="138">
        <v>1</v>
      </c>
      <c r="AD13" s="138"/>
      <c r="AE13" s="138"/>
      <c r="AF13" s="138"/>
      <c r="AG13" s="138"/>
    </row>
    <row r="14" spans="1:33" ht="13.2" hidden="1">
      <c r="A14" s="91">
        <v>5</v>
      </c>
      <c r="B14" s="91" t="s">
        <v>746</v>
      </c>
      <c r="C14" s="91">
        <v>1</v>
      </c>
      <c r="D14" s="91">
        <v>1</v>
      </c>
      <c r="E14" s="91">
        <v>1</v>
      </c>
      <c r="F14" s="91">
        <v>1</v>
      </c>
      <c r="G14" s="91"/>
      <c r="H14" s="91"/>
      <c r="I14" s="91"/>
      <c r="J14" s="91">
        <v>1</v>
      </c>
      <c r="K14" s="91"/>
      <c r="L14" s="91"/>
      <c r="M14" s="91"/>
      <c r="N14" s="91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</row>
    <row r="15" spans="1:33" ht="13.2" hidden="1">
      <c r="A15" s="91">
        <v>6</v>
      </c>
      <c r="B15" s="91" t="s">
        <v>747</v>
      </c>
      <c r="C15" s="91">
        <v>1</v>
      </c>
      <c r="D15" s="91">
        <v>1</v>
      </c>
      <c r="E15" s="91">
        <v>1</v>
      </c>
      <c r="F15" s="91">
        <v>1</v>
      </c>
      <c r="G15" s="91"/>
      <c r="H15" s="91">
        <v>1</v>
      </c>
      <c r="I15" s="91">
        <v>1</v>
      </c>
      <c r="J15" s="91">
        <v>1</v>
      </c>
      <c r="K15" s="91"/>
      <c r="L15" s="91">
        <v>1</v>
      </c>
      <c r="M15" s="91">
        <v>1</v>
      </c>
      <c r="N15" s="91">
        <v>1</v>
      </c>
      <c r="O15" s="138">
        <v>1</v>
      </c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</row>
    <row r="16" spans="1:33" ht="13.2" hidden="1">
      <c r="A16" s="91">
        <v>7</v>
      </c>
      <c r="B16" s="91" t="s">
        <v>748</v>
      </c>
      <c r="C16" s="91"/>
      <c r="D16" s="91">
        <v>1</v>
      </c>
      <c r="E16" s="91"/>
      <c r="F16" s="91">
        <v>1</v>
      </c>
      <c r="G16" s="91">
        <v>1</v>
      </c>
      <c r="H16" s="91"/>
      <c r="I16" s="91"/>
      <c r="J16" s="91"/>
      <c r="K16" s="91"/>
      <c r="L16" s="91"/>
      <c r="M16" s="91"/>
      <c r="N16" s="91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</row>
    <row r="17" spans="1:33" ht="13.2">
      <c r="A17" s="91">
        <v>5</v>
      </c>
      <c r="B17" s="91" t="s">
        <v>749</v>
      </c>
      <c r="C17" s="91"/>
      <c r="D17" s="91"/>
      <c r="E17" s="91"/>
      <c r="F17" s="91"/>
      <c r="G17" s="91"/>
      <c r="H17" s="91"/>
      <c r="I17" s="91"/>
      <c r="J17" s="91"/>
      <c r="K17" s="91"/>
      <c r="L17" s="91">
        <v>1</v>
      </c>
      <c r="M17" s="91"/>
      <c r="N17" s="91">
        <v>1</v>
      </c>
      <c r="O17" s="138">
        <v>1</v>
      </c>
      <c r="P17" s="138">
        <v>1</v>
      </c>
      <c r="Q17" s="138"/>
      <c r="R17" s="138">
        <v>1</v>
      </c>
      <c r="S17" s="138"/>
      <c r="T17" s="138">
        <v>1</v>
      </c>
      <c r="U17" s="138">
        <v>1</v>
      </c>
      <c r="V17" s="138">
        <v>1</v>
      </c>
      <c r="W17" s="138">
        <v>1</v>
      </c>
      <c r="X17" s="138">
        <v>1</v>
      </c>
      <c r="Y17" s="138">
        <v>1</v>
      </c>
      <c r="Z17" s="138">
        <v>1</v>
      </c>
      <c r="AA17" s="138">
        <v>1</v>
      </c>
      <c r="AB17" s="138"/>
      <c r="AC17" s="138">
        <v>1</v>
      </c>
      <c r="AD17" s="138"/>
      <c r="AE17" s="138"/>
      <c r="AF17" s="138"/>
      <c r="AG17" s="138"/>
    </row>
    <row r="18" spans="1:33" ht="13.2">
      <c r="A18" s="91">
        <v>6</v>
      </c>
      <c r="B18" s="91" t="s">
        <v>109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>
        <v>1</v>
      </c>
      <c r="O18" s="138"/>
      <c r="P18" s="138">
        <v>1</v>
      </c>
      <c r="Q18" s="138"/>
      <c r="R18" s="138">
        <v>1</v>
      </c>
      <c r="S18" s="138"/>
      <c r="T18" s="138">
        <v>1</v>
      </c>
      <c r="U18" s="138">
        <v>1</v>
      </c>
      <c r="V18" s="138">
        <v>1</v>
      </c>
      <c r="W18" s="138">
        <v>1</v>
      </c>
      <c r="X18" s="138"/>
      <c r="Y18" s="138">
        <v>1</v>
      </c>
      <c r="Z18" s="138">
        <v>1</v>
      </c>
      <c r="AA18" s="138"/>
      <c r="AB18" s="138">
        <v>1</v>
      </c>
      <c r="AC18" s="138"/>
      <c r="AD18" s="138"/>
      <c r="AE18" s="138"/>
      <c r="AF18" s="138"/>
      <c r="AG18" s="138"/>
    </row>
    <row r="19" spans="1:33" ht="13.2">
      <c r="A19" s="91">
        <v>7</v>
      </c>
      <c r="B19" s="91" t="s">
        <v>584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138"/>
      <c r="P19" s="138"/>
      <c r="Q19" s="138"/>
      <c r="R19" s="138"/>
      <c r="S19" s="138"/>
      <c r="T19" s="138">
        <v>1</v>
      </c>
      <c r="U19" s="138">
        <v>1</v>
      </c>
      <c r="V19" s="138">
        <v>1</v>
      </c>
      <c r="W19" s="138">
        <v>1</v>
      </c>
      <c r="X19" s="138">
        <v>1</v>
      </c>
      <c r="Y19" s="138">
        <v>1</v>
      </c>
      <c r="Z19" s="138">
        <v>1</v>
      </c>
      <c r="AA19" s="138">
        <v>1</v>
      </c>
      <c r="AB19" s="138">
        <v>1</v>
      </c>
      <c r="AC19" s="138"/>
      <c r="AD19" s="138"/>
      <c r="AE19" s="138"/>
      <c r="AF19" s="138"/>
      <c r="AG19" s="138"/>
    </row>
    <row r="20" spans="1:33" ht="13.2">
      <c r="A20" s="91">
        <v>8</v>
      </c>
      <c r="B20" s="91" t="s">
        <v>750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138"/>
      <c r="P20" s="138"/>
      <c r="Q20" s="138"/>
      <c r="R20" s="138"/>
      <c r="S20" s="138"/>
      <c r="T20" s="138"/>
      <c r="U20" s="138">
        <v>1</v>
      </c>
      <c r="V20" s="138">
        <v>1</v>
      </c>
      <c r="W20" s="138">
        <v>1</v>
      </c>
      <c r="X20" s="138"/>
      <c r="Y20" s="138"/>
      <c r="Z20" s="138">
        <v>1</v>
      </c>
      <c r="AA20" s="138"/>
      <c r="AB20" s="138">
        <v>1</v>
      </c>
      <c r="AC20" s="138">
        <v>1</v>
      </c>
      <c r="AD20" s="138"/>
      <c r="AE20" s="138"/>
      <c r="AF20" s="138"/>
      <c r="AG20" s="138"/>
    </row>
    <row r="21" spans="1:33" ht="13.2">
      <c r="A21" s="91">
        <v>9</v>
      </c>
      <c r="B21" s="91" t="s">
        <v>751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138"/>
      <c r="P21" s="138"/>
      <c r="Q21" s="138"/>
      <c r="R21" s="138"/>
      <c r="S21" s="138"/>
      <c r="T21" s="138"/>
      <c r="U21" s="138"/>
      <c r="V21" s="138"/>
      <c r="W21" s="138">
        <v>1</v>
      </c>
      <c r="X21" s="138">
        <v>1</v>
      </c>
      <c r="Y21" s="138">
        <v>1</v>
      </c>
      <c r="Z21" s="138">
        <v>1</v>
      </c>
      <c r="AA21" s="138">
        <v>1</v>
      </c>
      <c r="AB21" s="138">
        <v>1</v>
      </c>
      <c r="AC21" s="138">
        <v>1</v>
      </c>
      <c r="AD21" s="138"/>
      <c r="AE21" s="138"/>
      <c r="AF21" s="138"/>
      <c r="AG21" s="138"/>
    </row>
    <row r="22" spans="1:33" ht="13.2">
      <c r="A22" s="91">
        <v>10</v>
      </c>
      <c r="B22" s="91" t="s">
        <v>302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>
        <v>1</v>
      </c>
      <c r="Z22" s="138">
        <v>1</v>
      </c>
      <c r="AA22" s="138">
        <v>1</v>
      </c>
      <c r="AB22" s="138"/>
      <c r="AC22" s="138"/>
      <c r="AD22" s="138"/>
      <c r="AE22" s="138"/>
      <c r="AF22" s="138"/>
      <c r="AG22" s="138"/>
    </row>
    <row r="23" spans="1:33" ht="13.2">
      <c r="A23" s="91">
        <v>11</v>
      </c>
      <c r="B23" s="91" t="s">
        <v>487</v>
      </c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>
        <v>1</v>
      </c>
      <c r="Z23" s="138">
        <v>1</v>
      </c>
      <c r="AA23" s="138">
        <v>1</v>
      </c>
      <c r="AB23" s="138">
        <v>1</v>
      </c>
      <c r="AC23" s="138"/>
      <c r="AD23" s="138"/>
      <c r="AE23" s="138"/>
      <c r="AF23" s="138"/>
      <c r="AG23" s="138"/>
    </row>
    <row r="24" spans="1:33" ht="13.2">
      <c r="A24" s="91"/>
      <c r="B24" s="91" t="s">
        <v>752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>
        <v>1</v>
      </c>
      <c r="AB24" s="138">
        <v>1</v>
      </c>
      <c r="AC24" s="138"/>
      <c r="AD24" s="138"/>
      <c r="AE24" s="138"/>
      <c r="AF24" s="138"/>
      <c r="AG24" s="138"/>
    </row>
    <row r="25" spans="1:33" ht="13.2">
      <c r="A25" s="91"/>
      <c r="B25" s="91" t="s">
        <v>753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>
        <v>1</v>
      </c>
      <c r="AD25" s="138"/>
      <c r="AE25" s="138"/>
      <c r="AF25" s="138"/>
      <c r="AG25" s="138"/>
    </row>
    <row r="26" spans="1:33" ht="14.4">
      <c r="A26" s="101"/>
      <c r="B26" s="102" t="s">
        <v>147</v>
      </c>
      <c r="C26" s="113">
        <v>6</v>
      </c>
      <c r="D26" s="113">
        <v>7</v>
      </c>
      <c r="E26" s="113">
        <v>6</v>
      </c>
      <c r="F26" s="113">
        <v>5</v>
      </c>
      <c r="G26" s="113">
        <v>4</v>
      </c>
      <c r="H26" s="113">
        <v>5</v>
      </c>
      <c r="I26" s="113">
        <v>4</v>
      </c>
      <c r="J26" s="113">
        <v>4</v>
      </c>
      <c r="K26" s="113"/>
      <c r="L26" s="113">
        <v>6</v>
      </c>
      <c r="M26" s="113">
        <v>3</v>
      </c>
      <c r="N26" s="113">
        <v>6</v>
      </c>
      <c r="O26" s="113">
        <v>5</v>
      </c>
      <c r="P26" s="113">
        <v>4</v>
      </c>
      <c r="Q26" s="113"/>
      <c r="R26" s="113">
        <v>6</v>
      </c>
      <c r="S26" s="113">
        <v>2</v>
      </c>
      <c r="T26" s="113">
        <v>5</v>
      </c>
      <c r="U26" s="113">
        <v>8</v>
      </c>
      <c r="V26" s="113">
        <v>8</v>
      </c>
      <c r="W26" s="113">
        <v>9</v>
      </c>
      <c r="X26" s="113">
        <v>6</v>
      </c>
      <c r="Y26" s="113">
        <v>9</v>
      </c>
      <c r="Z26" s="113">
        <v>9</v>
      </c>
      <c r="AA26" s="113">
        <v>7</v>
      </c>
      <c r="AB26" s="113">
        <v>9</v>
      </c>
      <c r="AC26" s="113">
        <v>6</v>
      </c>
      <c r="AD26" s="113"/>
      <c r="AE26" s="113"/>
      <c r="AF26" s="113"/>
      <c r="AG26" s="113"/>
    </row>
    <row r="27" spans="1:33" ht="14.4">
      <c r="A27" s="204"/>
      <c r="B27" s="205"/>
      <c r="C27" s="100"/>
      <c r="D27" s="100"/>
      <c r="E27" s="100"/>
      <c r="F27" s="100">
        <v>24</v>
      </c>
      <c r="G27" s="100"/>
      <c r="H27" s="100"/>
      <c r="I27" s="100"/>
      <c r="J27" s="100">
        <v>17</v>
      </c>
      <c r="K27" s="100"/>
      <c r="L27" s="100"/>
      <c r="M27" s="95" t="s">
        <v>128</v>
      </c>
      <c r="N27" s="114" t="s">
        <v>754</v>
      </c>
      <c r="O27" s="100"/>
      <c r="P27" s="100"/>
      <c r="Q27" s="100"/>
      <c r="R27" s="100">
        <v>16</v>
      </c>
      <c r="S27" s="100"/>
      <c r="T27" s="100"/>
      <c r="U27" s="100"/>
      <c r="V27" s="100">
        <v>23</v>
      </c>
      <c r="W27" s="100"/>
      <c r="X27" s="100"/>
      <c r="Y27" s="100"/>
      <c r="Z27" s="100">
        <v>33</v>
      </c>
      <c r="AA27" s="100"/>
      <c r="AB27" s="100"/>
      <c r="AC27" s="100">
        <v>22</v>
      </c>
      <c r="AD27" s="100"/>
      <c r="AE27" s="100"/>
      <c r="AF27" s="100"/>
      <c r="AG27" s="100"/>
    </row>
    <row r="28" spans="1:33" ht="13.2">
      <c r="I28" s="114" t="s">
        <v>128</v>
      </c>
      <c r="J28" s="114" t="s">
        <v>755</v>
      </c>
      <c r="K28" s="213"/>
      <c r="L28" s="213"/>
      <c r="M28" s="213"/>
      <c r="N28" s="213"/>
      <c r="O28" s="213"/>
      <c r="P28" s="213"/>
      <c r="Q28" s="275" t="s">
        <v>128</v>
      </c>
      <c r="R28" s="114" t="s">
        <v>150</v>
      </c>
      <c r="S28" s="213"/>
      <c r="T28" s="213"/>
      <c r="U28" s="275" t="s">
        <v>128</v>
      </c>
      <c r="V28" s="114" t="s">
        <v>756</v>
      </c>
      <c r="W28" s="213"/>
      <c r="X28" s="213"/>
      <c r="Y28" s="114" t="s">
        <v>128</v>
      </c>
      <c r="Z28" s="114" t="s">
        <v>757</v>
      </c>
      <c r="AA28" s="213"/>
      <c r="AB28" s="213"/>
      <c r="AC28" s="114" t="s">
        <v>758</v>
      </c>
      <c r="AD28" s="213"/>
      <c r="AE28" s="213"/>
      <c r="AF28" s="213"/>
      <c r="AG28" s="213"/>
    </row>
    <row r="29" spans="1:33" ht="13.2">
      <c r="N29" s="85">
        <v>15</v>
      </c>
    </row>
  </sheetData>
  <hyperlinks>
    <hyperlink ref="B4" r:id="rId1" xr:uid="{00000000-0004-0000-1D00-000000000000}"/>
  </hyperlinks>
  <pageMargins left="0.7" right="0.7" top="0.75" bottom="0.75" header="0.3" footer="0.3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2:F29"/>
  <sheetViews>
    <sheetView workbookViewId="0"/>
  </sheetViews>
  <sheetFormatPr defaultColWidth="12.6640625" defaultRowHeight="15.75" customHeight="1"/>
  <cols>
    <col min="1" max="1" width="3.77734375" customWidth="1"/>
    <col min="2" max="2" width="13.77734375" customWidth="1"/>
  </cols>
  <sheetData>
    <row r="2" spans="1:6" ht="15.75" customHeight="1">
      <c r="B2" s="442" t="s">
        <v>759</v>
      </c>
    </row>
    <row r="3" spans="1:6">
      <c r="A3" s="149" t="s">
        <v>212</v>
      </c>
      <c r="B3" s="149" t="s">
        <v>760</v>
      </c>
      <c r="C3" s="443">
        <v>46068</v>
      </c>
      <c r="D3" s="443">
        <v>46075</v>
      </c>
      <c r="E3" s="149" t="s">
        <v>761</v>
      </c>
    </row>
    <row r="4" spans="1:6">
      <c r="A4" s="91">
        <v>1</v>
      </c>
      <c r="B4" s="91" t="s">
        <v>240</v>
      </c>
      <c r="C4" s="91">
        <v>1</v>
      </c>
      <c r="D4" s="91">
        <v>1</v>
      </c>
      <c r="E4" s="91">
        <v>7000</v>
      </c>
    </row>
    <row r="5" spans="1:6">
      <c r="A5" s="91">
        <v>2</v>
      </c>
      <c r="B5" s="91" t="s">
        <v>419</v>
      </c>
      <c r="C5" s="91">
        <v>1</v>
      </c>
      <c r="D5" s="91">
        <v>1</v>
      </c>
      <c r="E5" s="91">
        <v>7000</v>
      </c>
    </row>
    <row r="6" spans="1:6">
      <c r="A6" s="91">
        <v>3</v>
      </c>
      <c r="B6" s="91" t="s">
        <v>762</v>
      </c>
      <c r="C6" s="91">
        <v>1</v>
      </c>
      <c r="D6" s="91">
        <v>1</v>
      </c>
      <c r="E6" s="91">
        <v>7000</v>
      </c>
    </row>
    <row r="7" spans="1:6">
      <c r="A7" s="91">
        <v>4</v>
      </c>
      <c r="B7" s="91" t="s">
        <v>763</v>
      </c>
      <c r="C7" s="91">
        <v>1</v>
      </c>
      <c r="D7" s="91"/>
      <c r="E7" s="91">
        <v>3500</v>
      </c>
    </row>
    <row r="8" spans="1:6">
      <c r="A8" s="91">
        <v>5</v>
      </c>
      <c r="B8" s="91" t="s">
        <v>764</v>
      </c>
      <c r="C8" s="91">
        <v>1</v>
      </c>
      <c r="D8" s="91">
        <v>1</v>
      </c>
      <c r="E8" s="91">
        <v>7000</v>
      </c>
    </row>
    <row r="9" spans="1:6">
      <c r="A9" s="91">
        <v>6</v>
      </c>
      <c r="B9" s="91" t="s">
        <v>765</v>
      </c>
      <c r="C9" s="91">
        <v>1</v>
      </c>
      <c r="D9" s="91"/>
      <c r="E9" s="91">
        <v>3500</v>
      </c>
    </row>
    <row r="10" spans="1:6">
      <c r="A10" s="91">
        <v>7</v>
      </c>
      <c r="B10" s="91" t="s">
        <v>766</v>
      </c>
      <c r="C10" s="91">
        <v>1</v>
      </c>
      <c r="D10" s="91">
        <v>1</v>
      </c>
      <c r="E10" s="91">
        <v>7000</v>
      </c>
    </row>
    <row r="11" spans="1:6">
      <c r="A11" s="91">
        <v>8</v>
      </c>
      <c r="B11" s="91" t="s">
        <v>219</v>
      </c>
      <c r="C11" s="91">
        <v>1</v>
      </c>
      <c r="D11" s="91">
        <v>1</v>
      </c>
      <c r="E11" s="91">
        <v>7000</v>
      </c>
    </row>
    <row r="12" spans="1:6">
      <c r="A12" s="91">
        <v>9</v>
      </c>
      <c r="B12" s="91" t="s">
        <v>767</v>
      </c>
      <c r="C12" s="91">
        <v>1</v>
      </c>
      <c r="D12" s="91"/>
      <c r="E12" s="91">
        <v>3500</v>
      </c>
    </row>
    <row r="13" spans="1:6">
      <c r="A13" s="91">
        <v>10</v>
      </c>
      <c r="B13" s="91" t="s">
        <v>768</v>
      </c>
      <c r="C13" s="91">
        <v>1</v>
      </c>
      <c r="D13" s="91">
        <v>1</v>
      </c>
      <c r="E13" s="91">
        <v>7000</v>
      </c>
    </row>
    <row r="14" spans="1:6">
      <c r="A14" s="91">
        <v>11</v>
      </c>
      <c r="B14" s="91" t="s">
        <v>203</v>
      </c>
      <c r="C14" s="91">
        <v>1</v>
      </c>
      <c r="D14" s="91"/>
      <c r="E14" s="91">
        <v>3500</v>
      </c>
    </row>
    <row r="15" spans="1:6">
      <c r="A15" s="91">
        <v>12</v>
      </c>
      <c r="B15" s="91" t="s">
        <v>769</v>
      </c>
      <c r="C15" s="91">
        <v>1</v>
      </c>
      <c r="D15" s="91">
        <v>1</v>
      </c>
      <c r="E15" s="91">
        <v>7000</v>
      </c>
    </row>
    <row r="16" spans="1:6" ht="13.2">
      <c r="A16" s="91">
        <v>13</v>
      </c>
      <c r="B16" s="91" t="s">
        <v>770</v>
      </c>
      <c r="C16" s="91">
        <v>1</v>
      </c>
      <c r="D16" s="91">
        <v>1</v>
      </c>
      <c r="E16" s="91">
        <v>3500</v>
      </c>
      <c r="F16" s="85">
        <v>7000</v>
      </c>
    </row>
    <row r="17" spans="1:5" ht="13.2">
      <c r="A17" s="91">
        <v>14</v>
      </c>
      <c r="B17" s="91" t="s">
        <v>771</v>
      </c>
      <c r="C17" s="91">
        <v>1</v>
      </c>
      <c r="D17" s="91"/>
      <c r="E17" s="91">
        <v>3500</v>
      </c>
    </row>
    <row r="18" spans="1:5" ht="13.2">
      <c r="A18" s="91">
        <v>15</v>
      </c>
      <c r="B18" s="91" t="s">
        <v>772</v>
      </c>
      <c r="C18" s="91">
        <v>1</v>
      </c>
      <c r="D18" s="91">
        <v>1</v>
      </c>
      <c r="E18" s="91">
        <v>7000</v>
      </c>
    </row>
    <row r="19" spans="1:5" ht="13.2">
      <c r="A19" s="91">
        <v>16</v>
      </c>
      <c r="B19" s="91" t="s">
        <v>773</v>
      </c>
      <c r="C19" s="91">
        <v>1</v>
      </c>
      <c r="D19" s="91">
        <v>1</v>
      </c>
      <c r="E19" s="91">
        <v>7000</v>
      </c>
    </row>
    <row r="20" spans="1:5" ht="13.2">
      <c r="A20" s="91">
        <v>17</v>
      </c>
      <c r="B20" s="91" t="s">
        <v>774</v>
      </c>
      <c r="C20" s="91">
        <v>1</v>
      </c>
      <c r="D20" s="91">
        <v>1</v>
      </c>
      <c r="E20" s="91">
        <v>7000</v>
      </c>
    </row>
    <row r="21" spans="1:5" ht="13.2">
      <c r="A21" s="91">
        <v>18</v>
      </c>
      <c r="B21" s="91" t="s">
        <v>775</v>
      </c>
      <c r="C21" s="91">
        <v>1</v>
      </c>
      <c r="D21" s="91"/>
      <c r="E21" s="91">
        <v>3500</v>
      </c>
    </row>
    <row r="22" spans="1:5" ht="13.2">
      <c r="A22" s="91">
        <v>19</v>
      </c>
      <c r="B22" s="91" t="s">
        <v>144</v>
      </c>
      <c r="C22" s="91">
        <v>1</v>
      </c>
      <c r="D22" s="91">
        <v>1</v>
      </c>
      <c r="E22" s="91">
        <v>7000</v>
      </c>
    </row>
    <row r="23" spans="1:5" ht="13.2">
      <c r="A23" s="113"/>
      <c r="B23" s="113"/>
      <c r="C23" s="113">
        <v>19</v>
      </c>
      <c r="D23" s="113">
        <v>16</v>
      </c>
      <c r="E23" s="113"/>
    </row>
    <row r="27" spans="1:5" ht="13.2">
      <c r="B27" s="85">
        <v>10</v>
      </c>
      <c r="C27" s="85">
        <v>8000</v>
      </c>
      <c r="D27" s="85">
        <v>4000</v>
      </c>
      <c r="E27" s="85">
        <v>66500</v>
      </c>
    </row>
    <row r="28" spans="1:5" ht="13.2">
      <c r="B28" s="85">
        <v>9</v>
      </c>
      <c r="E28" s="85">
        <v>19000</v>
      </c>
    </row>
    <row r="29" spans="1:5" ht="13.2">
      <c r="E29" s="85">
        <v>9500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S980"/>
  <sheetViews>
    <sheetView workbookViewId="0"/>
  </sheetViews>
  <sheetFormatPr defaultColWidth="12.6640625" defaultRowHeight="15.75" customHeight="1"/>
  <cols>
    <col min="1" max="1" width="3.88671875" customWidth="1"/>
    <col min="5" max="40" width="12.6640625" hidden="1"/>
  </cols>
  <sheetData>
    <row r="1" spans="1:45" ht="13.2">
      <c r="A1" s="215"/>
    </row>
    <row r="2" spans="1:45" ht="29.4">
      <c r="A2" s="215"/>
      <c r="B2" s="444" t="s">
        <v>776</v>
      </c>
      <c r="C2" s="134"/>
      <c r="D2" s="134"/>
    </row>
    <row r="3" spans="1:45" ht="14.4">
      <c r="A3" s="215"/>
      <c r="B3" s="385" t="s">
        <v>777</v>
      </c>
      <c r="C3" s="134"/>
      <c r="D3" s="134"/>
    </row>
    <row r="4" spans="1:45" ht="13.2">
      <c r="A4" s="215"/>
      <c r="G4" s="213"/>
      <c r="H4" s="114" t="s">
        <v>778</v>
      </c>
      <c r="I4" s="114">
        <v>92000</v>
      </c>
    </row>
    <row r="5" spans="1:45" ht="13.2" hidden="1">
      <c r="A5" s="215"/>
      <c r="B5" s="87">
        <v>4000</v>
      </c>
    </row>
    <row r="6" spans="1:45" ht="13.2">
      <c r="A6" s="215"/>
      <c r="AH6" s="85" t="s">
        <v>82</v>
      </c>
    </row>
    <row r="7" spans="1:45" ht="14.4">
      <c r="A7" s="153" t="s">
        <v>212</v>
      </c>
      <c r="B7" s="102" t="s">
        <v>232</v>
      </c>
      <c r="C7" s="176">
        <v>45908</v>
      </c>
      <c r="D7" s="273">
        <v>45911</v>
      </c>
      <c r="E7" s="273">
        <v>45915</v>
      </c>
      <c r="F7" s="273">
        <v>45795</v>
      </c>
      <c r="G7" s="273">
        <v>45922</v>
      </c>
      <c r="H7" s="445">
        <v>45925</v>
      </c>
      <c r="I7" s="273">
        <v>45929</v>
      </c>
      <c r="J7" s="262">
        <v>45932</v>
      </c>
      <c r="K7" s="262">
        <v>45936</v>
      </c>
      <c r="L7" s="262">
        <v>45939</v>
      </c>
      <c r="M7" s="262">
        <v>45943</v>
      </c>
      <c r="N7" s="262">
        <v>45946</v>
      </c>
      <c r="O7" s="264">
        <v>45950</v>
      </c>
      <c r="P7" s="264">
        <v>45953</v>
      </c>
      <c r="Q7" s="264">
        <v>45964</v>
      </c>
      <c r="R7" s="264">
        <v>45967</v>
      </c>
      <c r="S7" s="264">
        <v>45971</v>
      </c>
      <c r="T7" s="264">
        <v>45974</v>
      </c>
      <c r="U7" s="264">
        <v>45978</v>
      </c>
      <c r="V7" s="264">
        <v>45981</v>
      </c>
      <c r="W7" s="264">
        <v>45985</v>
      </c>
      <c r="X7" s="264">
        <v>45988</v>
      </c>
      <c r="Y7" s="264">
        <v>45992</v>
      </c>
      <c r="Z7" s="264">
        <v>45995</v>
      </c>
      <c r="AA7" s="264">
        <v>45999</v>
      </c>
      <c r="AB7" s="264">
        <v>46002</v>
      </c>
      <c r="AC7" s="264">
        <v>46009</v>
      </c>
      <c r="AD7" s="446">
        <v>46016</v>
      </c>
      <c r="AE7" s="446">
        <v>46037</v>
      </c>
      <c r="AF7" s="446">
        <v>46195</v>
      </c>
      <c r="AG7" s="446">
        <v>46051</v>
      </c>
      <c r="AH7" s="446">
        <v>46058</v>
      </c>
      <c r="AI7" s="446">
        <v>46065</v>
      </c>
      <c r="AJ7" s="446">
        <v>46072</v>
      </c>
      <c r="AK7" s="446">
        <v>46079</v>
      </c>
      <c r="AL7" s="446">
        <v>46086</v>
      </c>
      <c r="AM7" s="446">
        <v>46094</v>
      </c>
      <c r="AN7" s="446">
        <v>46101</v>
      </c>
      <c r="AO7" s="446">
        <v>46113</v>
      </c>
      <c r="AP7" s="446"/>
      <c r="AQ7" s="446"/>
      <c r="AR7" s="446"/>
      <c r="AS7" s="446"/>
    </row>
    <row r="8" spans="1:45" ht="14.4">
      <c r="A8" s="447">
        <v>1</v>
      </c>
      <c r="B8" s="109" t="s">
        <v>779</v>
      </c>
      <c r="C8" s="91">
        <v>1</v>
      </c>
      <c r="D8" s="91"/>
      <c r="E8" s="91">
        <v>1</v>
      </c>
      <c r="F8" s="91"/>
      <c r="G8" s="91">
        <v>1</v>
      </c>
      <c r="H8" s="127"/>
      <c r="I8" s="91">
        <v>1</v>
      </c>
      <c r="J8" s="138"/>
      <c r="K8" s="138">
        <v>1</v>
      </c>
      <c r="L8" s="138"/>
      <c r="M8" s="138">
        <v>1</v>
      </c>
      <c r="N8" s="138"/>
      <c r="O8" s="138">
        <v>1</v>
      </c>
      <c r="P8" s="138"/>
      <c r="Q8" s="138">
        <v>1</v>
      </c>
      <c r="R8" s="138"/>
      <c r="S8" s="138">
        <v>1</v>
      </c>
      <c r="T8" s="138"/>
      <c r="U8" s="138">
        <v>1</v>
      </c>
      <c r="V8" s="138"/>
      <c r="W8" s="138">
        <v>1</v>
      </c>
      <c r="X8" s="138"/>
      <c r="Y8" s="138">
        <v>1</v>
      </c>
      <c r="Z8" s="138"/>
      <c r="AA8" s="138">
        <v>1</v>
      </c>
      <c r="AB8" s="138"/>
      <c r="AC8" s="138">
        <v>1</v>
      </c>
      <c r="AD8" s="138">
        <v>1</v>
      </c>
      <c r="AE8" s="138">
        <v>1</v>
      </c>
      <c r="AF8" s="138">
        <v>1</v>
      </c>
      <c r="AG8" s="138">
        <v>1</v>
      </c>
      <c r="AH8" s="138">
        <v>1</v>
      </c>
      <c r="AI8" s="138"/>
      <c r="AJ8" s="138">
        <v>1</v>
      </c>
      <c r="AK8" s="138">
        <v>1</v>
      </c>
      <c r="AL8" s="138">
        <v>1</v>
      </c>
      <c r="AM8" s="138">
        <v>1</v>
      </c>
      <c r="AN8" s="138"/>
      <c r="AO8" s="138"/>
      <c r="AP8" s="138"/>
      <c r="AQ8" s="138"/>
      <c r="AR8" s="138"/>
      <c r="AS8" s="138"/>
    </row>
    <row r="9" spans="1:45" ht="14.4">
      <c r="A9" s="343">
        <v>2</v>
      </c>
      <c r="B9" s="112" t="s">
        <v>421</v>
      </c>
      <c r="C9" s="91">
        <v>1</v>
      </c>
      <c r="D9" s="91"/>
      <c r="E9" s="91">
        <v>1</v>
      </c>
      <c r="F9" s="91"/>
      <c r="G9" s="91"/>
      <c r="H9" s="127"/>
      <c r="I9" s="91">
        <v>1</v>
      </c>
      <c r="J9" s="138"/>
      <c r="K9" s="138">
        <v>1</v>
      </c>
      <c r="L9" s="138"/>
      <c r="M9" s="138">
        <v>1</v>
      </c>
      <c r="N9" s="138"/>
      <c r="O9" s="138">
        <v>1</v>
      </c>
      <c r="P9" s="138"/>
      <c r="Q9" s="138">
        <v>1</v>
      </c>
      <c r="R9" s="138"/>
      <c r="S9" s="138">
        <v>1</v>
      </c>
      <c r="T9" s="138"/>
      <c r="U9" s="138">
        <v>1</v>
      </c>
      <c r="V9" s="138"/>
      <c r="W9" s="138">
        <v>1</v>
      </c>
      <c r="X9" s="138"/>
      <c r="Y9" s="138">
        <v>1</v>
      </c>
      <c r="Z9" s="138"/>
      <c r="AA9" s="138"/>
      <c r="AB9" s="138"/>
      <c r="AC9" s="138">
        <v>1</v>
      </c>
      <c r="AD9" s="138">
        <v>1</v>
      </c>
      <c r="AE9" s="138">
        <v>1</v>
      </c>
      <c r="AF9" s="138">
        <v>1</v>
      </c>
      <c r="AG9" s="138">
        <v>1</v>
      </c>
      <c r="AH9" s="138">
        <v>1</v>
      </c>
      <c r="AI9" s="138">
        <v>1</v>
      </c>
      <c r="AJ9" s="138">
        <v>1</v>
      </c>
      <c r="AK9" s="138">
        <v>1</v>
      </c>
      <c r="AL9" s="138"/>
      <c r="AM9" s="138">
        <v>1</v>
      </c>
      <c r="AN9" s="138"/>
      <c r="AO9" s="138">
        <v>1</v>
      </c>
      <c r="AP9" s="138"/>
      <c r="AQ9" s="138"/>
      <c r="AR9" s="138"/>
      <c r="AS9" s="138"/>
    </row>
    <row r="10" spans="1:45" ht="14.4">
      <c r="A10" s="447">
        <v>3</v>
      </c>
      <c r="B10" s="109" t="s">
        <v>717</v>
      </c>
      <c r="C10" s="91"/>
      <c r="D10" s="91"/>
      <c r="E10" s="91"/>
      <c r="F10" s="91">
        <v>1</v>
      </c>
      <c r="G10" s="91"/>
      <c r="H10" s="127">
        <v>1</v>
      </c>
      <c r="I10" s="91"/>
      <c r="J10" s="138">
        <v>1</v>
      </c>
      <c r="K10" s="138"/>
      <c r="L10" s="138">
        <v>1</v>
      </c>
      <c r="M10" s="138"/>
      <c r="N10" s="138"/>
      <c r="O10" s="138"/>
      <c r="P10" s="138">
        <v>1</v>
      </c>
      <c r="Q10" s="138"/>
      <c r="R10" s="138"/>
      <c r="S10" s="138"/>
      <c r="T10" s="138">
        <v>1</v>
      </c>
      <c r="U10" s="138"/>
      <c r="V10" s="138">
        <v>1</v>
      </c>
      <c r="W10" s="138"/>
      <c r="X10" s="138"/>
      <c r="Y10" s="138"/>
      <c r="Z10" s="138">
        <v>1</v>
      </c>
      <c r="AA10" s="138"/>
      <c r="AB10" s="138">
        <v>1</v>
      </c>
      <c r="AC10" s="138">
        <v>1</v>
      </c>
      <c r="AD10" s="138">
        <v>1</v>
      </c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</row>
    <row r="11" spans="1:45" ht="14.4">
      <c r="A11" s="447">
        <v>4</v>
      </c>
      <c r="B11" s="109" t="s">
        <v>780</v>
      </c>
      <c r="C11" s="91">
        <v>1</v>
      </c>
      <c r="D11" s="91"/>
      <c r="E11" s="91"/>
      <c r="F11" s="91">
        <v>1</v>
      </c>
      <c r="G11" s="91"/>
      <c r="H11" s="127">
        <v>1</v>
      </c>
      <c r="I11" s="91"/>
      <c r="J11" s="138">
        <v>1</v>
      </c>
      <c r="K11" s="138"/>
      <c r="L11" s="138"/>
      <c r="M11" s="138"/>
      <c r="N11" s="138">
        <v>1</v>
      </c>
      <c r="O11" s="138"/>
      <c r="P11" s="138"/>
      <c r="Q11" s="138"/>
      <c r="R11" s="138">
        <v>1</v>
      </c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</row>
    <row r="12" spans="1:45" ht="14.4">
      <c r="A12" s="447">
        <v>5</v>
      </c>
      <c r="B12" s="112" t="s">
        <v>781</v>
      </c>
      <c r="C12" s="91">
        <v>1</v>
      </c>
      <c r="D12" s="91"/>
      <c r="E12" s="91"/>
      <c r="F12" s="91">
        <v>1</v>
      </c>
      <c r="G12" s="91"/>
      <c r="H12" s="127"/>
      <c r="I12" s="91"/>
      <c r="J12" s="138">
        <v>1</v>
      </c>
      <c r="K12" s="138"/>
      <c r="L12" s="138">
        <v>1</v>
      </c>
      <c r="M12" s="138"/>
      <c r="N12" s="138">
        <v>1</v>
      </c>
      <c r="O12" s="138"/>
      <c r="P12" s="138">
        <v>1</v>
      </c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</row>
    <row r="13" spans="1:45" ht="14.4">
      <c r="A13" s="447">
        <v>6</v>
      </c>
      <c r="B13" s="112" t="s">
        <v>782</v>
      </c>
      <c r="C13" s="91"/>
      <c r="D13" s="91">
        <v>1</v>
      </c>
      <c r="E13" s="91"/>
      <c r="F13" s="91">
        <v>1</v>
      </c>
      <c r="G13" s="91"/>
      <c r="H13" s="127">
        <v>1</v>
      </c>
      <c r="I13" s="91"/>
      <c r="J13" s="138">
        <v>1</v>
      </c>
      <c r="K13" s="138"/>
      <c r="L13" s="138">
        <v>1</v>
      </c>
      <c r="M13" s="138"/>
      <c r="N13" s="138"/>
      <c r="O13" s="138"/>
      <c r="P13" s="138">
        <v>1</v>
      </c>
      <c r="Q13" s="138"/>
      <c r="R13" s="138">
        <v>1</v>
      </c>
      <c r="S13" s="138"/>
      <c r="T13" s="138">
        <v>1</v>
      </c>
      <c r="U13" s="138"/>
      <c r="V13" s="138"/>
      <c r="W13" s="138"/>
      <c r="X13" s="138"/>
      <c r="Y13" s="138"/>
      <c r="Z13" s="138">
        <v>1</v>
      </c>
      <c r="AA13" s="138"/>
      <c r="AB13" s="138">
        <v>1</v>
      </c>
      <c r="AC13" s="138">
        <v>1</v>
      </c>
      <c r="AD13" s="138">
        <v>1</v>
      </c>
      <c r="AE13" s="138">
        <v>1</v>
      </c>
      <c r="AF13" s="138">
        <v>1</v>
      </c>
      <c r="AG13" s="138">
        <v>1</v>
      </c>
      <c r="AH13" s="138">
        <v>1</v>
      </c>
      <c r="AI13" s="138"/>
      <c r="AJ13" s="138">
        <v>1</v>
      </c>
      <c r="AK13" s="138">
        <v>1</v>
      </c>
      <c r="AL13" s="138">
        <v>1</v>
      </c>
      <c r="AM13" s="138">
        <v>1</v>
      </c>
      <c r="AN13" s="138"/>
      <c r="AO13" s="138">
        <v>1</v>
      </c>
      <c r="AP13" s="138"/>
      <c r="AQ13" s="138"/>
      <c r="AR13" s="138"/>
      <c r="AS13" s="138"/>
    </row>
    <row r="14" spans="1:45" ht="14.4">
      <c r="A14" s="447">
        <v>7</v>
      </c>
      <c r="B14" s="112" t="s">
        <v>783</v>
      </c>
      <c r="C14" s="91"/>
      <c r="D14" s="91">
        <v>1</v>
      </c>
      <c r="E14" s="91"/>
      <c r="F14" s="91">
        <v>1</v>
      </c>
      <c r="G14" s="91"/>
      <c r="H14" s="127">
        <v>1</v>
      </c>
      <c r="I14" s="91"/>
      <c r="J14" s="138">
        <v>1</v>
      </c>
      <c r="K14" s="138"/>
      <c r="L14" s="138">
        <v>1</v>
      </c>
      <c r="M14" s="138"/>
      <c r="N14" s="138">
        <v>1</v>
      </c>
      <c r="O14" s="138"/>
      <c r="P14" s="138">
        <v>1</v>
      </c>
      <c r="Q14" s="138"/>
      <c r="R14" s="138">
        <v>1</v>
      </c>
      <c r="S14" s="138"/>
      <c r="T14" s="138">
        <v>1</v>
      </c>
      <c r="U14" s="138"/>
      <c r="V14" s="138">
        <v>1</v>
      </c>
      <c r="W14" s="138"/>
      <c r="X14" s="138">
        <v>1</v>
      </c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</row>
    <row r="15" spans="1:45" ht="14.4">
      <c r="A15" s="447"/>
      <c r="B15" s="112" t="s">
        <v>566</v>
      </c>
      <c r="C15" s="91"/>
      <c r="D15" s="91"/>
      <c r="E15" s="91"/>
      <c r="F15" s="91"/>
      <c r="G15" s="91"/>
      <c r="H15" s="127"/>
      <c r="I15" s="91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>
        <v>1</v>
      </c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</row>
    <row r="16" spans="1:45" ht="14.4">
      <c r="A16" s="447"/>
      <c r="B16" s="112" t="s">
        <v>784</v>
      </c>
      <c r="C16" s="91"/>
      <c r="D16" s="91"/>
      <c r="E16" s="91"/>
      <c r="F16" s="91"/>
      <c r="G16" s="91"/>
      <c r="H16" s="127"/>
      <c r="I16" s="91"/>
      <c r="J16" s="138"/>
      <c r="K16" s="138"/>
      <c r="L16" s="138"/>
      <c r="M16" s="138"/>
      <c r="N16" s="138">
        <v>1</v>
      </c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</row>
    <row r="17" spans="1:45" ht="14.4">
      <c r="A17" s="342"/>
      <c r="B17" s="278" t="s">
        <v>241</v>
      </c>
      <c r="C17" s="106">
        <v>4</v>
      </c>
      <c r="D17" s="106">
        <v>2</v>
      </c>
      <c r="E17" s="106">
        <v>2</v>
      </c>
      <c r="F17" s="106">
        <v>6</v>
      </c>
      <c r="G17" s="106">
        <v>1</v>
      </c>
      <c r="H17" s="448">
        <v>6</v>
      </c>
      <c r="I17" s="106">
        <v>2</v>
      </c>
      <c r="J17" s="113">
        <v>5</v>
      </c>
      <c r="K17" s="113">
        <v>2</v>
      </c>
      <c r="L17" s="113">
        <v>4</v>
      </c>
      <c r="M17" s="113">
        <v>2</v>
      </c>
      <c r="N17" s="113">
        <v>4</v>
      </c>
      <c r="O17" s="106">
        <v>2</v>
      </c>
      <c r="P17" s="106">
        <v>4</v>
      </c>
      <c r="Q17" s="106">
        <v>2</v>
      </c>
      <c r="R17" s="106">
        <v>3</v>
      </c>
      <c r="S17" s="106">
        <v>2</v>
      </c>
      <c r="T17" s="106">
        <v>3</v>
      </c>
      <c r="U17" s="106">
        <v>2</v>
      </c>
      <c r="V17" s="106">
        <v>2</v>
      </c>
      <c r="W17" s="106">
        <v>2</v>
      </c>
      <c r="X17" s="106">
        <v>1</v>
      </c>
      <c r="Y17" s="106">
        <v>2</v>
      </c>
      <c r="Z17" s="106">
        <v>2</v>
      </c>
      <c r="AA17" s="106">
        <v>1</v>
      </c>
      <c r="AB17" s="106">
        <v>2</v>
      </c>
      <c r="AC17" s="106">
        <v>4</v>
      </c>
      <c r="AD17" s="106">
        <v>4</v>
      </c>
      <c r="AE17" s="106">
        <f>SUM(AE8:AE16)</f>
        <v>3</v>
      </c>
      <c r="AF17" s="106">
        <v>3</v>
      </c>
      <c r="AG17" s="106">
        <v>3</v>
      </c>
      <c r="AH17" s="106">
        <v>4</v>
      </c>
      <c r="AI17" s="106">
        <v>1</v>
      </c>
      <c r="AJ17" s="106">
        <v>3</v>
      </c>
      <c r="AK17" s="106">
        <v>3</v>
      </c>
      <c r="AL17" s="106">
        <v>2</v>
      </c>
      <c r="AM17" s="106">
        <v>3</v>
      </c>
      <c r="AN17" s="106"/>
      <c r="AO17" s="106">
        <v>2</v>
      </c>
      <c r="AP17" s="106"/>
      <c r="AQ17" s="106"/>
      <c r="AR17" s="106"/>
      <c r="AS17" s="106"/>
    </row>
    <row r="18" spans="1:45" ht="13.2">
      <c r="A18" s="215"/>
      <c r="G18" s="100"/>
      <c r="H18" s="100"/>
      <c r="I18" s="100">
        <v>23</v>
      </c>
      <c r="AN18" s="85">
        <v>5</v>
      </c>
    </row>
    <row r="19" spans="1:45" ht="13.2">
      <c r="A19" s="215"/>
      <c r="B19" s="85"/>
      <c r="AM19" s="114" t="s">
        <v>778</v>
      </c>
      <c r="AN19" s="114">
        <v>20000</v>
      </c>
    </row>
    <row r="20" spans="1:45" ht="13.2">
      <c r="A20" s="215"/>
      <c r="B20" s="499"/>
      <c r="C20" s="498"/>
      <c r="D20" s="85">
        <f>SUM(C17:I17)</f>
        <v>23</v>
      </c>
    </row>
    <row r="21" spans="1:45" ht="13.2">
      <c r="A21" s="215"/>
    </row>
    <row r="22" spans="1:45" ht="13.2">
      <c r="A22" s="215"/>
      <c r="AF22" s="85">
        <v>15</v>
      </c>
    </row>
    <row r="23" spans="1:45" ht="13.2">
      <c r="A23" s="215"/>
    </row>
    <row r="24" spans="1:45" ht="13.2">
      <c r="A24" s="215"/>
    </row>
    <row r="25" spans="1:45" ht="13.2">
      <c r="A25" s="215"/>
    </row>
    <row r="26" spans="1:45" ht="13.2">
      <c r="A26" s="215"/>
    </row>
    <row r="27" spans="1:45" ht="13.2">
      <c r="A27" s="215"/>
    </row>
    <row r="28" spans="1:45" ht="13.2">
      <c r="A28" s="215"/>
    </row>
    <row r="29" spans="1:45" ht="13.2">
      <c r="A29" s="215"/>
    </row>
    <row r="30" spans="1:45" ht="13.2">
      <c r="A30" s="215"/>
    </row>
    <row r="31" spans="1:45" ht="13.2">
      <c r="A31" s="215"/>
    </row>
    <row r="32" spans="1:45" ht="13.2">
      <c r="A32" s="215"/>
    </row>
    <row r="33" spans="1:1" ht="13.2">
      <c r="A33" s="215"/>
    </row>
    <row r="34" spans="1:1" ht="13.2">
      <c r="A34" s="215"/>
    </row>
    <row r="35" spans="1:1" ht="13.2">
      <c r="A35" s="215"/>
    </row>
    <row r="36" spans="1:1" ht="13.2">
      <c r="A36" s="215"/>
    </row>
    <row r="37" spans="1:1" ht="13.2">
      <c r="A37" s="215"/>
    </row>
    <row r="38" spans="1:1" ht="13.2">
      <c r="A38" s="215"/>
    </row>
    <row r="39" spans="1:1" ht="13.2">
      <c r="A39" s="215"/>
    </row>
    <row r="40" spans="1:1" ht="13.2">
      <c r="A40" s="215"/>
    </row>
    <row r="41" spans="1:1" ht="13.2">
      <c r="A41" s="215"/>
    </row>
    <row r="42" spans="1:1" ht="13.2">
      <c r="A42" s="215"/>
    </row>
    <row r="43" spans="1:1" ht="13.2">
      <c r="A43" s="215"/>
    </row>
    <row r="44" spans="1:1" ht="13.2">
      <c r="A44" s="215"/>
    </row>
    <row r="45" spans="1:1" ht="13.2">
      <c r="A45" s="215"/>
    </row>
    <row r="46" spans="1:1" ht="13.2">
      <c r="A46" s="215"/>
    </row>
    <row r="47" spans="1:1" ht="13.2">
      <c r="A47" s="215"/>
    </row>
    <row r="48" spans="1:1" ht="13.2">
      <c r="A48" s="215"/>
    </row>
    <row r="49" spans="1:1" ht="13.2">
      <c r="A49" s="215"/>
    </row>
    <row r="50" spans="1:1" ht="13.2">
      <c r="A50" s="215"/>
    </row>
    <row r="51" spans="1:1" ht="13.2">
      <c r="A51" s="215"/>
    </row>
    <row r="52" spans="1:1" ht="13.2">
      <c r="A52" s="215"/>
    </row>
    <row r="53" spans="1:1" ht="13.2">
      <c r="A53" s="215"/>
    </row>
    <row r="54" spans="1:1" ht="13.2">
      <c r="A54" s="215"/>
    </row>
    <row r="55" spans="1:1" ht="13.2">
      <c r="A55" s="215"/>
    </row>
    <row r="56" spans="1:1" ht="13.2">
      <c r="A56" s="215"/>
    </row>
    <row r="57" spans="1:1" ht="13.2">
      <c r="A57" s="215"/>
    </row>
    <row r="58" spans="1:1" ht="13.2">
      <c r="A58" s="215"/>
    </row>
    <row r="59" spans="1:1" ht="13.2">
      <c r="A59" s="215"/>
    </row>
    <row r="60" spans="1:1" ht="13.2">
      <c r="A60" s="215"/>
    </row>
    <row r="61" spans="1:1" ht="13.2">
      <c r="A61" s="215"/>
    </row>
    <row r="62" spans="1:1" ht="13.2">
      <c r="A62" s="215"/>
    </row>
    <row r="63" spans="1:1" ht="13.2">
      <c r="A63" s="215"/>
    </row>
    <row r="64" spans="1:1" ht="13.2">
      <c r="A64" s="215"/>
    </row>
    <row r="65" spans="1:1" ht="13.2">
      <c r="A65" s="215"/>
    </row>
    <row r="66" spans="1:1" ht="13.2">
      <c r="A66" s="215"/>
    </row>
    <row r="67" spans="1:1" ht="13.2">
      <c r="A67" s="215"/>
    </row>
    <row r="68" spans="1:1" ht="13.2">
      <c r="A68" s="215"/>
    </row>
    <row r="69" spans="1:1" ht="13.2">
      <c r="A69" s="215"/>
    </row>
    <row r="70" spans="1:1" ht="13.2">
      <c r="A70" s="215"/>
    </row>
    <row r="71" spans="1:1" ht="13.2">
      <c r="A71" s="215"/>
    </row>
    <row r="72" spans="1:1" ht="13.2">
      <c r="A72" s="215"/>
    </row>
    <row r="73" spans="1:1" ht="13.2">
      <c r="A73" s="215"/>
    </row>
    <row r="74" spans="1:1" ht="13.2">
      <c r="A74" s="215"/>
    </row>
    <row r="75" spans="1:1" ht="13.2">
      <c r="A75" s="215"/>
    </row>
    <row r="76" spans="1:1" ht="13.2">
      <c r="A76" s="215"/>
    </row>
    <row r="77" spans="1:1" ht="13.2">
      <c r="A77" s="215"/>
    </row>
    <row r="78" spans="1:1" ht="13.2">
      <c r="A78" s="215"/>
    </row>
    <row r="79" spans="1:1" ht="13.2">
      <c r="A79" s="215"/>
    </row>
    <row r="80" spans="1:1" ht="13.2">
      <c r="A80" s="215"/>
    </row>
    <row r="81" spans="1:1" ht="13.2">
      <c r="A81" s="215"/>
    </row>
    <row r="82" spans="1:1" ht="13.2">
      <c r="A82" s="215"/>
    </row>
    <row r="83" spans="1:1" ht="13.2">
      <c r="A83" s="215"/>
    </row>
    <row r="84" spans="1:1" ht="13.2">
      <c r="A84" s="215"/>
    </row>
    <row r="85" spans="1:1" ht="13.2">
      <c r="A85" s="215"/>
    </row>
    <row r="86" spans="1:1" ht="13.2">
      <c r="A86" s="215"/>
    </row>
    <row r="87" spans="1:1" ht="13.2">
      <c r="A87" s="215"/>
    </row>
    <row r="88" spans="1:1" ht="13.2">
      <c r="A88" s="215"/>
    </row>
    <row r="89" spans="1:1" ht="13.2">
      <c r="A89" s="215"/>
    </row>
    <row r="90" spans="1:1" ht="13.2">
      <c r="A90" s="215"/>
    </row>
    <row r="91" spans="1:1" ht="13.2">
      <c r="A91" s="215"/>
    </row>
    <row r="92" spans="1:1" ht="13.2">
      <c r="A92" s="215"/>
    </row>
    <row r="93" spans="1:1" ht="13.2">
      <c r="A93" s="215"/>
    </row>
    <row r="94" spans="1:1" ht="13.2">
      <c r="A94" s="215"/>
    </row>
    <row r="95" spans="1:1" ht="13.2">
      <c r="A95" s="215"/>
    </row>
    <row r="96" spans="1:1" ht="13.2">
      <c r="A96" s="215"/>
    </row>
    <row r="97" spans="1:1" ht="13.2">
      <c r="A97" s="215"/>
    </row>
    <row r="98" spans="1:1" ht="13.2">
      <c r="A98" s="215"/>
    </row>
    <row r="99" spans="1:1" ht="13.2">
      <c r="A99" s="215"/>
    </row>
    <row r="100" spans="1:1" ht="13.2">
      <c r="A100" s="215"/>
    </row>
    <row r="101" spans="1:1" ht="13.2">
      <c r="A101" s="215"/>
    </row>
    <row r="102" spans="1:1" ht="13.2">
      <c r="A102" s="215"/>
    </row>
    <row r="103" spans="1:1" ht="13.2">
      <c r="A103" s="215"/>
    </row>
    <row r="104" spans="1:1" ht="13.2">
      <c r="A104" s="215"/>
    </row>
    <row r="105" spans="1:1" ht="13.2">
      <c r="A105" s="215"/>
    </row>
    <row r="106" spans="1:1" ht="13.2">
      <c r="A106" s="215"/>
    </row>
    <row r="107" spans="1:1" ht="13.2">
      <c r="A107" s="215"/>
    </row>
    <row r="108" spans="1:1" ht="13.2">
      <c r="A108" s="215"/>
    </row>
    <row r="109" spans="1:1" ht="13.2">
      <c r="A109" s="215"/>
    </row>
    <row r="110" spans="1:1" ht="13.2">
      <c r="A110" s="215"/>
    </row>
    <row r="111" spans="1:1" ht="13.2">
      <c r="A111" s="215"/>
    </row>
    <row r="112" spans="1:1" ht="13.2">
      <c r="A112" s="215"/>
    </row>
    <row r="113" spans="1:1" ht="13.2">
      <c r="A113" s="215"/>
    </row>
    <row r="114" spans="1:1" ht="13.2">
      <c r="A114" s="215"/>
    </row>
    <row r="115" spans="1:1" ht="13.2">
      <c r="A115" s="215"/>
    </row>
    <row r="116" spans="1:1" ht="13.2">
      <c r="A116" s="215"/>
    </row>
    <row r="117" spans="1:1" ht="13.2">
      <c r="A117" s="215"/>
    </row>
    <row r="118" spans="1:1" ht="13.2">
      <c r="A118" s="215"/>
    </row>
    <row r="119" spans="1:1" ht="13.2">
      <c r="A119" s="215"/>
    </row>
    <row r="120" spans="1:1" ht="13.2">
      <c r="A120" s="215"/>
    </row>
    <row r="121" spans="1:1" ht="13.2">
      <c r="A121" s="215"/>
    </row>
    <row r="122" spans="1:1" ht="13.2">
      <c r="A122" s="215"/>
    </row>
    <row r="123" spans="1:1" ht="13.2">
      <c r="A123" s="215"/>
    </row>
    <row r="124" spans="1:1" ht="13.2">
      <c r="A124" s="215"/>
    </row>
    <row r="125" spans="1:1" ht="13.2">
      <c r="A125" s="215"/>
    </row>
    <row r="126" spans="1:1" ht="13.2">
      <c r="A126" s="215"/>
    </row>
    <row r="127" spans="1:1" ht="13.2">
      <c r="A127" s="215"/>
    </row>
    <row r="128" spans="1:1" ht="13.2">
      <c r="A128" s="215"/>
    </row>
    <row r="129" spans="1:1" ht="13.2">
      <c r="A129" s="215"/>
    </row>
    <row r="130" spans="1:1" ht="13.2">
      <c r="A130" s="215"/>
    </row>
    <row r="131" spans="1:1" ht="13.2">
      <c r="A131" s="215"/>
    </row>
    <row r="132" spans="1:1" ht="13.2">
      <c r="A132" s="215"/>
    </row>
    <row r="133" spans="1:1" ht="13.2">
      <c r="A133" s="215"/>
    </row>
    <row r="134" spans="1:1" ht="13.2">
      <c r="A134" s="215"/>
    </row>
    <row r="135" spans="1:1" ht="13.2">
      <c r="A135" s="215"/>
    </row>
    <row r="136" spans="1:1" ht="13.2">
      <c r="A136" s="215"/>
    </row>
    <row r="137" spans="1:1" ht="13.2">
      <c r="A137" s="215"/>
    </row>
    <row r="138" spans="1:1" ht="13.2">
      <c r="A138" s="215"/>
    </row>
    <row r="139" spans="1:1" ht="13.2">
      <c r="A139" s="215"/>
    </row>
    <row r="140" spans="1:1" ht="13.2">
      <c r="A140" s="215"/>
    </row>
    <row r="141" spans="1:1" ht="13.2">
      <c r="A141" s="215"/>
    </row>
    <row r="142" spans="1:1" ht="13.2">
      <c r="A142" s="215"/>
    </row>
    <row r="143" spans="1:1" ht="13.2">
      <c r="A143" s="215"/>
    </row>
    <row r="144" spans="1:1" ht="13.2">
      <c r="A144" s="215"/>
    </row>
    <row r="145" spans="1:1" ht="13.2">
      <c r="A145" s="215"/>
    </row>
    <row r="146" spans="1:1" ht="13.2">
      <c r="A146" s="215"/>
    </row>
    <row r="147" spans="1:1" ht="13.2">
      <c r="A147" s="215"/>
    </row>
    <row r="148" spans="1:1" ht="13.2">
      <c r="A148" s="215"/>
    </row>
    <row r="149" spans="1:1" ht="13.2">
      <c r="A149" s="215"/>
    </row>
    <row r="150" spans="1:1" ht="13.2">
      <c r="A150" s="215"/>
    </row>
    <row r="151" spans="1:1" ht="13.2">
      <c r="A151" s="215"/>
    </row>
    <row r="152" spans="1:1" ht="13.2">
      <c r="A152" s="215"/>
    </row>
    <row r="153" spans="1:1" ht="13.2">
      <c r="A153" s="215"/>
    </row>
    <row r="154" spans="1:1" ht="13.2">
      <c r="A154" s="215"/>
    </row>
    <row r="155" spans="1:1" ht="13.2">
      <c r="A155" s="215"/>
    </row>
    <row r="156" spans="1:1" ht="13.2">
      <c r="A156" s="215"/>
    </row>
    <row r="157" spans="1:1" ht="13.2">
      <c r="A157" s="215"/>
    </row>
    <row r="158" spans="1:1" ht="13.2">
      <c r="A158" s="215"/>
    </row>
    <row r="159" spans="1:1" ht="13.2">
      <c r="A159" s="215"/>
    </row>
    <row r="160" spans="1:1" ht="13.2">
      <c r="A160" s="215"/>
    </row>
    <row r="161" spans="1:1" ht="13.2">
      <c r="A161" s="215"/>
    </row>
    <row r="162" spans="1:1" ht="13.2">
      <c r="A162" s="215"/>
    </row>
    <row r="163" spans="1:1" ht="13.2">
      <c r="A163" s="215"/>
    </row>
    <row r="164" spans="1:1" ht="13.2">
      <c r="A164" s="215"/>
    </row>
    <row r="165" spans="1:1" ht="13.2">
      <c r="A165" s="215"/>
    </row>
    <row r="166" spans="1:1" ht="13.2">
      <c r="A166" s="215"/>
    </row>
    <row r="167" spans="1:1" ht="13.2">
      <c r="A167" s="215"/>
    </row>
    <row r="168" spans="1:1" ht="13.2">
      <c r="A168" s="215"/>
    </row>
    <row r="169" spans="1:1" ht="13.2">
      <c r="A169" s="215"/>
    </row>
    <row r="170" spans="1:1" ht="13.2">
      <c r="A170" s="215"/>
    </row>
    <row r="171" spans="1:1" ht="13.2">
      <c r="A171" s="215"/>
    </row>
    <row r="172" spans="1:1" ht="13.2">
      <c r="A172" s="215"/>
    </row>
    <row r="173" spans="1:1" ht="13.2">
      <c r="A173" s="215"/>
    </row>
    <row r="174" spans="1:1" ht="13.2">
      <c r="A174" s="215"/>
    </row>
    <row r="175" spans="1:1" ht="13.2">
      <c r="A175" s="215"/>
    </row>
    <row r="176" spans="1:1" ht="13.2">
      <c r="A176" s="215"/>
    </row>
    <row r="177" spans="1:1" ht="13.2">
      <c r="A177" s="215"/>
    </row>
    <row r="178" spans="1:1" ht="13.2">
      <c r="A178" s="215"/>
    </row>
    <row r="179" spans="1:1" ht="13.2">
      <c r="A179" s="215"/>
    </row>
    <row r="180" spans="1:1" ht="13.2">
      <c r="A180" s="215"/>
    </row>
    <row r="181" spans="1:1" ht="13.2">
      <c r="A181" s="215"/>
    </row>
    <row r="182" spans="1:1" ht="13.2">
      <c r="A182" s="215"/>
    </row>
    <row r="183" spans="1:1" ht="13.2">
      <c r="A183" s="215"/>
    </row>
    <row r="184" spans="1:1" ht="13.2">
      <c r="A184" s="215"/>
    </row>
    <row r="185" spans="1:1" ht="13.2">
      <c r="A185" s="215"/>
    </row>
    <row r="186" spans="1:1" ht="13.2">
      <c r="A186" s="215"/>
    </row>
    <row r="187" spans="1:1" ht="13.2">
      <c r="A187" s="215"/>
    </row>
    <row r="188" spans="1:1" ht="13.2">
      <c r="A188" s="215"/>
    </row>
    <row r="189" spans="1:1" ht="13.2">
      <c r="A189" s="215"/>
    </row>
    <row r="190" spans="1:1" ht="13.2">
      <c r="A190" s="215"/>
    </row>
    <row r="191" spans="1:1" ht="13.2">
      <c r="A191" s="215"/>
    </row>
    <row r="192" spans="1:1" ht="13.2">
      <c r="A192" s="215"/>
    </row>
    <row r="193" spans="1:1" ht="13.2">
      <c r="A193" s="215"/>
    </row>
    <row r="194" spans="1:1" ht="13.2">
      <c r="A194" s="215"/>
    </row>
    <row r="195" spans="1:1" ht="13.2">
      <c r="A195" s="215"/>
    </row>
    <row r="196" spans="1:1" ht="13.2">
      <c r="A196" s="215"/>
    </row>
    <row r="197" spans="1:1" ht="13.2">
      <c r="A197" s="215"/>
    </row>
    <row r="198" spans="1:1" ht="13.2">
      <c r="A198" s="215"/>
    </row>
    <row r="199" spans="1:1" ht="13.2">
      <c r="A199" s="215"/>
    </row>
    <row r="200" spans="1:1" ht="13.2">
      <c r="A200" s="215"/>
    </row>
    <row r="201" spans="1:1" ht="13.2">
      <c r="A201" s="215"/>
    </row>
    <row r="202" spans="1:1" ht="13.2">
      <c r="A202" s="215"/>
    </row>
    <row r="203" spans="1:1" ht="13.2">
      <c r="A203" s="215"/>
    </row>
    <row r="204" spans="1:1" ht="13.2">
      <c r="A204" s="215"/>
    </row>
    <row r="205" spans="1:1" ht="13.2">
      <c r="A205" s="215"/>
    </row>
    <row r="206" spans="1:1" ht="13.2">
      <c r="A206" s="215"/>
    </row>
    <row r="207" spans="1:1" ht="13.2">
      <c r="A207" s="215"/>
    </row>
    <row r="208" spans="1:1" ht="13.2">
      <c r="A208" s="215"/>
    </row>
    <row r="209" spans="1:1" ht="13.2">
      <c r="A209" s="215"/>
    </row>
    <row r="210" spans="1:1" ht="13.2">
      <c r="A210" s="215"/>
    </row>
    <row r="211" spans="1:1" ht="13.2">
      <c r="A211" s="215"/>
    </row>
    <row r="212" spans="1:1" ht="13.2">
      <c r="A212" s="215"/>
    </row>
    <row r="213" spans="1:1" ht="13.2">
      <c r="A213" s="215"/>
    </row>
    <row r="214" spans="1:1" ht="13.2">
      <c r="A214" s="215"/>
    </row>
    <row r="215" spans="1:1" ht="13.2">
      <c r="A215" s="215"/>
    </row>
    <row r="216" spans="1:1" ht="13.2">
      <c r="A216" s="215"/>
    </row>
    <row r="217" spans="1:1" ht="13.2">
      <c r="A217" s="215"/>
    </row>
    <row r="218" spans="1:1" ht="13.2">
      <c r="A218" s="215"/>
    </row>
    <row r="219" spans="1:1" ht="13.2">
      <c r="A219" s="215"/>
    </row>
    <row r="220" spans="1:1" ht="13.2">
      <c r="A220" s="215"/>
    </row>
    <row r="221" spans="1:1" ht="13.2">
      <c r="A221" s="215"/>
    </row>
    <row r="222" spans="1:1" ht="13.2">
      <c r="A222" s="215"/>
    </row>
    <row r="223" spans="1:1" ht="13.2">
      <c r="A223" s="215"/>
    </row>
    <row r="224" spans="1:1" ht="13.2">
      <c r="A224" s="215"/>
    </row>
    <row r="225" spans="1:1" ht="13.2">
      <c r="A225" s="215"/>
    </row>
    <row r="226" spans="1:1" ht="13.2">
      <c r="A226" s="215"/>
    </row>
    <row r="227" spans="1:1" ht="13.2">
      <c r="A227" s="215"/>
    </row>
    <row r="228" spans="1:1" ht="13.2">
      <c r="A228" s="215"/>
    </row>
    <row r="229" spans="1:1" ht="13.2">
      <c r="A229" s="215"/>
    </row>
    <row r="230" spans="1:1" ht="13.2">
      <c r="A230" s="215"/>
    </row>
    <row r="231" spans="1:1" ht="13.2">
      <c r="A231" s="215"/>
    </row>
    <row r="232" spans="1:1" ht="13.2">
      <c r="A232" s="215"/>
    </row>
    <row r="233" spans="1:1" ht="13.2">
      <c r="A233" s="215"/>
    </row>
    <row r="234" spans="1:1" ht="13.2">
      <c r="A234" s="215"/>
    </row>
    <row r="235" spans="1:1" ht="13.2">
      <c r="A235" s="215"/>
    </row>
    <row r="236" spans="1:1" ht="13.2">
      <c r="A236" s="215"/>
    </row>
    <row r="237" spans="1:1" ht="13.2">
      <c r="A237" s="215"/>
    </row>
    <row r="238" spans="1:1" ht="13.2">
      <c r="A238" s="215"/>
    </row>
    <row r="239" spans="1:1" ht="13.2">
      <c r="A239" s="215"/>
    </row>
    <row r="240" spans="1:1" ht="13.2">
      <c r="A240" s="215"/>
    </row>
    <row r="241" spans="1:1" ht="13.2">
      <c r="A241" s="215"/>
    </row>
    <row r="242" spans="1:1" ht="13.2">
      <c r="A242" s="215"/>
    </row>
    <row r="243" spans="1:1" ht="13.2">
      <c r="A243" s="215"/>
    </row>
    <row r="244" spans="1:1" ht="13.2">
      <c r="A244" s="215"/>
    </row>
    <row r="245" spans="1:1" ht="13.2">
      <c r="A245" s="215"/>
    </row>
    <row r="246" spans="1:1" ht="13.2">
      <c r="A246" s="215"/>
    </row>
    <row r="247" spans="1:1" ht="13.2">
      <c r="A247" s="215"/>
    </row>
    <row r="248" spans="1:1" ht="13.2">
      <c r="A248" s="215"/>
    </row>
    <row r="249" spans="1:1" ht="13.2">
      <c r="A249" s="215"/>
    </row>
    <row r="250" spans="1:1" ht="13.2">
      <c r="A250" s="215"/>
    </row>
    <row r="251" spans="1:1" ht="13.2">
      <c r="A251" s="215"/>
    </row>
    <row r="252" spans="1:1" ht="13.2">
      <c r="A252" s="215"/>
    </row>
    <row r="253" spans="1:1" ht="13.2">
      <c r="A253" s="215"/>
    </row>
    <row r="254" spans="1:1" ht="13.2">
      <c r="A254" s="215"/>
    </row>
    <row r="255" spans="1:1" ht="13.2">
      <c r="A255" s="215"/>
    </row>
    <row r="256" spans="1:1" ht="13.2">
      <c r="A256" s="215"/>
    </row>
    <row r="257" spans="1:1" ht="13.2">
      <c r="A257" s="215"/>
    </row>
    <row r="258" spans="1:1" ht="13.2">
      <c r="A258" s="215"/>
    </row>
    <row r="259" spans="1:1" ht="13.2">
      <c r="A259" s="215"/>
    </row>
    <row r="260" spans="1:1" ht="13.2">
      <c r="A260" s="215"/>
    </row>
    <row r="261" spans="1:1" ht="13.2">
      <c r="A261" s="215"/>
    </row>
    <row r="262" spans="1:1" ht="13.2">
      <c r="A262" s="215"/>
    </row>
    <row r="263" spans="1:1" ht="13.2">
      <c r="A263" s="215"/>
    </row>
    <row r="264" spans="1:1" ht="13.2">
      <c r="A264" s="215"/>
    </row>
    <row r="265" spans="1:1" ht="13.2">
      <c r="A265" s="215"/>
    </row>
    <row r="266" spans="1:1" ht="13.2">
      <c r="A266" s="215"/>
    </row>
    <row r="267" spans="1:1" ht="13.2">
      <c r="A267" s="215"/>
    </row>
    <row r="268" spans="1:1" ht="13.2">
      <c r="A268" s="215"/>
    </row>
    <row r="269" spans="1:1" ht="13.2">
      <c r="A269" s="215"/>
    </row>
    <row r="270" spans="1:1" ht="13.2">
      <c r="A270" s="215"/>
    </row>
    <row r="271" spans="1:1" ht="13.2">
      <c r="A271" s="215"/>
    </row>
    <row r="272" spans="1:1" ht="13.2">
      <c r="A272" s="215"/>
    </row>
    <row r="273" spans="1:1" ht="13.2">
      <c r="A273" s="215"/>
    </row>
    <row r="274" spans="1:1" ht="13.2">
      <c r="A274" s="215"/>
    </row>
    <row r="275" spans="1:1" ht="13.2">
      <c r="A275" s="215"/>
    </row>
    <row r="276" spans="1:1" ht="13.2">
      <c r="A276" s="215"/>
    </row>
    <row r="277" spans="1:1" ht="13.2">
      <c r="A277" s="215"/>
    </row>
    <row r="278" spans="1:1" ht="13.2">
      <c r="A278" s="215"/>
    </row>
    <row r="279" spans="1:1" ht="13.2">
      <c r="A279" s="215"/>
    </row>
    <row r="280" spans="1:1" ht="13.2">
      <c r="A280" s="215"/>
    </row>
    <row r="281" spans="1:1" ht="13.2">
      <c r="A281" s="215"/>
    </row>
    <row r="282" spans="1:1" ht="13.2">
      <c r="A282" s="215"/>
    </row>
    <row r="283" spans="1:1" ht="13.2">
      <c r="A283" s="215"/>
    </row>
    <row r="284" spans="1:1" ht="13.2">
      <c r="A284" s="215"/>
    </row>
    <row r="285" spans="1:1" ht="13.2">
      <c r="A285" s="215"/>
    </row>
    <row r="286" spans="1:1" ht="13.2">
      <c r="A286" s="215"/>
    </row>
    <row r="287" spans="1:1" ht="13.2">
      <c r="A287" s="215"/>
    </row>
    <row r="288" spans="1:1" ht="13.2">
      <c r="A288" s="215"/>
    </row>
    <row r="289" spans="1:1" ht="13.2">
      <c r="A289" s="215"/>
    </row>
    <row r="290" spans="1:1" ht="13.2">
      <c r="A290" s="215"/>
    </row>
    <row r="291" spans="1:1" ht="13.2">
      <c r="A291" s="215"/>
    </row>
    <row r="292" spans="1:1" ht="13.2">
      <c r="A292" s="215"/>
    </row>
    <row r="293" spans="1:1" ht="13.2">
      <c r="A293" s="215"/>
    </row>
    <row r="294" spans="1:1" ht="13.2">
      <c r="A294" s="215"/>
    </row>
    <row r="295" spans="1:1" ht="13.2">
      <c r="A295" s="215"/>
    </row>
    <row r="296" spans="1:1" ht="13.2">
      <c r="A296" s="215"/>
    </row>
    <row r="297" spans="1:1" ht="13.2">
      <c r="A297" s="215"/>
    </row>
    <row r="298" spans="1:1" ht="13.2">
      <c r="A298" s="215"/>
    </row>
    <row r="299" spans="1:1" ht="13.2">
      <c r="A299" s="215"/>
    </row>
    <row r="300" spans="1:1" ht="13.2">
      <c r="A300" s="215"/>
    </row>
    <row r="301" spans="1:1" ht="13.2">
      <c r="A301" s="215"/>
    </row>
    <row r="302" spans="1:1" ht="13.2">
      <c r="A302" s="215"/>
    </row>
    <row r="303" spans="1:1" ht="13.2">
      <c r="A303" s="215"/>
    </row>
    <row r="304" spans="1:1" ht="13.2">
      <c r="A304" s="215"/>
    </row>
    <row r="305" spans="1:1" ht="13.2">
      <c r="A305" s="215"/>
    </row>
    <row r="306" spans="1:1" ht="13.2">
      <c r="A306" s="215"/>
    </row>
    <row r="307" spans="1:1" ht="13.2">
      <c r="A307" s="215"/>
    </row>
    <row r="308" spans="1:1" ht="13.2">
      <c r="A308" s="215"/>
    </row>
    <row r="309" spans="1:1" ht="13.2">
      <c r="A309" s="215"/>
    </row>
    <row r="310" spans="1:1" ht="13.2">
      <c r="A310" s="215"/>
    </row>
    <row r="311" spans="1:1" ht="13.2">
      <c r="A311" s="215"/>
    </row>
    <row r="312" spans="1:1" ht="13.2">
      <c r="A312" s="215"/>
    </row>
    <row r="313" spans="1:1" ht="13.2">
      <c r="A313" s="215"/>
    </row>
    <row r="314" spans="1:1" ht="13.2">
      <c r="A314" s="215"/>
    </row>
    <row r="315" spans="1:1" ht="13.2">
      <c r="A315" s="215"/>
    </row>
    <row r="316" spans="1:1" ht="13.2">
      <c r="A316" s="215"/>
    </row>
    <row r="317" spans="1:1" ht="13.2">
      <c r="A317" s="215"/>
    </row>
    <row r="318" spans="1:1" ht="13.2">
      <c r="A318" s="215"/>
    </row>
    <row r="319" spans="1:1" ht="13.2">
      <c r="A319" s="215"/>
    </row>
    <row r="320" spans="1:1" ht="13.2">
      <c r="A320" s="215"/>
    </row>
    <row r="321" spans="1:1" ht="13.2">
      <c r="A321" s="215"/>
    </row>
    <row r="322" spans="1:1" ht="13.2">
      <c r="A322" s="215"/>
    </row>
    <row r="323" spans="1:1" ht="13.2">
      <c r="A323" s="215"/>
    </row>
    <row r="324" spans="1:1" ht="13.2">
      <c r="A324" s="215"/>
    </row>
    <row r="325" spans="1:1" ht="13.2">
      <c r="A325" s="215"/>
    </row>
    <row r="326" spans="1:1" ht="13.2">
      <c r="A326" s="215"/>
    </row>
    <row r="327" spans="1:1" ht="13.2">
      <c r="A327" s="215"/>
    </row>
    <row r="328" spans="1:1" ht="13.2">
      <c r="A328" s="215"/>
    </row>
    <row r="329" spans="1:1" ht="13.2">
      <c r="A329" s="215"/>
    </row>
    <row r="330" spans="1:1" ht="13.2">
      <c r="A330" s="215"/>
    </row>
    <row r="331" spans="1:1" ht="13.2">
      <c r="A331" s="215"/>
    </row>
    <row r="332" spans="1:1" ht="13.2">
      <c r="A332" s="215"/>
    </row>
    <row r="333" spans="1:1" ht="13.2">
      <c r="A333" s="215"/>
    </row>
    <row r="334" spans="1:1" ht="13.2">
      <c r="A334" s="215"/>
    </row>
    <row r="335" spans="1:1" ht="13.2">
      <c r="A335" s="215"/>
    </row>
    <row r="336" spans="1:1" ht="13.2">
      <c r="A336" s="215"/>
    </row>
    <row r="337" spans="1:1" ht="13.2">
      <c r="A337" s="215"/>
    </row>
    <row r="338" spans="1:1" ht="13.2">
      <c r="A338" s="215"/>
    </row>
    <row r="339" spans="1:1" ht="13.2">
      <c r="A339" s="215"/>
    </row>
    <row r="340" spans="1:1" ht="13.2">
      <c r="A340" s="215"/>
    </row>
    <row r="341" spans="1:1" ht="13.2">
      <c r="A341" s="215"/>
    </row>
    <row r="342" spans="1:1" ht="13.2">
      <c r="A342" s="215"/>
    </row>
    <row r="343" spans="1:1" ht="13.2">
      <c r="A343" s="215"/>
    </row>
    <row r="344" spans="1:1" ht="13.2">
      <c r="A344" s="215"/>
    </row>
    <row r="345" spans="1:1" ht="13.2">
      <c r="A345" s="215"/>
    </row>
    <row r="346" spans="1:1" ht="13.2">
      <c r="A346" s="215"/>
    </row>
    <row r="347" spans="1:1" ht="13.2">
      <c r="A347" s="215"/>
    </row>
    <row r="348" spans="1:1" ht="13.2">
      <c r="A348" s="215"/>
    </row>
    <row r="349" spans="1:1" ht="13.2">
      <c r="A349" s="215"/>
    </row>
    <row r="350" spans="1:1" ht="13.2">
      <c r="A350" s="215"/>
    </row>
    <row r="351" spans="1:1" ht="13.2">
      <c r="A351" s="215"/>
    </row>
    <row r="352" spans="1:1" ht="13.2">
      <c r="A352" s="215"/>
    </row>
    <row r="353" spans="1:1" ht="13.2">
      <c r="A353" s="215"/>
    </row>
    <row r="354" spans="1:1" ht="13.2">
      <c r="A354" s="215"/>
    </row>
    <row r="355" spans="1:1" ht="13.2">
      <c r="A355" s="215"/>
    </row>
    <row r="356" spans="1:1" ht="13.2">
      <c r="A356" s="215"/>
    </row>
    <row r="357" spans="1:1" ht="13.2">
      <c r="A357" s="215"/>
    </row>
    <row r="358" spans="1:1" ht="13.2">
      <c r="A358" s="215"/>
    </row>
    <row r="359" spans="1:1" ht="13.2">
      <c r="A359" s="215"/>
    </row>
    <row r="360" spans="1:1" ht="13.2">
      <c r="A360" s="215"/>
    </row>
    <row r="361" spans="1:1" ht="13.2">
      <c r="A361" s="215"/>
    </row>
    <row r="362" spans="1:1" ht="13.2">
      <c r="A362" s="215"/>
    </row>
    <row r="363" spans="1:1" ht="13.2">
      <c r="A363" s="215"/>
    </row>
    <row r="364" spans="1:1" ht="13.2">
      <c r="A364" s="215"/>
    </row>
    <row r="365" spans="1:1" ht="13.2">
      <c r="A365" s="215"/>
    </row>
    <row r="366" spans="1:1" ht="13.2">
      <c r="A366" s="215"/>
    </row>
    <row r="367" spans="1:1" ht="13.2">
      <c r="A367" s="215"/>
    </row>
    <row r="368" spans="1:1" ht="13.2">
      <c r="A368" s="215"/>
    </row>
    <row r="369" spans="1:1" ht="13.2">
      <c r="A369" s="215"/>
    </row>
    <row r="370" spans="1:1" ht="13.2">
      <c r="A370" s="215"/>
    </row>
    <row r="371" spans="1:1" ht="13.2">
      <c r="A371" s="215"/>
    </row>
    <row r="372" spans="1:1" ht="13.2">
      <c r="A372" s="215"/>
    </row>
    <row r="373" spans="1:1" ht="13.2">
      <c r="A373" s="215"/>
    </row>
    <row r="374" spans="1:1" ht="13.2">
      <c r="A374" s="215"/>
    </row>
    <row r="375" spans="1:1" ht="13.2">
      <c r="A375" s="215"/>
    </row>
    <row r="376" spans="1:1" ht="13.2">
      <c r="A376" s="215"/>
    </row>
    <row r="377" spans="1:1" ht="13.2">
      <c r="A377" s="215"/>
    </row>
    <row r="378" spans="1:1" ht="13.2">
      <c r="A378" s="215"/>
    </row>
    <row r="379" spans="1:1" ht="13.2">
      <c r="A379" s="215"/>
    </row>
    <row r="380" spans="1:1" ht="13.2">
      <c r="A380" s="215"/>
    </row>
    <row r="381" spans="1:1" ht="13.2">
      <c r="A381" s="215"/>
    </row>
    <row r="382" spans="1:1" ht="13.2">
      <c r="A382" s="215"/>
    </row>
    <row r="383" spans="1:1" ht="13.2">
      <c r="A383" s="215"/>
    </row>
    <row r="384" spans="1:1" ht="13.2">
      <c r="A384" s="215"/>
    </row>
    <row r="385" spans="1:1" ht="13.2">
      <c r="A385" s="215"/>
    </row>
    <row r="386" spans="1:1" ht="13.2">
      <c r="A386" s="215"/>
    </row>
    <row r="387" spans="1:1" ht="13.2">
      <c r="A387" s="215"/>
    </row>
    <row r="388" spans="1:1" ht="13.2">
      <c r="A388" s="215"/>
    </row>
    <row r="389" spans="1:1" ht="13.2">
      <c r="A389" s="215"/>
    </row>
    <row r="390" spans="1:1" ht="13.2">
      <c r="A390" s="215"/>
    </row>
    <row r="391" spans="1:1" ht="13.2">
      <c r="A391" s="215"/>
    </row>
    <row r="392" spans="1:1" ht="13.2">
      <c r="A392" s="215"/>
    </row>
    <row r="393" spans="1:1" ht="13.2">
      <c r="A393" s="215"/>
    </row>
    <row r="394" spans="1:1" ht="13.2">
      <c r="A394" s="215"/>
    </row>
    <row r="395" spans="1:1" ht="13.2">
      <c r="A395" s="215"/>
    </row>
    <row r="396" spans="1:1" ht="13.2">
      <c r="A396" s="215"/>
    </row>
    <row r="397" spans="1:1" ht="13.2">
      <c r="A397" s="215"/>
    </row>
    <row r="398" spans="1:1" ht="13.2">
      <c r="A398" s="215"/>
    </row>
    <row r="399" spans="1:1" ht="13.2">
      <c r="A399" s="215"/>
    </row>
    <row r="400" spans="1:1" ht="13.2">
      <c r="A400" s="215"/>
    </row>
    <row r="401" spans="1:1" ht="13.2">
      <c r="A401" s="215"/>
    </row>
    <row r="402" spans="1:1" ht="13.2">
      <c r="A402" s="215"/>
    </row>
    <row r="403" spans="1:1" ht="13.2">
      <c r="A403" s="215"/>
    </row>
    <row r="404" spans="1:1" ht="13.2">
      <c r="A404" s="215"/>
    </row>
    <row r="405" spans="1:1" ht="13.2">
      <c r="A405" s="215"/>
    </row>
    <row r="406" spans="1:1" ht="13.2">
      <c r="A406" s="215"/>
    </row>
    <row r="407" spans="1:1" ht="13.2">
      <c r="A407" s="215"/>
    </row>
    <row r="408" spans="1:1" ht="13.2">
      <c r="A408" s="215"/>
    </row>
    <row r="409" spans="1:1" ht="13.2">
      <c r="A409" s="215"/>
    </row>
    <row r="410" spans="1:1" ht="13.2">
      <c r="A410" s="215"/>
    </row>
    <row r="411" spans="1:1" ht="13.2">
      <c r="A411" s="215"/>
    </row>
    <row r="412" spans="1:1" ht="13.2">
      <c r="A412" s="215"/>
    </row>
    <row r="413" spans="1:1" ht="13.2">
      <c r="A413" s="215"/>
    </row>
    <row r="414" spans="1:1" ht="13.2">
      <c r="A414" s="215"/>
    </row>
    <row r="415" spans="1:1" ht="13.2">
      <c r="A415" s="215"/>
    </row>
    <row r="416" spans="1:1" ht="13.2">
      <c r="A416" s="215"/>
    </row>
    <row r="417" spans="1:1" ht="13.2">
      <c r="A417" s="215"/>
    </row>
    <row r="418" spans="1:1" ht="13.2">
      <c r="A418" s="215"/>
    </row>
    <row r="419" spans="1:1" ht="13.2">
      <c r="A419" s="215"/>
    </row>
    <row r="420" spans="1:1" ht="13.2">
      <c r="A420" s="215"/>
    </row>
    <row r="421" spans="1:1" ht="13.2">
      <c r="A421" s="215"/>
    </row>
    <row r="422" spans="1:1" ht="13.2">
      <c r="A422" s="215"/>
    </row>
    <row r="423" spans="1:1" ht="13.2">
      <c r="A423" s="215"/>
    </row>
    <row r="424" spans="1:1" ht="13.2">
      <c r="A424" s="215"/>
    </row>
    <row r="425" spans="1:1" ht="13.2">
      <c r="A425" s="215"/>
    </row>
    <row r="426" spans="1:1" ht="13.2">
      <c r="A426" s="215"/>
    </row>
    <row r="427" spans="1:1" ht="13.2">
      <c r="A427" s="215"/>
    </row>
    <row r="428" spans="1:1" ht="13.2">
      <c r="A428" s="215"/>
    </row>
    <row r="429" spans="1:1" ht="13.2">
      <c r="A429" s="215"/>
    </row>
    <row r="430" spans="1:1" ht="13.2">
      <c r="A430" s="215"/>
    </row>
    <row r="431" spans="1:1" ht="13.2">
      <c r="A431" s="215"/>
    </row>
    <row r="432" spans="1:1" ht="13.2">
      <c r="A432" s="215"/>
    </row>
    <row r="433" spans="1:1" ht="13.2">
      <c r="A433" s="215"/>
    </row>
    <row r="434" spans="1:1" ht="13.2">
      <c r="A434" s="215"/>
    </row>
    <row r="435" spans="1:1" ht="13.2">
      <c r="A435" s="215"/>
    </row>
    <row r="436" spans="1:1" ht="13.2">
      <c r="A436" s="215"/>
    </row>
    <row r="437" spans="1:1" ht="13.2">
      <c r="A437" s="215"/>
    </row>
    <row r="438" spans="1:1" ht="13.2">
      <c r="A438" s="215"/>
    </row>
    <row r="439" spans="1:1" ht="13.2">
      <c r="A439" s="215"/>
    </row>
    <row r="440" spans="1:1" ht="13.2">
      <c r="A440" s="215"/>
    </row>
    <row r="441" spans="1:1" ht="13.2">
      <c r="A441" s="215"/>
    </row>
    <row r="442" spans="1:1" ht="13.2">
      <c r="A442" s="215"/>
    </row>
    <row r="443" spans="1:1" ht="13.2">
      <c r="A443" s="215"/>
    </row>
    <row r="444" spans="1:1" ht="13.2">
      <c r="A444" s="215"/>
    </row>
    <row r="445" spans="1:1" ht="13.2">
      <c r="A445" s="215"/>
    </row>
    <row r="446" spans="1:1" ht="13.2">
      <c r="A446" s="215"/>
    </row>
    <row r="447" spans="1:1" ht="13.2">
      <c r="A447" s="215"/>
    </row>
    <row r="448" spans="1:1" ht="13.2">
      <c r="A448" s="215"/>
    </row>
    <row r="449" spans="1:1" ht="13.2">
      <c r="A449" s="215"/>
    </row>
    <row r="450" spans="1:1" ht="13.2">
      <c r="A450" s="215"/>
    </row>
    <row r="451" spans="1:1" ht="13.2">
      <c r="A451" s="215"/>
    </row>
    <row r="452" spans="1:1" ht="13.2">
      <c r="A452" s="215"/>
    </row>
    <row r="453" spans="1:1" ht="13.2">
      <c r="A453" s="215"/>
    </row>
    <row r="454" spans="1:1" ht="13.2">
      <c r="A454" s="215"/>
    </row>
    <row r="455" spans="1:1" ht="13.2">
      <c r="A455" s="215"/>
    </row>
    <row r="456" spans="1:1" ht="13.2">
      <c r="A456" s="215"/>
    </row>
    <row r="457" spans="1:1" ht="13.2">
      <c r="A457" s="215"/>
    </row>
    <row r="458" spans="1:1" ht="13.2">
      <c r="A458" s="215"/>
    </row>
    <row r="459" spans="1:1" ht="13.2">
      <c r="A459" s="215"/>
    </row>
    <row r="460" spans="1:1" ht="13.2">
      <c r="A460" s="215"/>
    </row>
    <row r="461" spans="1:1" ht="13.2">
      <c r="A461" s="215"/>
    </row>
    <row r="462" spans="1:1" ht="13.2">
      <c r="A462" s="215"/>
    </row>
    <row r="463" spans="1:1" ht="13.2">
      <c r="A463" s="215"/>
    </row>
    <row r="464" spans="1:1" ht="13.2">
      <c r="A464" s="215"/>
    </row>
    <row r="465" spans="1:1" ht="13.2">
      <c r="A465" s="215"/>
    </row>
    <row r="466" spans="1:1" ht="13.2">
      <c r="A466" s="215"/>
    </row>
    <row r="467" spans="1:1" ht="13.2">
      <c r="A467" s="215"/>
    </row>
    <row r="468" spans="1:1" ht="13.2">
      <c r="A468" s="215"/>
    </row>
    <row r="469" spans="1:1" ht="13.2">
      <c r="A469" s="215"/>
    </row>
    <row r="470" spans="1:1" ht="13.2">
      <c r="A470" s="215"/>
    </row>
    <row r="471" spans="1:1" ht="13.2">
      <c r="A471" s="215"/>
    </row>
    <row r="472" spans="1:1" ht="13.2">
      <c r="A472" s="215"/>
    </row>
    <row r="473" spans="1:1" ht="13.2">
      <c r="A473" s="215"/>
    </row>
    <row r="474" spans="1:1" ht="13.2">
      <c r="A474" s="215"/>
    </row>
    <row r="475" spans="1:1" ht="13.2">
      <c r="A475" s="215"/>
    </row>
    <row r="476" spans="1:1" ht="13.2">
      <c r="A476" s="215"/>
    </row>
    <row r="477" spans="1:1" ht="13.2">
      <c r="A477" s="215"/>
    </row>
    <row r="478" spans="1:1" ht="13.2">
      <c r="A478" s="215"/>
    </row>
    <row r="479" spans="1:1" ht="13.2">
      <c r="A479" s="215"/>
    </row>
    <row r="480" spans="1:1" ht="13.2">
      <c r="A480" s="215"/>
    </row>
    <row r="481" spans="1:1" ht="13.2">
      <c r="A481" s="215"/>
    </row>
    <row r="482" spans="1:1" ht="13.2">
      <c r="A482" s="215"/>
    </row>
    <row r="483" spans="1:1" ht="13.2">
      <c r="A483" s="215"/>
    </row>
    <row r="484" spans="1:1" ht="13.2">
      <c r="A484" s="215"/>
    </row>
    <row r="485" spans="1:1" ht="13.2">
      <c r="A485" s="215"/>
    </row>
    <row r="486" spans="1:1" ht="13.2">
      <c r="A486" s="215"/>
    </row>
    <row r="487" spans="1:1" ht="13.2">
      <c r="A487" s="215"/>
    </row>
    <row r="488" spans="1:1" ht="13.2">
      <c r="A488" s="215"/>
    </row>
    <row r="489" spans="1:1" ht="13.2">
      <c r="A489" s="215"/>
    </row>
    <row r="490" spans="1:1" ht="13.2">
      <c r="A490" s="215"/>
    </row>
    <row r="491" spans="1:1" ht="13.2">
      <c r="A491" s="215"/>
    </row>
    <row r="492" spans="1:1" ht="13.2">
      <c r="A492" s="215"/>
    </row>
    <row r="493" spans="1:1" ht="13.2">
      <c r="A493" s="215"/>
    </row>
    <row r="494" spans="1:1" ht="13.2">
      <c r="A494" s="215"/>
    </row>
    <row r="495" spans="1:1" ht="13.2">
      <c r="A495" s="215"/>
    </row>
    <row r="496" spans="1:1" ht="13.2">
      <c r="A496" s="215"/>
    </row>
    <row r="497" spans="1:1" ht="13.2">
      <c r="A497" s="215"/>
    </row>
    <row r="498" spans="1:1" ht="13.2">
      <c r="A498" s="215"/>
    </row>
    <row r="499" spans="1:1" ht="13.2">
      <c r="A499" s="215"/>
    </row>
    <row r="500" spans="1:1" ht="13.2">
      <c r="A500" s="215"/>
    </row>
    <row r="501" spans="1:1" ht="13.2">
      <c r="A501" s="215"/>
    </row>
    <row r="502" spans="1:1" ht="13.2">
      <c r="A502" s="215"/>
    </row>
    <row r="503" spans="1:1" ht="13.2">
      <c r="A503" s="215"/>
    </row>
    <row r="504" spans="1:1" ht="13.2">
      <c r="A504" s="215"/>
    </row>
    <row r="505" spans="1:1" ht="13.2">
      <c r="A505" s="215"/>
    </row>
    <row r="506" spans="1:1" ht="13.2">
      <c r="A506" s="215"/>
    </row>
    <row r="507" spans="1:1" ht="13.2">
      <c r="A507" s="215"/>
    </row>
    <row r="508" spans="1:1" ht="13.2">
      <c r="A508" s="215"/>
    </row>
    <row r="509" spans="1:1" ht="13.2">
      <c r="A509" s="215"/>
    </row>
    <row r="510" spans="1:1" ht="13.2">
      <c r="A510" s="215"/>
    </row>
    <row r="511" spans="1:1" ht="13.2">
      <c r="A511" s="215"/>
    </row>
    <row r="512" spans="1:1" ht="13.2">
      <c r="A512" s="215"/>
    </row>
    <row r="513" spans="1:1" ht="13.2">
      <c r="A513" s="215"/>
    </row>
    <row r="514" spans="1:1" ht="13.2">
      <c r="A514" s="215"/>
    </row>
    <row r="515" spans="1:1" ht="13.2">
      <c r="A515" s="215"/>
    </row>
    <row r="516" spans="1:1" ht="13.2">
      <c r="A516" s="215"/>
    </row>
    <row r="517" spans="1:1" ht="13.2">
      <c r="A517" s="215"/>
    </row>
    <row r="518" spans="1:1" ht="13.2">
      <c r="A518" s="215"/>
    </row>
    <row r="519" spans="1:1" ht="13.2">
      <c r="A519" s="215"/>
    </row>
    <row r="520" spans="1:1" ht="13.2">
      <c r="A520" s="215"/>
    </row>
    <row r="521" spans="1:1" ht="13.2">
      <c r="A521" s="215"/>
    </row>
    <row r="522" spans="1:1" ht="13.2">
      <c r="A522" s="215"/>
    </row>
    <row r="523" spans="1:1" ht="13.2">
      <c r="A523" s="215"/>
    </row>
    <row r="524" spans="1:1" ht="13.2">
      <c r="A524" s="215"/>
    </row>
    <row r="525" spans="1:1" ht="13.2">
      <c r="A525" s="215"/>
    </row>
    <row r="526" spans="1:1" ht="13.2">
      <c r="A526" s="215"/>
    </row>
    <row r="527" spans="1:1" ht="13.2">
      <c r="A527" s="215"/>
    </row>
    <row r="528" spans="1:1" ht="13.2">
      <c r="A528" s="215"/>
    </row>
    <row r="529" spans="1:1" ht="13.2">
      <c r="A529" s="215"/>
    </row>
    <row r="530" spans="1:1" ht="13.2">
      <c r="A530" s="215"/>
    </row>
    <row r="531" spans="1:1" ht="13.2">
      <c r="A531" s="215"/>
    </row>
    <row r="532" spans="1:1" ht="13.2">
      <c r="A532" s="215"/>
    </row>
    <row r="533" spans="1:1" ht="13.2">
      <c r="A533" s="215"/>
    </row>
    <row r="534" spans="1:1" ht="13.2">
      <c r="A534" s="215"/>
    </row>
    <row r="535" spans="1:1" ht="13.2">
      <c r="A535" s="215"/>
    </row>
    <row r="536" spans="1:1" ht="13.2">
      <c r="A536" s="215"/>
    </row>
    <row r="537" spans="1:1" ht="13.2">
      <c r="A537" s="215"/>
    </row>
    <row r="538" spans="1:1" ht="13.2">
      <c r="A538" s="215"/>
    </row>
    <row r="539" spans="1:1" ht="13.2">
      <c r="A539" s="215"/>
    </row>
    <row r="540" spans="1:1" ht="13.2">
      <c r="A540" s="215"/>
    </row>
    <row r="541" spans="1:1" ht="13.2">
      <c r="A541" s="215"/>
    </row>
    <row r="542" spans="1:1" ht="13.2">
      <c r="A542" s="215"/>
    </row>
    <row r="543" spans="1:1" ht="13.2">
      <c r="A543" s="215"/>
    </row>
    <row r="544" spans="1:1" ht="13.2">
      <c r="A544" s="215"/>
    </row>
    <row r="545" spans="1:1" ht="13.2">
      <c r="A545" s="215"/>
    </row>
    <row r="546" spans="1:1" ht="13.2">
      <c r="A546" s="215"/>
    </row>
    <row r="547" spans="1:1" ht="13.2">
      <c r="A547" s="215"/>
    </row>
    <row r="548" spans="1:1" ht="13.2">
      <c r="A548" s="215"/>
    </row>
    <row r="549" spans="1:1" ht="13.2">
      <c r="A549" s="215"/>
    </row>
    <row r="550" spans="1:1" ht="13.2">
      <c r="A550" s="215"/>
    </row>
    <row r="551" spans="1:1" ht="13.2">
      <c r="A551" s="215"/>
    </row>
    <row r="552" spans="1:1" ht="13.2">
      <c r="A552" s="215"/>
    </row>
    <row r="553" spans="1:1" ht="13.2">
      <c r="A553" s="215"/>
    </row>
    <row r="554" spans="1:1" ht="13.2">
      <c r="A554" s="215"/>
    </row>
    <row r="555" spans="1:1" ht="13.2">
      <c r="A555" s="215"/>
    </row>
    <row r="556" spans="1:1" ht="13.2">
      <c r="A556" s="215"/>
    </row>
    <row r="557" spans="1:1" ht="13.2">
      <c r="A557" s="215"/>
    </row>
    <row r="558" spans="1:1" ht="13.2">
      <c r="A558" s="215"/>
    </row>
    <row r="559" spans="1:1" ht="13.2">
      <c r="A559" s="215"/>
    </row>
    <row r="560" spans="1:1" ht="13.2">
      <c r="A560" s="215"/>
    </row>
    <row r="561" spans="1:1" ht="13.2">
      <c r="A561" s="215"/>
    </row>
    <row r="562" spans="1:1" ht="13.2">
      <c r="A562" s="215"/>
    </row>
    <row r="563" spans="1:1" ht="13.2">
      <c r="A563" s="215"/>
    </row>
    <row r="564" spans="1:1" ht="13.2">
      <c r="A564" s="215"/>
    </row>
    <row r="565" spans="1:1" ht="13.2">
      <c r="A565" s="215"/>
    </row>
    <row r="566" spans="1:1" ht="13.2">
      <c r="A566" s="215"/>
    </row>
    <row r="567" spans="1:1" ht="13.2">
      <c r="A567" s="215"/>
    </row>
    <row r="568" spans="1:1" ht="13.2">
      <c r="A568" s="215"/>
    </row>
    <row r="569" spans="1:1" ht="13.2">
      <c r="A569" s="215"/>
    </row>
    <row r="570" spans="1:1" ht="13.2">
      <c r="A570" s="215"/>
    </row>
    <row r="571" spans="1:1" ht="13.2">
      <c r="A571" s="215"/>
    </row>
    <row r="572" spans="1:1" ht="13.2">
      <c r="A572" s="215"/>
    </row>
    <row r="573" spans="1:1" ht="13.2">
      <c r="A573" s="215"/>
    </row>
    <row r="574" spans="1:1" ht="13.2">
      <c r="A574" s="215"/>
    </row>
    <row r="575" spans="1:1" ht="13.2">
      <c r="A575" s="215"/>
    </row>
    <row r="576" spans="1:1" ht="13.2">
      <c r="A576" s="215"/>
    </row>
    <row r="577" spans="1:1" ht="13.2">
      <c r="A577" s="215"/>
    </row>
    <row r="578" spans="1:1" ht="13.2">
      <c r="A578" s="215"/>
    </row>
    <row r="579" spans="1:1" ht="13.2">
      <c r="A579" s="215"/>
    </row>
    <row r="580" spans="1:1" ht="13.2">
      <c r="A580" s="215"/>
    </row>
    <row r="581" spans="1:1" ht="13.2">
      <c r="A581" s="215"/>
    </row>
    <row r="582" spans="1:1" ht="13.2">
      <c r="A582" s="215"/>
    </row>
    <row r="583" spans="1:1" ht="13.2">
      <c r="A583" s="215"/>
    </row>
    <row r="584" spans="1:1" ht="13.2">
      <c r="A584" s="215"/>
    </row>
    <row r="585" spans="1:1" ht="13.2">
      <c r="A585" s="215"/>
    </row>
    <row r="586" spans="1:1" ht="13.2">
      <c r="A586" s="215"/>
    </row>
    <row r="587" spans="1:1" ht="13.2">
      <c r="A587" s="215"/>
    </row>
    <row r="588" spans="1:1" ht="13.2">
      <c r="A588" s="215"/>
    </row>
    <row r="589" spans="1:1" ht="13.2">
      <c r="A589" s="215"/>
    </row>
    <row r="590" spans="1:1" ht="13.2">
      <c r="A590" s="215"/>
    </row>
    <row r="591" spans="1:1" ht="13.2">
      <c r="A591" s="215"/>
    </row>
    <row r="592" spans="1:1" ht="13.2">
      <c r="A592" s="215"/>
    </row>
    <row r="593" spans="1:1" ht="13.2">
      <c r="A593" s="215"/>
    </row>
    <row r="594" spans="1:1" ht="13.2">
      <c r="A594" s="215"/>
    </row>
    <row r="595" spans="1:1" ht="13.2">
      <c r="A595" s="215"/>
    </row>
    <row r="596" spans="1:1" ht="13.2">
      <c r="A596" s="215"/>
    </row>
    <row r="597" spans="1:1" ht="13.2">
      <c r="A597" s="215"/>
    </row>
    <row r="598" spans="1:1" ht="13.2">
      <c r="A598" s="215"/>
    </row>
    <row r="599" spans="1:1" ht="13.2">
      <c r="A599" s="215"/>
    </row>
    <row r="600" spans="1:1" ht="13.2">
      <c r="A600" s="215"/>
    </row>
    <row r="601" spans="1:1" ht="13.2">
      <c r="A601" s="215"/>
    </row>
    <row r="602" spans="1:1" ht="13.2">
      <c r="A602" s="215"/>
    </row>
    <row r="603" spans="1:1" ht="13.2">
      <c r="A603" s="215"/>
    </row>
    <row r="604" spans="1:1" ht="13.2">
      <c r="A604" s="215"/>
    </row>
    <row r="605" spans="1:1" ht="13.2">
      <c r="A605" s="215"/>
    </row>
    <row r="606" spans="1:1" ht="13.2">
      <c r="A606" s="215"/>
    </row>
    <row r="607" spans="1:1" ht="13.2">
      <c r="A607" s="215"/>
    </row>
    <row r="608" spans="1:1" ht="13.2">
      <c r="A608" s="215"/>
    </row>
    <row r="609" spans="1:1" ht="13.2">
      <c r="A609" s="215"/>
    </row>
    <row r="610" spans="1:1" ht="13.2">
      <c r="A610" s="215"/>
    </row>
    <row r="611" spans="1:1" ht="13.2">
      <c r="A611" s="215"/>
    </row>
    <row r="612" spans="1:1" ht="13.2">
      <c r="A612" s="215"/>
    </row>
    <row r="613" spans="1:1" ht="13.2">
      <c r="A613" s="215"/>
    </row>
    <row r="614" spans="1:1" ht="13.2">
      <c r="A614" s="215"/>
    </row>
    <row r="615" spans="1:1" ht="13.2">
      <c r="A615" s="215"/>
    </row>
    <row r="616" spans="1:1" ht="13.2">
      <c r="A616" s="215"/>
    </row>
    <row r="617" spans="1:1" ht="13.2">
      <c r="A617" s="215"/>
    </row>
    <row r="618" spans="1:1" ht="13.2">
      <c r="A618" s="215"/>
    </row>
    <row r="619" spans="1:1" ht="13.2">
      <c r="A619" s="215"/>
    </row>
    <row r="620" spans="1:1" ht="13.2">
      <c r="A620" s="215"/>
    </row>
    <row r="621" spans="1:1" ht="13.2">
      <c r="A621" s="215"/>
    </row>
    <row r="622" spans="1:1" ht="13.2">
      <c r="A622" s="215"/>
    </row>
    <row r="623" spans="1:1" ht="13.2">
      <c r="A623" s="215"/>
    </row>
    <row r="624" spans="1:1" ht="13.2">
      <c r="A624" s="215"/>
    </row>
    <row r="625" spans="1:1" ht="13.2">
      <c r="A625" s="215"/>
    </row>
    <row r="626" spans="1:1" ht="13.2">
      <c r="A626" s="215"/>
    </row>
    <row r="627" spans="1:1" ht="13.2">
      <c r="A627" s="215"/>
    </row>
    <row r="628" spans="1:1" ht="13.2">
      <c r="A628" s="215"/>
    </row>
    <row r="629" spans="1:1" ht="13.2">
      <c r="A629" s="215"/>
    </row>
    <row r="630" spans="1:1" ht="13.2">
      <c r="A630" s="215"/>
    </row>
    <row r="631" spans="1:1" ht="13.2">
      <c r="A631" s="215"/>
    </row>
    <row r="632" spans="1:1" ht="13.2">
      <c r="A632" s="215"/>
    </row>
    <row r="633" spans="1:1" ht="13.2">
      <c r="A633" s="215"/>
    </row>
    <row r="634" spans="1:1" ht="13.2">
      <c r="A634" s="215"/>
    </row>
    <row r="635" spans="1:1" ht="13.2">
      <c r="A635" s="215"/>
    </row>
    <row r="636" spans="1:1" ht="13.2">
      <c r="A636" s="215"/>
    </row>
    <row r="637" spans="1:1" ht="13.2">
      <c r="A637" s="215"/>
    </row>
    <row r="638" spans="1:1" ht="13.2">
      <c r="A638" s="215"/>
    </row>
    <row r="639" spans="1:1" ht="13.2">
      <c r="A639" s="215"/>
    </row>
    <row r="640" spans="1:1" ht="13.2">
      <c r="A640" s="215"/>
    </row>
    <row r="641" spans="1:1" ht="13.2">
      <c r="A641" s="215"/>
    </row>
    <row r="642" spans="1:1" ht="13.2">
      <c r="A642" s="215"/>
    </row>
    <row r="643" spans="1:1" ht="13.2">
      <c r="A643" s="215"/>
    </row>
    <row r="644" spans="1:1" ht="13.2">
      <c r="A644" s="215"/>
    </row>
    <row r="645" spans="1:1" ht="13.2">
      <c r="A645" s="215"/>
    </row>
    <row r="646" spans="1:1" ht="13.2">
      <c r="A646" s="215"/>
    </row>
    <row r="647" spans="1:1" ht="13.2">
      <c r="A647" s="215"/>
    </row>
    <row r="648" spans="1:1" ht="13.2">
      <c r="A648" s="215"/>
    </row>
    <row r="649" spans="1:1" ht="13.2">
      <c r="A649" s="215"/>
    </row>
    <row r="650" spans="1:1" ht="13.2">
      <c r="A650" s="215"/>
    </row>
    <row r="651" spans="1:1" ht="13.2">
      <c r="A651" s="215"/>
    </row>
    <row r="652" spans="1:1" ht="13.2">
      <c r="A652" s="215"/>
    </row>
    <row r="653" spans="1:1" ht="13.2">
      <c r="A653" s="215"/>
    </row>
    <row r="654" spans="1:1" ht="13.2">
      <c r="A654" s="215"/>
    </row>
    <row r="655" spans="1:1" ht="13.2">
      <c r="A655" s="215"/>
    </row>
    <row r="656" spans="1:1" ht="13.2">
      <c r="A656" s="215"/>
    </row>
    <row r="657" spans="1:1" ht="13.2">
      <c r="A657" s="215"/>
    </row>
    <row r="658" spans="1:1" ht="13.2">
      <c r="A658" s="215"/>
    </row>
    <row r="659" spans="1:1" ht="13.2">
      <c r="A659" s="215"/>
    </row>
    <row r="660" spans="1:1" ht="13.2">
      <c r="A660" s="215"/>
    </row>
    <row r="661" spans="1:1" ht="13.2">
      <c r="A661" s="215"/>
    </row>
    <row r="662" spans="1:1" ht="13.2">
      <c r="A662" s="215"/>
    </row>
    <row r="663" spans="1:1" ht="13.2">
      <c r="A663" s="215"/>
    </row>
    <row r="664" spans="1:1" ht="13.2">
      <c r="A664" s="215"/>
    </row>
    <row r="665" spans="1:1" ht="13.2">
      <c r="A665" s="215"/>
    </row>
    <row r="666" spans="1:1" ht="13.2">
      <c r="A666" s="215"/>
    </row>
    <row r="667" spans="1:1" ht="13.2">
      <c r="A667" s="215"/>
    </row>
    <row r="668" spans="1:1" ht="13.2">
      <c r="A668" s="215"/>
    </row>
    <row r="669" spans="1:1" ht="13.2">
      <c r="A669" s="215"/>
    </row>
    <row r="670" spans="1:1" ht="13.2">
      <c r="A670" s="215"/>
    </row>
    <row r="671" spans="1:1" ht="13.2">
      <c r="A671" s="215"/>
    </row>
    <row r="672" spans="1:1" ht="13.2">
      <c r="A672" s="215"/>
    </row>
    <row r="673" spans="1:1" ht="13.2">
      <c r="A673" s="215"/>
    </row>
    <row r="674" spans="1:1" ht="13.2">
      <c r="A674" s="215"/>
    </row>
    <row r="675" spans="1:1" ht="13.2">
      <c r="A675" s="215"/>
    </row>
    <row r="676" spans="1:1" ht="13.2">
      <c r="A676" s="215"/>
    </row>
    <row r="677" spans="1:1" ht="13.2">
      <c r="A677" s="215"/>
    </row>
    <row r="678" spans="1:1" ht="13.2">
      <c r="A678" s="215"/>
    </row>
    <row r="679" spans="1:1" ht="13.2">
      <c r="A679" s="215"/>
    </row>
    <row r="680" spans="1:1" ht="13.2">
      <c r="A680" s="215"/>
    </row>
    <row r="681" spans="1:1" ht="13.2">
      <c r="A681" s="215"/>
    </row>
    <row r="682" spans="1:1" ht="13.2">
      <c r="A682" s="215"/>
    </row>
    <row r="683" spans="1:1" ht="13.2">
      <c r="A683" s="215"/>
    </row>
    <row r="684" spans="1:1" ht="13.2">
      <c r="A684" s="215"/>
    </row>
    <row r="685" spans="1:1" ht="13.2">
      <c r="A685" s="215"/>
    </row>
    <row r="686" spans="1:1" ht="13.2">
      <c r="A686" s="215"/>
    </row>
    <row r="687" spans="1:1" ht="13.2">
      <c r="A687" s="215"/>
    </row>
    <row r="688" spans="1:1" ht="13.2">
      <c r="A688" s="215"/>
    </row>
    <row r="689" spans="1:1" ht="13.2">
      <c r="A689" s="215"/>
    </row>
    <row r="690" spans="1:1" ht="13.2">
      <c r="A690" s="215"/>
    </row>
    <row r="691" spans="1:1" ht="13.2">
      <c r="A691" s="215"/>
    </row>
    <row r="692" spans="1:1" ht="13.2">
      <c r="A692" s="215"/>
    </row>
    <row r="693" spans="1:1" ht="13.2">
      <c r="A693" s="215"/>
    </row>
    <row r="694" spans="1:1" ht="13.2">
      <c r="A694" s="215"/>
    </row>
    <row r="695" spans="1:1" ht="13.2">
      <c r="A695" s="215"/>
    </row>
    <row r="696" spans="1:1" ht="13.2">
      <c r="A696" s="215"/>
    </row>
    <row r="697" spans="1:1" ht="13.2">
      <c r="A697" s="215"/>
    </row>
    <row r="698" spans="1:1" ht="13.2">
      <c r="A698" s="215"/>
    </row>
    <row r="699" spans="1:1" ht="13.2">
      <c r="A699" s="215"/>
    </row>
    <row r="700" spans="1:1" ht="13.2">
      <c r="A700" s="215"/>
    </row>
    <row r="701" spans="1:1" ht="13.2">
      <c r="A701" s="215"/>
    </row>
    <row r="702" spans="1:1" ht="13.2">
      <c r="A702" s="215"/>
    </row>
    <row r="703" spans="1:1" ht="13.2">
      <c r="A703" s="215"/>
    </row>
    <row r="704" spans="1:1" ht="13.2">
      <c r="A704" s="215"/>
    </row>
    <row r="705" spans="1:1" ht="13.2">
      <c r="A705" s="215"/>
    </row>
    <row r="706" spans="1:1" ht="13.2">
      <c r="A706" s="215"/>
    </row>
    <row r="707" spans="1:1" ht="13.2">
      <c r="A707" s="215"/>
    </row>
    <row r="708" spans="1:1" ht="13.2">
      <c r="A708" s="215"/>
    </row>
    <row r="709" spans="1:1" ht="13.2">
      <c r="A709" s="215"/>
    </row>
    <row r="710" spans="1:1" ht="13.2">
      <c r="A710" s="215"/>
    </row>
    <row r="711" spans="1:1" ht="13.2">
      <c r="A711" s="215"/>
    </row>
    <row r="712" spans="1:1" ht="13.2">
      <c r="A712" s="215"/>
    </row>
    <row r="713" spans="1:1" ht="13.2">
      <c r="A713" s="215"/>
    </row>
    <row r="714" spans="1:1" ht="13.2">
      <c r="A714" s="215"/>
    </row>
    <row r="715" spans="1:1" ht="13.2">
      <c r="A715" s="215"/>
    </row>
    <row r="716" spans="1:1" ht="13.2">
      <c r="A716" s="215"/>
    </row>
    <row r="717" spans="1:1" ht="13.2">
      <c r="A717" s="215"/>
    </row>
    <row r="718" spans="1:1" ht="13.2">
      <c r="A718" s="215"/>
    </row>
    <row r="719" spans="1:1" ht="13.2">
      <c r="A719" s="215"/>
    </row>
    <row r="720" spans="1:1" ht="13.2">
      <c r="A720" s="215"/>
    </row>
    <row r="721" spans="1:1" ht="13.2">
      <c r="A721" s="215"/>
    </row>
    <row r="722" spans="1:1" ht="13.2">
      <c r="A722" s="215"/>
    </row>
    <row r="723" spans="1:1" ht="13.2">
      <c r="A723" s="215"/>
    </row>
    <row r="724" spans="1:1" ht="13.2">
      <c r="A724" s="215"/>
    </row>
    <row r="725" spans="1:1" ht="13.2">
      <c r="A725" s="215"/>
    </row>
    <row r="726" spans="1:1" ht="13.2">
      <c r="A726" s="215"/>
    </row>
    <row r="727" spans="1:1" ht="13.2">
      <c r="A727" s="215"/>
    </row>
    <row r="728" spans="1:1" ht="13.2">
      <c r="A728" s="215"/>
    </row>
    <row r="729" spans="1:1" ht="13.2">
      <c r="A729" s="215"/>
    </row>
    <row r="730" spans="1:1" ht="13.2">
      <c r="A730" s="215"/>
    </row>
    <row r="731" spans="1:1" ht="13.2">
      <c r="A731" s="215"/>
    </row>
    <row r="732" spans="1:1" ht="13.2">
      <c r="A732" s="215"/>
    </row>
    <row r="733" spans="1:1" ht="13.2">
      <c r="A733" s="215"/>
    </row>
    <row r="734" spans="1:1" ht="13.2">
      <c r="A734" s="215"/>
    </row>
    <row r="735" spans="1:1" ht="13.2">
      <c r="A735" s="215"/>
    </row>
    <row r="736" spans="1:1" ht="13.2">
      <c r="A736" s="215"/>
    </row>
    <row r="737" spans="1:1" ht="13.2">
      <c r="A737" s="215"/>
    </row>
    <row r="738" spans="1:1" ht="13.2">
      <c r="A738" s="215"/>
    </row>
    <row r="739" spans="1:1" ht="13.2">
      <c r="A739" s="215"/>
    </row>
    <row r="740" spans="1:1" ht="13.2">
      <c r="A740" s="215"/>
    </row>
    <row r="741" spans="1:1" ht="13.2">
      <c r="A741" s="215"/>
    </row>
    <row r="742" spans="1:1" ht="13.2">
      <c r="A742" s="215"/>
    </row>
    <row r="743" spans="1:1" ht="13.2">
      <c r="A743" s="215"/>
    </row>
    <row r="744" spans="1:1" ht="13.2">
      <c r="A744" s="215"/>
    </row>
    <row r="745" spans="1:1" ht="13.2">
      <c r="A745" s="215"/>
    </row>
    <row r="746" spans="1:1" ht="13.2">
      <c r="A746" s="215"/>
    </row>
    <row r="747" spans="1:1" ht="13.2">
      <c r="A747" s="215"/>
    </row>
    <row r="748" spans="1:1" ht="13.2">
      <c r="A748" s="215"/>
    </row>
    <row r="749" spans="1:1" ht="13.2">
      <c r="A749" s="215"/>
    </row>
    <row r="750" spans="1:1" ht="13.2">
      <c r="A750" s="215"/>
    </row>
    <row r="751" spans="1:1" ht="13.2">
      <c r="A751" s="215"/>
    </row>
    <row r="752" spans="1:1" ht="13.2">
      <c r="A752" s="215"/>
    </row>
    <row r="753" spans="1:1" ht="13.2">
      <c r="A753" s="215"/>
    </row>
    <row r="754" spans="1:1" ht="13.2">
      <c r="A754" s="215"/>
    </row>
    <row r="755" spans="1:1" ht="13.2">
      <c r="A755" s="215"/>
    </row>
    <row r="756" spans="1:1" ht="13.2">
      <c r="A756" s="215"/>
    </row>
    <row r="757" spans="1:1" ht="13.2">
      <c r="A757" s="215"/>
    </row>
    <row r="758" spans="1:1" ht="13.2">
      <c r="A758" s="215"/>
    </row>
    <row r="759" spans="1:1" ht="13.2">
      <c r="A759" s="215"/>
    </row>
    <row r="760" spans="1:1" ht="13.2">
      <c r="A760" s="215"/>
    </row>
    <row r="761" spans="1:1" ht="13.2">
      <c r="A761" s="215"/>
    </row>
    <row r="762" spans="1:1" ht="13.2">
      <c r="A762" s="215"/>
    </row>
    <row r="763" spans="1:1" ht="13.2">
      <c r="A763" s="215"/>
    </row>
    <row r="764" spans="1:1" ht="13.2">
      <c r="A764" s="215"/>
    </row>
    <row r="765" spans="1:1" ht="13.2">
      <c r="A765" s="215"/>
    </row>
    <row r="766" spans="1:1" ht="13.2">
      <c r="A766" s="215"/>
    </row>
    <row r="767" spans="1:1" ht="13.2">
      <c r="A767" s="215"/>
    </row>
    <row r="768" spans="1:1" ht="13.2">
      <c r="A768" s="215"/>
    </row>
    <row r="769" spans="1:1" ht="13.2">
      <c r="A769" s="215"/>
    </row>
    <row r="770" spans="1:1" ht="13.2">
      <c r="A770" s="215"/>
    </row>
    <row r="771" spans="1:1" ht="13.2">
      <c r="A771" s="215"/>
    </row>
    <row r="772" spans="1:1" ht="13.2">
      <c r="A772" s="215"/>
    </row>
    <row r="773" spans="1:1" ht="13.2">
      <c r="A773" s="215"/>
    </row>
    <row r="774" spans="1:1" ht="13.2">
      <c r="A774" s="215"/>
    </row>
    <row r="775" spans="1:1" ht="13.2">
      <c r="A775" s="215"/>
    </row>
    <row r="776" spans="1:1" ht="13.2">
      <c r="A776" s="215"/>
    </row>
    <row r="777" spans="1:1" ht="13.2">
      <c r="A777" s="215"/>
    </row>
    <row r="778" spans="1:1" ht="13.2">
      <c r="A778" s="215"/>
    </row>
    <row r="779" spans="1:1" ht="13.2">
      <c r="A779" s="215"/>
    </row>
    <row r="780" spans="1:1" ht="13.2">
      <c r="A780" s="215"/>
    </row>
    <row r="781" spans="1:1" ht="13.2">
      <c r="A781" s="215"/>
    </row>
    <row r="782" spans="1:1" ht="13.2">
      <c r="A782" s="215"/>
    </row>
    <row r="783" spans="1:1" ht="13.2">
      <c r="A783" s="215"/>
    </row>
    <row r="784" spans="1:1" ht="13.2">
      <c r="A784" s="215"/>
    </row>
    <row r="785" spans="1:1" ht="13.2">
      <c r="A785" s="215"/>
    </row>
    <row r="786" spans="1:1" ht="13.2">
      <c r="A786" s="215"/>
    </row>
    <row r="787" spans="1:1" ht="13.2">
      <c r="A787" s="215"/>
    </row>
    <row r="788" spans="1:1" ht="13.2">
      <c r="A788" s="215"/>
    </row>
    <row r="789" spans="1:1" ht="13.2">
      <c r="A789" s="215"/>
    </row>
    <row r="790" spans="1:1" ht="13.2">
      <c r="A790" s="215"/>
    </row>
    <row r="791" spans="1:1" ht="13.2">
      <c r="A791" s="215"/>
    </row>
    <row r="792" spans="1:1" ht="13.2">
      <c r="A792" s="215"/>
    </row>
    <row r="793" spans="1:1" ht="13.2">
      <c r="A793" s="215"/>
    </row>
    <row r="794" spans="1:1" ht="13.2">
      <c r="A794" s="215"/>
    </row>
    <row r="795" spans="1:1" ht="13.2">
      <c r="A795" s="215"/>
    </row>
    <row r="796" spans="1:1" ht="13.2">
      <c r="A796" s="215"/>
    </row>
    <row r="797" spans="1:1" ht="13.2">
      <c r="A797" s="215"/>
    </row>
    <row r="798" spans="1:1" ht="13.2">
      <c r="A798" s="215"/>
    </row>
    <row r="799" spans="1:1" ht="13.2">
      <c r="A799" s="215"/>
    </row>
    <row r="800" spans="1:1" ht="13.2">
      <c r="A800" s="215"/>
    </row>
    <row r="801" spans="1:1" ht="13.2">
      <c r="A801" s="215"/>
    </row>
    <row r="802" spans="1:1" ht="13.2">
      <c r="A802" s="215"/>
    </row>
    <row r="803" spans="1:1" ht="13.2">
      <c r="A803" s="215"/>
    </row>
    <row r="804" spans="1:1" ht="13.2">
      <c r="A804" s="215"/>
    </row>
    <row r="805" spans="1:1" ht="13.2">
      <c r="A805" s="215"/>
    </row>
    <row r="806" spans="1:1" ht="13.2">
      <c r="A806" s="215"/>
    </row>
    <row r="807" spans="1:1" ht="13.2">
      <c r="A807" s="215"/>
    </row>
    <row r="808" spans="1:1" ht="13.2">
      <c r="A808" s="215"/>
    </row>
    <row r="809" spans="1:1" ht="13.2">
      <c r="A809" s="215"/>
    </row>
    <row r="810" spans="1:1" ht="13.2">
      <c r="A810" s="215"/>
    </row>
    <row r="811" spans="1:1" ht="13.2">
      <c r="A811" s="215"/>
    </row>
    <row r="812" spans="1:1" ht="13.2">
      <c r="A812" s="215"/>
    </row>
    <row r="813" spans="1:1" ht="13.2">
      <c r="A813" s="215"/>
    </row>
    <row r="814" spans="1:1" ht="13.2">
      <c r="A814" s="215"/>
    </row>
    <row r="815" spans="1:1" ht="13.2">
      <c r="A815" s="215"/>
    </row>
    <row r="816" spans="1:1" ht="13.2">
      <c r="A816" s="215"/>
    </row>
    <row r="817" spans="1:1" ht="13.2">
      <c r="A817" s="215"/>
    </row>
    <row r="818" spans="1:1" ht="13.2">
      <c r="A818" s="215"/>
    </row>
    <row r="819" spans="1:1" ht="13.2">
      <c r="A819" s="215"/>
    </row>
    <row r="820" spans="1:1" ht="13.2">
      <c r="A820" s="215"/>
    </row>
    <row r="821" spans="1:1" ht="13.2">
      <c r="A821" s="215"/>
    </row>
    <row r="822" spans="1:1" ht="13.2">
      <c r="A822" s="215"/>
    </row>
    <row r="823" spans="1:1" ht="13.2">
      <c r="A823" s="215"/>
    </row>
    <row r="824" spans="1:1" ht="13.2">
      <c r="A824" s="215"/>
    </row>
    <row r="825" spans="1:1" ht="13.2">
      <c r="A825" s="215"/>
    </row>
    <row r="826" spans="1:1" ht="13.2">
      <c r="A826" s="215"/>
    </row>
    <row r="827" spans="1:1" ht="13.2">
      <c r="A827" s="215"/>
    </row>
    <row r="828" spans="1:1" ht="13.2">
      <c r="A828" s="215"/>
    </row>
    <row r="829" spans="1:1" ht="13.2">
      <c r="A829" s="215"/>
    </row>
    <row r="830" spans="1:1" ht="13.2">
      <c r="A830" s="215"/>
    </row>
    <row r="831" spans="1:1" ht="13.2">
      <c r="A831" s="215"/>
    </row>
    <row r="832" spans="1:1" ht="13.2">
      <c r="A832" s="215"/>
    </row>
    <row r="833" spans="1:1" ht="13.2">
      <c r="A833" s="215"/>
    </row>
    <row r="834" spans="1:1" ht="13.2">
      <c r="A834" s="215"/>
    </row>
    <row r="835" spans="1:1" ht="13.2">
      <c r="A835" s="215"/>
    </row>
    <row r="836" spans="1:1" ht="13.2">
      <c r="A836" s="215"/>
    </row>
    <row r="837" spans="1:1" ht="13.2">
      <c r="A837" s="215"/>
    </row>
    <row r="838" spans="1:1" ht="13.2">
      <c r="A838" s="215"/>
    </row>
    <row r="839" spans="1:1" ht="13.2">
      <c r="A839" s="215"/>
    </row>
    <row r="840" spans="1:1" ht="13.2">
      <c r="A840" s="215"/>
    </row>
    <row r="841" spans="1:1" ht="13.2">
      <c r="A841" s="215"/>
    </row>
    <row r="842" spans="1:1" ht="13.2">
      <c r="A842" s="215"/>
    </row>
    <row r="843" spans="1:1" ht="13.2">
      <c r="A843" s="215"/>
    </row>
    <row r="844" spans="1:1" ht="13.2">
      <c r="A844" s="215"/>
    </row>
    <row r="845" spans="1:1" ht="13.2">
      <c r="A845" s="215"/>
    </row>
    <row r="846" spans="1:1" ht="13.2">
      <c r="A846" s="215"/>
    </row>
    <row r="847" spans="1:1" ht="13.2">
      <c r="A847" s="215"/>
    </row>
    <row r="848" spans="1:1" ht="13.2">
      <c r="A848" s="215"/>
    </row>
    <row r="849" spans="1:1" ht="13.2">
      <c r="A849" s="215"/>
    </row>
    <row r="850" spans="1:1" ht="13.2">
      <c r="A850" s="215"/>
    </row>
    <row r="851" spans="1:1" ht="13.2">
      <c r="A851" s="215"/>
    </row>
    <row r="852" spans="1:1" ht="13.2">
      <c r="A852" s="215"/>
    </row>
    <row r="853" spans="1:1" ht="13.2">
      <c r="A853" s="215"/>
    </row>
    <row r="854" spans="1:1" ht="13.2">
      <c r="A854" s="215"/>
    </row>
    <row r="855" spans="1:1" ht="13.2">
      <c r="A855" s="215"/>
    </row>
    <row r="856" spans="1:1" ht="13.2">
      <c r="A856" s="215"/>
    </row>
    <row r="857" spans="1:1" ht="13.2">
      <c r="A857" s="215"/>
    </row>
    <row r="858" spans="1:1" ht="13.2">
      <c r="A858" s="215"/>
    </row>
    <row r="859" spans="1:1" ht="13.2">
      <c r="A859" s="215"/>
    </row>
    <row r="860" spans="1:1" ht="13.2">
      <c r="A860" s="215"/>
    </row>
    <row r="861" spans="1:1" ht="13.2">
      <c r="A861" s="215"/>
    </row>
    <row r="862" spans="1:1" ht="13.2">
      <c r="A862" s="215"/>
    </row>
    <row r="863" spans="1:1" ht="13.2">
      <c r="A863" s="215"/>
    </row>
    <row r="864" spans="1:1" ht="13.2">
      <c r="A864" s="215"/>
    </row>
    <row r="865" spans="1:1" ht="13.2">
      <c r="A865" s="215"/>
    </row>
    <row r="866" spans="1:1" ht="13.2">
      <c r="A866" s="215"/>
    </row>
    <row r="867" spans="1:1" ht="13.2">
      <c r="A867" s="215"/>
    </row>
    <row r="868" spans="1:1" ht="13.2">
      <c r="A868" s="215"/>
    </row>
    <row r="869" spans="1:1" ht="13.2">
      <c r="A869" s="215"/>
    </row>
    <row r="870" spans="1:1" ht="13.2">
      <c r="A870" s="215"/>
    </row>
    <row r="871" spans="1:1" ht="13.2">
      <c r="A871" s="215"/>
    </row>
    <row r="872" spans="1:1" ht="13.2">
      <c r="A872" s="215"/>
    </row>
    <row r="873" spans="1:1" ht="13.2">
      <c r="A873" s="215"/>
    </row>
    <row r="874" spans="1:1" ht="13.2">
      <c r="A874" s="215"/>
    </row>
    <row r="875" spans="1:1" ht="13.2">
      <c r="A875" s="215"/>
    </row>
    <row r="876" spans="1:1" ht="13.2">
      <c r="A876" s="215"/>
    </row>
    <row r="877" spans="1:1" ht="13.2">
      <c r="A877" s="215"/>
    </row>
    <row r="878" spans="1:1" ht="13.2">
      <c r="A878" s="215"/>
    </row>
    <row r="879" spans="1:1" ht="13.2">
      <c r="A879" s="215"/>
    </row>
    <row r="880" spans="1:1" ht="13.2">
      <c r="A880" s="215"/>
    </row>
    <row r="881" spans="1:1" ht="13.2">
      <c r="A881" s="215"/>
    </row>
    <row r="882" spans="1:1" ht="13.2">
      <c r="A882" s="215"/>
    </row>
    <row r="883" spans="1:1" ht="13.2">
      <c r="A883" s="215"/>
    </row>
    <row r="884" spans="1:1" ht="13.2">
      <c r="A884" s="215"/>
    </row>
    <row r="885" spans="1:1" ht="13.2">
      <c r="A885" s="215"/>
    </row>
    <row r="886" spans="1:1" ht="13.2">
      <c r="A886" s="215"/>
    </row>
    <row r="887" spans="1:1" ht="13.2">
      <c r="A887" s="215"/>
    </row>
    <row r="888" spans="1:1" ht="13.2">
      <c r="A888" s="215"/>
    </row>
    <row r="889" spans="1:1" ht="13.2">
      <c r="A889" s="215"/>
    </row>
    <row r="890" spans="1:1" ht="13.2">
      <c r="A890" s="215"/>
    </row>
    <row r="891" spans="1:1" ht="13.2">
      <c r="A891" s="215"/>
    </row>
    <row r="892" spans="1:1" ht="13.2">
      <c r="A892" s="215"/>
    </row>
    <row r="893" spans="1:1" ht="13.2">
      <c r="A893" s="215"/>
    </row>
    <row r="894" spans="1:1" ht="13.2">
      <c r="A894" s="215"/>
    </row>
    <row r="895" spans="1:1" ht="13.2">
      <c r="A895" s="215"/>
    </row>
    <row r="896" spans="1:1" ht="13.2">
      <c r="A896" s="215"/>
    </row>
    <row r="897" spans="1:1" ht="13.2">
      <c r="A897" s="215"/>
    </row>
    <row r="898" spans="1:1" ht="13.2">
      <c r="A898" s="215"/>
    </row>
    <row r="899" spans="1:1" ht="13.2">
      <c r="A899" s="215"/>
    </row>
    <row r="900" spans="1:1" ht="13.2">
      <c r="A900" s="215"/>
    </row>
    <row r="901" spans="1:1" ht="13.2">
      <c r="A901" s="215"/>
    </row>
    <row r="902" spans="1:1" ht="13.2">
      <c r="A902" s="215"/>
    </row>
    <row r="903" spans="1:1" ht="13.2">
      <c r="A903" s="215"/>
    </row>
    <row r="904" spans="1:1" ht="13.2">
      <c r="A904" s="215"/>
    </row>
    <row r="905" spans="1:1" ht="13.2">
      <c r="A905" s="215"/>
    </row>
    <row r="906" spans="1:1" ht="13.2">
      <c r="A906" s="215"/>
    </row>
    <row r="907" spans="1:1" ht="13.2">
      <c r="A907" s="215"/>
    </row>
    <row r="908" spans="1:1" ht="13.2">
      <c r="A908" s="215"/>
    </row>
    <row r="909" spans="1:1" ht="13.2">
      <c r="A909" s="215"/>
    </row>
    <row r="910" spans="1:1" ht="13.2">
      <c r="A910" s="215"/>
    </row>
    <row r="911" spans="1:1" ht="13.2">
      <c r="A911" s="215"/>
    </row>
    <row r="912" spans="1:1" ht="13.2">
      <c r="A912" s="215"/>
    </row>
    <row r="913" spans="1:1" ht="13.2">
      <c r="A913" s="215"/>
    </row>
    <row r="914" spans="1:1" ht="13.2">
      <c r="A914" s="215"/>
    </row>
    <row r="915" spans="1:1" ht="13.2">
      <c r="A915" s="215"/>
    </row>
    <row r="916" spans="1:1" ht="13.2">
      <c r="A916" s="215"/>
    </row>
    <row r="917" spans="1:1" ht="13.2">
      <c r="A917" s="215"/>
    </row>
    <row r="918" spans="1:1" ht="13.2">
      <c r="A918" s="215"/>
    </row>
    <row r="919" spans="1:1" ht="13.2">
      <c r="A919" s="215"/>
    </row>
    <row r="920" spans="1:1" ht="13.2">
      <c r="A920" s="215"/>
    </row>
    <row r="921" spans="1:1" ht="13.2">
      <c r="A921" s="215"/>
    </row>
    <row r="922" spans="1:1" ht="13.2">
      <c r="A922" s="215"/>
    </row>
    <row r="923" spans="1:1" ht="13.2">
      <c r="A923" s="215"/>
    </row>
    <row r="924" spans="1:1" ht="13.2">
      <c r="A924" s="215"/>
    </row>
    <row r="925" spans="1:1" ht="13.2">
      <c r="A925" s="215"/>
    </row>
    <row r="926" spans="1:1" ht="13.2">
      <c r="A926" s="215"/>
    </row>
    <row r="927" spans="1:1" ht="13.2">
      <c r="A927" s="215"/>
    </row>
    <row r="928" spans="1:1" ht="13.2">
      <c r="A928" s="215"/>
    </row>
    <row r="929" spans="1:1" ht="13.2">
      <c r="A929" s="215"/>
    </row>
    <row r="930" spans="1:1" ht="13.2">
      <c r="A930" s="215"/>
    </row>
    <row r="931" spans="1:1" ht="13.2">
      <c r="A931" s="215"/>
    </row>
    <row r="932" spans="1:1" ht="13.2">
      <c r="A932" s="215"/>
    </row>
    <row r="933" spans="1:1" ht="13.2">
      <c r="A933" s="215"/>
    </row>
    <row r="934" spans="1:1" ht="13.2">
      <c r="A934" s="215"/>
    </row>
    <row r="935" spans="1:1" ht="13.2">
      <c r="A935" s="215"/>
    </row>
    <row r="936" spans="1:1" ht="13.2">
      <c r="A936" s="215"/>
    </row>
    <row r="937" spans="1:1" ht="13.2">
      <c r="A937" s="215"/>
    </row>
    <row r="938" spans="1:1" ht="13.2">
      <c r="A938" s="215"/>
    </row>
    <row r="939" spans="1:1" ht="13.2">
      <c r="A939" s="215"/>
    </row>
    <row r="940" spans="1:1" ht="13.2">
      <c r="A940" s="215"/>
    </row>
    <row r="941" spans="1:1" ht="13.2">
      <c r="A941" s="215"/>
    </row>
    <row r="942" spans="1:1" ht="13.2">
      <c r="A942" s="215"/>
    </row>
    <row r="943" spans="1:1" ht="13.2">
      <c r="A943" s="215"/>
    </row>
    <row r="944" spans="1:1" ht="13.2">
      <c r="A944" s="215"/>
    </row>
    <row r="945" spans="1:1" ht="13.2">
      <c r="A945" s="215"/>
    </row>
    <row r="946" spans="1:1" ht="13.2">
      <c r="A946" s="215"/>
    </row>
    <row r="947" spans="1:1" ht="13.2">
      <c r="A947" s="215"/>
    </row>
    <row r="948" spans="1:1" ht="13.2">
      <c r="A948" s="215"/>
    </row>
    <row r="949" spans="1:1" ht="13.2">
      <c r="A949" s="215"/>
    </row>
    <row r="950" spans="1:1" ht="13.2">
      <c r="A950" s="215"/>
    </row>
    <row r="951" spans="1:1" ht="13.2">
      <c r="A951" s="215"/>
    </row>
    <row r="952" spans="1:1" ht="13.2">
      <c r="A952" s="215"/>
    </row>
    <row r="953" spans="1:1" ht="13.2">
      <c r="A953" s="215"/>
    </row>
    <row r="954" spans="1:1" ht="13.2">
      <c r="A954" s="215"/>
    </row>
    <row r="955" spans="1:1" ht="13.2">
      <c r="A955" s="215"/>
    </row>
    <row r="956" spans="1:1" ht="13.2">
      <c r="A956" s="215"/>
    </row>
    <row r="957" spans="1:1" ht="13.2">
      <c r="A957" s="215"/>
    </row>
    <row r="958" spans="1:1" ht="13.2">
      <c r="A958" s="215"/>
    </row>
    <row r="959" spans="1:1" ht="13.2">
      <c r="A959" s="215"/>
    </row>
    <row r="960" spans="1:1" ht="13.2">
      <c r="A960" s="215"/>
    </row>
    <row r="961" spans="1:1" ht="13.2">
      <c r="A961" s="215"/>
    </row>
    <row r="962" spans="1:1" ht="13.2">
      <c r="A962" s="215"/>
    </row>
    <row r="963" spans="1:1" ht="13.2">
      <c r="A963" s="215"/>
    </row>
    <row r="964" spans="1:1" ht="13.2">
      <c r="A964" s="215"/>
    </row>
    <row r="965" spans="1:1" ht="13.2">
      <c r="A965" s="215"/>
    </row>
    <row r="966" spans="1:1" ht="13.2">
      <c r="A966" s="215"/>
    </row>
    <row r="967" spans="1:1" ht="13.2">
      <c r="A967" s="215"/>
    </row>
    <row r="968" spans="1:1" ht="13.2">
      <c r="A968" s="215"/>
    </row>
    <row r="969" spans="1:1" ht="13.2">
      <c r="A969" s="215"/>
    </row>
    <row r="970" spans="1:1" ht="13.2">
      <c r="A970" s="215"/>
    </row>
    <row r="971" spans="1:1" ht="13.2">
      <c r="A971" s="215"/>
    </row>
    <row r="972" spans="1:1" ht="13.2">
      <c r="A972" s="215"/>
    </row>
    <row r="973" spans="1:1" ht="13.2">
      <c r="A973" s="215"/>
    </row>
    <row r="974" spans="1:1" ht="13.2">
      <c r="A974" s="215"/>
    </row>
    <row r="975" spans="1:1" ht="13.2">
      <c r="A975" s="215"/>
    </row>
    <row r="976" spans="1:1" ht="13.2">
      <c r="A976" s="215"/>
    </row>
    <row r="977" spans="1:1" ht="13.2">
      <c r="A977" s="215"/>
    </row>
    <row r="978" spans="1:1" ht="13.2">
      <c r="A978" s="215"/>
    </row>
    <row r="979" spans="1:1" ht="13.2">
      <c r="A979" s="215"/>
    </row>
    <row r="980" spans="1:1" ht="13.2">
      <c r="A980" s="215"/>
    </row>
  </sheetData>
  <mergeCells count="1">
    <mergeCell ref="B20:C20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AE22"/>
  <sheetViews>
    <sheetView workbookViewId="0"/>
  </sheetViews>
  <sheetFormatPr defaultColWidth="12.6640625" defaultRowHeight="15.75" customHeight="1"/>
  <cols>
    <col min="1" max="1" width="3.6640625" customWidth="1"/>
    <col min="3" max="27" width="12.6640625" hidden="1"/>
  </cols>
  <sheetData>
    <row r="1" spans="1:31" ht="16.5" customHeight="1"/>
    <row r="2" spans="1:31" ht="35.25" customHeight="1">
      <c r="B2" s="449" t="s">
        <v>785</v>
      </c>
    </row>
    <row r="3" spans="1:31" ht="13.8">
      <c r="B3" s="136" t="s">
        <v>786</v>
      </c>
      <c r="C3" s="406"/>
      <c r="D3" s="406"/>
      <c r="E3" s="406"/>
      <c r="F3" s="406"/>
      <c r="G3" s="406"/>
      <c r="H3" s="406"/>
      <c r="I3" s="406"/>
      <c r="J3" s="406"/>
      <c r="K3" s="406"/>
    </row>
    <row r="4" spans="1:31" ht="13.8">
      <c r="B4" s="450" t="s">
        <v>787</v>
      </c>
      <c r="C4" s="406"/>
      <c r="D4" s="406"/>
      <c r="E4" s="406"/>
      <c r="F4" s="406"/>
      <c r="G4" s="406"/>
      <c r="H4" s="406"/>
      <c r="I4" s="406"/>
      <c r="J4" s="406"/>
      <c r="K4" s="406"/>
    </row>
    <row r="5" spans="1:31" ht="13.8" hidden="1">
      <c r="A5" s="406"/>
      <c r="B5" s="451">
        <v>4000</v>
      </c>
      <c r="C5" s="406"/>
      <c r="D5" s="406"/>
      <c r="E5" s="406"/>
      <c r="F5" s="406"/>
      <c r="G5" s="406"/>
      <c r="H5" s="406"/>
      <c r="I5" s="406"/>
      <c r="J5" s="406"/>
      <c r="K5" s="406"/>
    </row>
    <row r="6" spans="1:31" ht="14.4">
      <c r="A6" s="240"/>
      <c r="C6" s="85" t="s">
        <v>788</v>
      </c>
    </row>
    <row r="7" spans="1:31" ht="13.8">
      <c r="A7" s="406"/>
      <c r="B7" s="406" t="s">
        <v>789</v>
      </c>
      <c r="C7" s="406" t="s">
        <v>72</v>
      </c>
      <c r="D7" s="406"/>
      <c r="E7" s="406"/>
      <c r="F7" s="422"/>
      <c r="G7" s="422"/>
      <c r="H7" s="422"/>
      <c r="I7" s="422"/>
      <c r="J7" s="422"/>
      <c r="K7" s="422"/>
      <c r="X7" s="85" t="s">
        <v>457</v>
      </c>
      <c r="AB7" s="85" t="s">
        <v>790</v>
      </c>
      <c r="AC7" s="85"/>
      <c r="AD7" s="85"/>
      <c r="AE7" s="85"/>
    </row>
    <row r="8" spans="1:31" ht="14.4">
      <c r="A8" s="452"/>
      <c r="B8" s="265" t="s">
        <v>791</v>
      </c>
      <c r="C8" s="453">
        <v>45912</v>
      </c>
      <c r="D8" s="454">
        <v>45933</v>
      </c>
      <c r="E8" s="454">
        <v>45940</v>
      </c>
      <c r="F8" s="454">
        <v>45947</v>
      </c>
      <c r="G8" s="454">
        <v>45954</v>
      </c>
      <c r="H8" s="454">
        <v>45968</v>
      </c>
      <c r="I8" s="454">
        <v>45975</v>
      </c>
      <c r="J8" s="454">
        <v>45982</v>
      </c>
      <c r="K8" s="454">
        <v>45989</v>
      </c>
      <c r="L8" s="90">
        <v>45996</v>
      </c>
      <c r="M8" s="455">
        <v>46003</v>
      </c>
      <c r="N8" s="455">
        <v>46010</v>
      </c>
      <c r="O8" s="455">
        <v>46017</v>
      </c>
      <c r="P8" s="90">
        <v>46031</v>
      </c>
      <c r="Q8" s="90">
        <v>46038</v>
      </c>
      <c r="R8" s="90">
        <v>46050</v>
      </c>
      <c r="S8" s="90">
        <v>46052</v>
      </c>
      <c r="T8" s="264">
        <v>46059</v>
      </c>
      <c r="U8" s="264">
        <v>46066</v>
      </c>
      <c r="V8" s="264">
        <v>46073</v>
      </c>
      <c r="W8" s="264">
        <v>46080</v>
      </c>
      <c r="X8" s="264">
        <v>46087</v>
      </c>
      <c r="Y8" s="264">
        <v>46094</v>
      </c>
      <c r="Z8" s="264">
        <v>46101</v>
      </c>
      <c r="AA8" s="264">
        <v>46108</v>
      </c>
      <c r="AB8" s="264">
        <v>46115</v>
      </c>
      <c r="AC8" s="264"/>
      <c r="AD8" s="264"/>
      <c r="AE8" s="264"/>
    </row>
    <row r="9" spans="1:31" ht="14.4">
      <c r="A9" s="128">
        <v>1</v>
      </c>
      <c r="B9" s="416" t="s">
        <v>728</v>
      </c>
      <c r="C9" s="456" t="s">
        <v>788</v>
      </c>
      <c r="D9" s="416">
        <v>1</v>
      </c>
      <c r="E9" s="416">
        <v>1</v>
      </c>
      <c r="F9" s="416">
        <v>1</v>
      </c>
      <c r="G9" s="416"/>
      <c r="H9" s="416"/>
      <c r="I9" s="416"/>
      <c r="J9" s="416">
        <v>1</v>
      </c>
      <c r="K9" s="416">
        <v>1</v>
      </c>
      <c r="L9" s="91">
        <v>1</v>
      </c>
      <c r="M9" s="91">
        <v>1</v>
      </c>
      <c r="N9" s="91">
        <v>1</v>
      </c>
      <c r="O9" s="91"/>
      <c r="P9" s="91">
        <v>1</v>
      </c>
      <c r="Q9" s="91">
        <v>1</v>
      </c>
      <c r="R9" s="91">
        <v>1</v>
      </c>
      <c r="S9" s="91">
        <v>1</v>
      </c>
      <c r="T9" s="91">
        <v>1</v>
      </c>
      <c r="U9" s="91">
        <v>1</v>
      </c>
      <c r="V9" s="91">
        <v>1</v>
      </c>
      <c r="W9" s="91">
        <v>1</v>
      </c>
      <c r="X9" s="91">
        <v>1</v>
      </c>
      <c r="Y9" s="91">
        <v>1</v>
      </c>
      <c r="Z9" s="91">
        <v>1</v>
      </c>
      <c r="AA9" s="91">
        <v>1</v>
      </c>
      <c r="AB9" s="91">
        <v>1</v>
      </c>
      <c r="AC9" s="91"/>
      <c r="AD9" s="91"/>
      <c r="AE9" s="91"/>
    </row>
    <row r="10" spans="1:31" ht="14.4">
      <c r="A10" s="128">
        <v>2</v>
      </c>
      <c r="B10" s="416" t="s">
        <v>296</v>
      </c>
      <c r="C10" s="456"/>
      <c r="D10" s="416">
        <v>1</v>
      </c>
      <c r="E10" s="416">
        <v>1</v>
      </c>
      <c r="F10" s="416">
        <v>1</v>
      </c>
      <c r="G10" s="416">
        <v>1</v>
      </c>
      <c r="H10" s="416">
        <v>1</v>
      </c>
      <c r="I10" s="416">
        <v>1</v>
      </c>
      <c r="J10" s="416">
        <v>1</v>
      </c>
      <c r="K10" s="416">
        <v>1</v>
      </c>
      <c r="L10" s="91">
        <v>1</v>
      </c>
      <c r="M10" s="91">
        <v>1</v>
      </c>
      <c r="N10" s="91">
        <v>1</v>
      </c>
      <c r="O10" s="91">
        <v>1</v>
      </c>
      <c r="P10" s="91">
        <v>1</v>
      </c>
      <c r="Q10" s="91">
        <v>1</v>
      </c>
      <c r="R10" s="91">
        <v>1</v>
      </c>
      <c r="S10" s="91">
        <v>1</v>
      </c>
      <c r="T10" s="91">
        <v>1</v>
      </c>
      <c r="U10" s="91">
        <v>1</v>
      </c>
      <c r="V10" s="91">
        <v>1</v>
      </c>
      <c r="W10" s="91">
        <v>1</v>
      </c>
      <c r="X10" s="91">
        <v>1</v>
      </c>
      <c r="Y10" s="91">
        <v>1</v>
      </c>
      <c r="Z10" s="91"/>
      <c r="AA10" s="91">
        <v>1</v>
      </c>
      <c r="AB10" s="91">
        <v>1</v>
      </c>
      <c r="AC10" s="91"/>
      <c r="AD10" s="91"/>
      <c r="AE10" s="91"/>
    </row>
    <row r="11" spans="1:31" ht="14.4">
      <c r="A11" s="128">
        <v>3</v>
      </c>
      <c r="B11" s="416" t="s">
        <v>443</v>
      </c>
      <c r="C11" s="456"/>
      <c r="D11" s="416">
        <v>1</v>
      </c>
      <c r="E11" s="416">
        <v>1</v>
      </c>
      <c r="F11" s="416">
        <v>1</v>
      </c>
      <c r="G11" s="416">
        <v>1</v>
      </c>
      <c r="H11" s="416"/>
      <c r="I11" s="416">
        <v>1</v>
      </c>
      <c r="J11" s="416">
        <v>1</v>
      </c>
      <c r="K11" s="416">
        <v>1</v>
      </c>
      <c r="L11" s="91"/>
      <c r="M11" s="91"/>
      <c r="N11" s="91"/>
      <c r="O11" s="91"/>
      <c r="P11" s="91"/>
      <c r="Q11" s="91"/>
      <c r="R11" s="91"/>
      <c r="S11" s="91">
        <v>1</v>
      </c>
      <c r="T11" s="91">
        <v>1</v>
      </c>
      <c r="U11" s="91">
        <v>1</v>
      </c>
      <c r="V11" s="91">
        <v>1</v>
      </c>
      <c r="W11" s="91"/>
      <c r="X11" s="91">
        <v>1</v>
      </c>
      <c r="Y11" s="91">
        <v>1</v>
      </c>
      <c r="Z11" s="91">
        <v>1</v>
      </c>
      <c r="AA11" s="91">
        <v>1</v>
      </c>
      <c r="AB11" s="91">
        <v>1</v>
      </c>
      <c r="AC11" s="91"/>
      <c r="AD11" s="91"/>
      <c r="AE11" s="91"/>
    </row>
    <row r="12" spans="1:31" ht="14.4">
      <c r="A12" s="128">
        <v>4</v>
      </c>
      <c r="B12" s="416" t="s">
        <v>792</v>
      </c>
      <c r="C12" s="456"/>
      <c r="D12" s="416"/>
      <c r="E12" s="416">
        <v>1</v>
      </c>
      <c r="F12" s="416">
        <v>1</v>
      </c>
      <c r="G12" s="416">
        <v>1</v>
      </c>
      <c r="H12" s="416">
        <v>1</v>
      </c>
      <c r="I12" s="416"/>
      <c r="J12" s="416">
        <v>1</v>
      </c>
      <c r="K12" s="416">
        <v>1</v>
      </c>
      <c r="L12" s="91"/>
      <c r="M12" s="91">
        <v>1</v>
      </c>
      <c r="N12" s="91"/>
      <c r="O12" s="91"/>
      <c r="P12" s="91"/>
      <c r="Q12" s="91">
        <v>1</v>
      </c>
      <c r="R12" s="91"/>
      <c r="S12" s="91"/>
      <c r="T12" s="91">
        <v>1</v>
      </c>
      <c r="U12" s="91">
        <v>1</v>
      </c>
      <c r="V12" s="91">
        <v>1</v>
      </c>
      <c r="W12" s="91"/>
      <c r="X12" s="91"/>
      <c r="Y12" s="91">
        <v>1</v>
      </c>
      <c r="Z12" s="91">
        <v>1</v>
      </c>
      <c r="AA12" s="91">
        <v>1</v>
      </c>
      <c r="AB12" s="91">
        <v>1</v>
      </c>
      <c r="AC12" s="91"/>
      <c r="AD12" s="91"/>
      <c r="AE12" s="91"/>
    </row>
    <row r="13" spans="1:31" ht="14.4">
      <c r="A13" s="128">
        <v>5</v>
      </c>
      <c r="B13" s="416" t="s">
        <v>779</v>
      </c>
      <c r="C13" s="456"/>
      <c r="D13" s="416"/>
      <c r="E13" s="416"/>
      <c r="F13" s="416">
        <v>1</v>
      </c>
      <c r="G13" s="416">
        <v>1</v>
      </c>
      <c r="H13" s="416"/>
      <c r="I13" s="416"/>
      <c r="J13" s="416"/>
      <c r="K13" s="416"/>
      <c r="L13" s="91">
        <v>1</v>
      </c>
      <c r="M13" s="91">
        <v>1</v>
      </c>
      <c r="N13" s="91">
        <v>1</v>
      </c>
      <c r="O13" s="91"/>
      <c r="P13" s="91">
        <v>1</v>
      </c>
      <c r="Q13" s="91">
        <v>1</v>
      </c>
      <c r="R13" s="91"/>
      <c r="S13" s="91">
        <v>1</v>
      </c>
      <c r="T13" s="91">
        <v>1</v>
      </c>
      <c r="U13" s="91">
        <v>1</v>
      </c>
      <c r="V13" s="91">
        <v>1</v>
      </c>
      <c r="W13" s="91"/>
      <c r="X13" s="91">
        <v>1</v>
      </c>
      <c r="Y13" s="91"/>
      <c r="Z13" s="91">
        <v>1</v>
      </c>
      <c r="AA13" s="91">
        <v>1</v>
      </c>
      <c r="AB13" s="91">
        <v>1</v>
      </c>
      <c r="AC13" s="91"/>
      <c r="AD13" s="91"/>
      <c r="AE13" s="91"/>
    </row>
    <row r="14" spans="1:31" ht="13.8">
      <c r="A14" s="457"/>
      <c r="B14" s="457" t="s">
        <v>778</v>
      </c>
      <c r="C14" s="452"/>
      <c r="D14" s="458">
        <v>3</v>
      </c>
      <c r="E14" s="458">
        <v>4</v>
      </c>
      <c r="F14" s="458">
        <v>5</v>
      </c>
      <c r="G14" s="458">
        <v>4</v>
      </c>
      <c r="H14" s="458">
        <v>2</v>
      </c>
      <c r="I14" s="458">
        <v>2</v>
      </c>
      <c r="J14" s="458">
        <v>4</v>
      </c>
      <c r="K14" s="458">
        <v>4</v>
      </c>
      <c r="L14" s="88">
        <v>3</v>
      </c>
      <c r="M14" s="88">
        <v>4</v>
      </c>
      <c r="N14" s="88">
        <v>3</v>
      </c>
      <c r="O14" s="88">
        <v>1</v>
      </c>
      <c r="P14" s="88">
        <v>3</v>
      </c>
      <c r="Q14" s="88">
        <v>4</v>
      </c>
      <c r="R14" s="88">
        <v>2</v>
      </c>
      <c r="S14" s="88">
        <v>4</v>
      </c>
      <c r="T14" s="106">
        <v>5</v>
      </c>
      <c r="U14" s="106">
        <v>5</v>
      </c>
      <c r="V14" s="106">
        <v>5</v>
      </c>
      <c r="W14" s="106">
        <v>2</v>
      </c>
      <c r="X14" s="106">
        <v>4</v>
      </c>
      <c r="Y14" s="106">
        <v>4</v>
      </c>
      <c r="Z14" s="106">
        <v>4</v>
      </c>
      <c r="AA14" s="106">
        <v>5</v>
      </c>
      <c r="AB14" s="106">
        <v>5</v>
      </c>
      <c r="AC14" s="106"/>
      <c r="AD14" s="106"/>
      <c r="AE14" s="106"/>
    </row>
    <row r="15" spans="1:31" ht="13.2">
      <c r="H15" s="85"/>
      <c r="I15" s="85"/>
      <c r="J15" s="85"/>
      <c r="K15" s="85">
        <v>12</v>
      </c>
      <c r="O15" s="85">
        <v>11</v>
      </c>
      <c r="S15" s="85">
        <v>13</v>
      </c>
      <c r="T15" s="85"/>
      <c r="U15" s="85"/>
      <c r="V15" s="85"/>
      <c r="W15" s="85">
        <v>17</v>
      </c>
      <c r="X15" s="85"/>
      <c r="Y15" s="85"/>
      <c r="Z15" s="85"/>
      <c r="AA15" s="85">
        <v>17</v>
      </c>
      <c r="AB15" s="85"/>
      <c r="AC15" s="85"/>
      <c r="AD15" s="85"/>
      <c r="AE15" s="85"/>
    </row>
    <row r="16" spans="1:31" ht="13.2">
      <c r="C16" s="85" t="s">
        <v>72</v>
      </c>
      <c r="J16" s="95" t="s">
        <v>128</v>
      </c>
      <c r="K16" s="95" t="s">
        <v>793</v>
      </c>
      <c r="N16" s="95" t="s">
        <v>183</v>
      </c>
      <c r="O16" s="114" t="s">
        <v>794</v>
      </c>
      <c r="R16" s="95" t="s">
        <v>128</v>
      </c>
      <c r="S16" s="114" t="s">
        <v>795</v>
      </c>
      <c r="V16" s="95" t="s">
        <v>128</v>
      </c>
      <c r="W16" s="95">
        <f>W15*B5</f>
        <v>68000</v>
      </c>
      <c r="X16" s="117"/>
      <c r="Y16" s="117"/>
      <c r="Z16" s="95" t="s">
        <v>128</v>
      </c>
      <c r="AA16" s="95">
        <f>AA15*B5</f>
        <v>68000</v>
      </c>
      <c r="AB16" s="117"/>
      <c r="AC16" s="117"/>
      <c r="AD16" s="117"/>
      <c r="AE16" s="117"/>
    </row>
    <row r="17" spans="1:27" ht="14.4">
      <c r="A17" s="220"/>
      <c r="B17" s="205"/>
      <c r="C17" s="221">
        <v>45912</v>
      </c>
      <c r="D17" s="220"/>
      <c r="E17" s="220"/>
    </row>
    <row r="18" spans="1:27" ht="14.4">
      <c r="A18" s="240"/>
    </row>
    <row r="19" spans="1:27" ht="14.4">
      <c r="A19" s="240"/>
      <c r="AA19" s="85">
        <v>0</v>
      </c>
    </row>
    <row r="20" spans="1:27" ht="13.2">
      <c r="F20" s="213"/>
      <c r="G20" s="213"/>
      <c r="H20" s="213"/>
      <c r="I20" s="213"/>
      <c r="J20" s="213"/>
      <c r="K20" s="213"/>
    </row>
    <row r="21" spans="1:27" ht="14.4">
      <c r="A21" s="240"/>
    </row>
    <row r="22" spans="1:27" ht="13.2">
      <c r="A22" s="100"/>
      <c r="B22" s="100"/>
      <c r="C22" s="100"/>
      <c r="D22" s="100"/>
      <c r="E22" s="100"/>
    </row>
  </sheetData>
  <hyperlinks>
    <hyperlink ref="B4" r:id="rId1" xr:uid="{00000000-0004-0000-2000-000000000000}"/>
  </hyperlinks>
  <pageMargins left="0.7" right="0.7" top="0.75" bottom="0.75" header="0.3" footer="0.3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AH21"/>
  <sheetViews>
    <sheetView workbookViewId="0"/>
  </sheetViews>
  <sheetFormatPr defaultColWidth="12.6640625" defaultRowHeight="15.75" customHeight="1"/>
  <cols>
    <col min="1" max="1" width="3.21875" customWidth="1"/>
    <col min="3" max="29" width="12.6640625" hidden="1"/>
  </cols>
  <sheetData>
    <row r="1" spans="1:34" ht="13.2">
      <c r="A1" s="85" t="s">
        <v>67</v>
      </c>
      <c r="C1" s="85" t="s">
        <v>668</v>
      </c>
    </row>
    <row r="2" spans="1:34" ht="24">
      <c r="B2" s="459" t="s">
        <v>796</v>
      </c>
      <c r="C2" s="460" t="s">
        <v>796</v>
      </c>
      <c r="H2" s="460"/>
    </row>
    <row r="3" spans="1:34" ht="13.2">
      <c r="B3" s="85" t="s">
        <v>797</v>
      </c>
      <c r="D3" s="85" t="s">
        <v>797</v>
      </c>
    </row>
    <row r="5" spans="1:34" ht="13.2">
      <c r="B5" s="395" t="s">
        <v>798</v>
      </c>
      <c r="C5" s="85" t="s">
        <v>797</v>
      </c>
    </row>
    <row r="6" spans="1:34" ht="13.2" hidden="1">
      <c r="B6" s="87">
        <v>2500</v>
      </c>
    </row>
    <row r="7" spans="1:34" ht="13.2">
      <c r="B7" s="85" t="s">
        <v>799</v>
      </c>
      <c r="C7" s="85" t="s">
        <v>668</v>
      </c>
      <c r="I7" s="85" t="s">
        <v>261</v>
      </c>
      <c r="W7" s="85" t="s">
        <v>455</v>
      </c>
      <c r="X7" s="85" t="s">
        <v>456</v>
      </c>
    </row>
    <row r="8" spans="1:34" ht="14.4">
      <c r="A8" s="461"/>
      <c r="B8" s="461" t="s">
        <v>232</v>
      </c>
      <c r="C8" s="462">
        <v>45912</v>
      </c>
      <c r="D8" s="463">
        <v>45919</v>
      </c>
      <c r="E8" s="463">
        <v>45926</v>
      </c>
      <c r="F8" s="464">
        <v>45933</v>
      </c>
      <c r="G8" s="464">
        <v>45940</v>
      </c>
      <c r="H8" s="464">
        <v>45947</v>
      </c>
      <c r="I8" s="464">
        <v>45954</v>
      </c>
      <c r="J8" s="113" t="s">
        <v>800</v>
      </c>
      <c r="K8" s="104">
        <v>45972</v>
      </c>
      <c r="L8" s="104">
        <v>45979</v>
      </c>
      <c r="M8" s="104">
        <v>45986</v>
      </c>
      <c r="N8" s="104">
        <v>45993</v>
      </c>
      <c r="O8" s="104">
        <v>46000</v>
      </c>
      <c r="P8" s="465">
        <v>46007</v>
      </c>
      <c r="Q8" s="104">
        <v>46014</v>
      </c>
      <c r="R8" s="466">
        <v>46020</v>
      </c>
      <c r="S8" s="113" t="s">
        <v>801</v>
      </c>
      <c r="T8" s="467">
        <v>46035</v>
      </c>
      <c r="U8" s="467">
        <v>46042</v>
      </c>
      <c r="V8" s="467">
        <v>46049</v>
      </c>
      <c r="W8" s="264">
        <v>46056</v>
      </c>
      <c r="X8" s="264">
        <v>46063</v>
      </c>
      <c r="Y8" s="264">
        <v>46077</v>
      </c>
      <c r="Z8" s="262">
        <v>46084</v>
      </c>
      <c r="AA8" s="262">
        <v>46091</v>
      </c>
      <c r="AB8" s="262">
        <v>46098</v>
      </c>
      <c r="AC8" s="262">
        <v>46112</v>
      </c>
      <c r="AD8" s="262"/>
      <c r="AE8" s="262"/>
      <c r="AF8" s="262"/>
      <c r="AG8" s="262"/>
      <c r="AH8" s="262"/>
    </row>
    <row r="9" spans="1:34" ht="14.4">
      <c r="A9" s="468">
        <v>1</v>
      </c>
      <c r="B9" s="469" t="s">
        <v>188</v>
      </c>
      <c r="C9" s="126"/>
      <c r="D9" s="91">
        <v>1</v>
      </c>
      <c r="E9" s="91">
        <v>1</v>
      </c>
      <c r="F9" s="91">
        <v>1</v>
      </c>
      <c r="G9" s="91">
        <v>1</v>
      </c>
      <c r="H9" s="91">
        <v>1</v>
      </c>
      <c r="I9" s="91">
        <v>1</v>
      </c>
      <c r="J9" s="91">
        <v>1</v>
      </c>
      <c r="K9" s="91"/>
      <c r="L9" s="91">
        <v>1</v>
      </c>
      <c r="M9" s="91">
        <v>1</v>
      </c>
      <c r="N9" s="91">
        <v>1</v>
      </c>
      <c r="O9" s="91">
        <v>1</v>
      </c>
      <c r="P9" s="470"/>
      <c r="Q9" s="91">
        <v>1</v>
      </c>
      <c r="R9" s="91">
        <v>1</v>
      </c>
      <c r="S9" s="91">
        <v>1</v>
      </c>
      <c r="T9" s="91">
        <v>1</v>
      </c>
      <c r="U9" s="91">
        <v>1</v>
      </c>
      <c r="V9" s="91">
        <v>1</v>
      </c>
      <c r="W9" s="91">
        <v>1</v>
      </c>
      <c r="X9" s="91">
        <v>1</v>
      </c>
      <c r="Y9" s="91">
        <v>1</v>
      </c>
      <c r="Z9" s="91">
        <v>1</v>
      </c>
      <c r="AA9" s="91"/>
      <c r="AB9" s="91"/>
      <c r="AC9" s="91"/>
      <c r="AD9" s="91"/>
      <c r="AE9" s="91"/>
      <c r="AF9" s="91"/>
      <c r="AG9" s="91"/>
      <c r="AH9" s="91"/>
    </row>
    <row r="10" spans="1:34" ht="14.4">
      <c r="A10" s="468">
        <v>2</v>
      </c>
      <c r="B10" s="469" t="s">
        <v>460</v>
      </c>
      <c r="C10" s="126"/>
      <c r="D10" s="91">
        <v>1</v>
      </c>
      <c r="E10" s="91">
        <v>1</v>
      </c>
      <c r="F10" s="91">
        <v>1</v>
      </c>
      <c r="G10" s="91">
        <v>1</v>
      </c>
      <c r="H10" s="91">
        <v>1</v>
      </c>
      <c r="I10" s="91">
        <v>1</v>
      </c>
      <c r="J10" s="91"/>
      <c r="K10" s="91">
        <v>1</v>
      </c>
      <c r="L10" s="91">
        <v>1</v>
      </c>
      <c r="M10" s="91">
        <v>1</v>
      </c>
      <c r="N10" s="91">
        <v>1</v>
      </c>
      <c r="O10" s="91">
        <v>1</v>
      </c>
      <c r="P10" s="470"/>
      <c r="Q10" s="91">
        <v>1</v>
      </c>
      <c r="R10" s="91">
        <v>1</v>
      </c>
      <c r="S10" s="91">
        <v>1</v>
      </c>
      <c r="T10" s="91">
        <v>1</v>
      </c>
      <c r="U10" s="91">
        <v>1</v>
      </c>
      <c r="V10" s="91">
        <v>1</v>
      </c>
      <c r="W10" s="91">
        <v>1</v>
      </c>
      <c r="X10" s="91">
        <v>1</v>
      </c>
      <c r="Y10" s="91">
        <v>1</v>
      </c>
      <c r="Z10" s="91">
        <v>1</v>
      </c>
      <c r="AA10" s="91"/>
      <c r="AB10" s="91"/>
      <c r="AC10" s="91"/>
      <c r="AD10" s="91"/>
      <c r="AE10" s="91"/>
      <c r="AF10" s="91"/>
      <c r="AG10" s="91"/>
      <c r="AH10" s="91"/>
    </row>
    <row r="11" spans="1:34" ht="14.4">
      <c r="A11" s="468">
        <v>3</v>
      </c>
      <c r="B11" s="469" t="s">
        <v>715</v>
      </c>
      <c r="C11" s="126"/>
      <c r="D11" s="91"/>
      <c r="E11" s="91">
        <v>1</v>
      </c>
      <c r="F11" s="91">
        <v>1</v>
      </c>
      <c r="G11" s="91">
        <v>1</v>
      </c>
      <c r="H11" s="91"/>
      <c r="I11" s="91">
        <v>1</v>
      </c>
      <c r="J11" s="91"/>
      <c r="K11" s="91"/>
      <c r="L11" s="91">
        <v>1</v>
      </c>
      <c r="M11" s="91"/>
      <c r="N11" s="91"/>
      <c r="O11" s="91">
        <v>1</v>
      </c>
      <c r="P11" s="470"/>
      <c r="Q11" s="91"/>
      <c r="R11" s="91">
        <v>1</v>
      </c>
      <c r="S11" s="91">
        <v>1</v>
      </c>
      <c r="T11" s="91"/>
      <c r="U11" s="91"/>
      <c r="V11" s="91">
        <v>1</v>
      </c>
      <c r="W11" s="91">
        <v>1</v>
      </c>
      <c r="X11" s="91">
        <v>1</v>
      </c>
      <c r="Y11" s="91">
        <v>1</v>
      </c>
      <c r="Z11" s="91"/>
      <c r="AA11" s="91"/>
      <c r="AB11" s="91"/>
      <c r="AC11" s="91"/>
      <c r="AD11" s="91"/>
      <c r="AE11" s="91"/>
      <c r="AF11" s="91"/>
      <c r="AG11" s="91"/>
      <c r="AH11" s="91"/>
    </row>
    <row r="12" spans="1:34" ht="14.4">
      <c r="A12" s="468">
        <v>4</v>
      </c>
      <c r="B12" s="469" t="s">
        <v>802</v>
      </c>
      <c r="C12" s="126"/>
      <c r="D12" s="91">
        <v>1</v>
      </c>
      <c r="E12" s="91">
        <v>1</v>
      </c>
      <c r="F12" s="91">
        <v>1</v>
      </c>
      <c r="G12" s="91">
        <v>1</v>
      </c>
      <c r="H12" s="91">
        <v>1</v>
      </c>
      <c r="I12" s="91">
        <v>1</v>
      </c>
      <c r="J12" s="91"/>
      <c r="K12" s="91">
        <v>1</v>
      </c>
      <c r="L12" s="91"/>
      <c r="M12" s="91">
        <v>1</v>
      </c>
      <c r="N12" s="91">
        <v>1</v>
      </c>
      <c r="O12" s="91"/>
      <c r="P12" s="470"/>
      <c r="Q12" s="91">
        <v>1</v>
      </c>
      <c r="R12" s="91"/>
      <c r="S12" s="91"/>
      <c r="T12" s="91">
        <v>1</v>
      </c>
      <c r="U12" s="91"/>
      <c r="V12" s="91">
        <v>1</v>
      </c>
      <c r="W12" s="91">
        <v>1</v>
      </c>
      <c r="X12" s="91"/>
      <c r="Y12" s="91"/>
      <c r="Z12" s="91">
        <v>1</v>
      </c>
      <c r="AA12" s="91">
        <v>1</v>
      </c>
      <c r="AB12" s="91">
        <v>1</v>
      </c>
      <c r="AC12" s="91"/>
      <c r="AD12" s="91"/>
      <c r="AE12" s="91"/>
      <c r="AF12" s="91"/>
      <c r="AG12" s="91"/>
      <c r="AH12" s="91"/>
    </row>
    <row r="13" spans="1:34" ht="13.2">
      <c r="A13" s="374">
        <v>5</v>
      </c>
      <c r="B13" s="471" t="s">
        <v>773</v>
      </c>
      <c r="C13" s="126"/>
      <c r="D13" s="91">
        <v>1</v>
      </c>
      <c r="E13" s="472">
        <v>1</v>
      </c>
      <c r="F13" s="91">
        <v>1</v>
      </c>
      <c r="G13" s="91">
        <v>1</v>
      </c>
      <c r="H13" s="91"/>
      <c r="I13" s="91">
        <v>1</v>
      </c>
      <c r="J13" s="91">
        <v>1</v>
      </c>
      <c r="K13" s="91">
        <v>1</v>
      </c>
      <c r="L13" s="91">
        <v>1</v>
      </c>
      <c r="M13" s="91">
        <v>1</v>
      </c>
      <c r="N13" s="91">
        <v>1</v>
      </c>
      <c r="O13" s="91">
        <v>1</v>
      </c>
      <c r="P13" s="470"/>
      <c r="Q13" s="91"/>
      <c r="R13" s="91">
        <v>1</v>
      </c>
      <c r="S13" s="91">
        <v>1</v>
      </c>
      <c r="T13" s="91">
        <v>1</v>
      </c>
      <c r="U13" s="91"/>
      <c r="V13" s="91"/>
      <c r="W13" s="91">
        <v>1</v>
      </c>
      <c r="X13" s="91">
        <v>1</v>
      </c>
      <c r="Y13" s="91">
        <v>1</v>
      </c>
      <c r="Z13" s="91">
        <v>1</v>
      </c>
      <c r="AA13" s="91">
        <v>1</v>
      </c>
      <c r="AB13" s="91">
        <v>1</v>
      </c>
      <c r="AC13" s="91">
        <v>1</v>
      </c>
      <c r="AD13" s="91"/>
      <c r="AE13" s="91"/>
      <c r="AF13" s="91"/>
      <c r="AG13" s="91"/>
      <c r="AH13" s="91"/>
    </row>
    <row r="14" spans="1:34" ht="13.2">
      <c r="A14" s="374">
        <v>6</v>
      </c>
      <c r="B14" s="473" t="s">
        <v>194</v>
      </c>
      <c r="C14" s="126"/>
      <c r="D14" s="91"/>
      <c r="E14" s="91"/>
      <c r="F14" s="91">
        <v>1</v>
      </c>
      <c r="G14" s="91"/>
      <c r="H14" s="91">
        <v>1</v>
      </c>
      <c r="I14" s="91">
        <v>1</v>
      </c>
      <c r="J14" s="91">
        <v>1</v>
      </c>
      <c r="K14" s="91">
        <v>1</v>
      </c>
      <c r="L14" s="91">
        <v>1</v>
      </c>
      <c r="M14" s="91"/>
      <c r="N14" s="91">
        <v>1</v>
      </c>
      <c r="O14" s="91">
        <v>1</v>
      </c>
      <c r="P14" s="470"/>
      <c r="Q14" s="91">
        <v>1</v>
      </c>
      <c r="R14" s="91">
        <v>1</v>
      </c>
      <c r="S14" s="91">
        <v>1</v>
      </c>
      <c r="T14" s="91">
        <v>1</v>
      </c>
      <c r="U14" s="91">
        <v>1</v>
      </c>
      <c r="V14" s="91">
        <v>1</v>
      </c>
      <c r="W14" s="91">
        <v>1</v>
      </c>
      <c r="X14" s="91"/>
      <c r="Y14" s="91">
        <v>1</v>
      </c>
      <c r="Z14" s="91"/>
      <c r="AA14" s="91">
        <v>1</v>
      </c>
      <c r="AB14" s="91"/>
      <c r="AC14" s="91">
        <v>1</v>
      </c>
      <c r="AD14" s="91"/>
      <c r="AE14" s="91"/>
      <c r="AF14" s="91"/>
      <c r="AG14" s="91"/>
      <c r="AH14" s="91"/>
    </row>
    <row r="15" spans="1:34" ht="13.2">
      <c r="A15" s="374">
        <v>7</v>
      </c>
      <c r="B15" s="473" t="s">
        <v>803</v>
      </c>
      <c r="C15" s="126"/>
      <c r="D15" s="91"/>
      <c r="E15" s="91"/>
      <c r="F15" s="138">
        <v>1</v>
      </c>
      <c r="G15" s="91">
        <v>1</v>
      </c>
      <c r="H15" s="91">
        <v>1</v>
      </c>
      <c r="I15" s="91">
        <v>1</v>
      </c>
      <c r="J15" s="91">
        <v>1</v>
      </c>
      <c r="K15" s="91">
        <v>1</v>
      </c>
      <c r="L15" s="91">
        <v>1</v>
      </c>
      <c r="M15" s="91">
        <v>1</v>
      </c>
      <c r="N15" s="91">
        <v>1</v>
      </c>
      <c r="O15" s="91">
        <v>1</v>
      </c>
      <c r="P15" s="470"/>
      <c r="Q15" s="91">
        <v>1</v>
      </c>
      <c r="R15" s="91">
        <v>1</v>
      </c>
      <c r="S15" s="91">
        <v>1</v>
      </c>
      <c r="T15" s="91"/>
      <c r="U15" s="91">
        <v>1</v>
      </c>
      <c r="V15" s="91">
        <v>1</v>
      </c>
      <c r="W15" s="91">
        <v>1</v>
      </c>
      <c r="X15" s="91">
        <v>1</v>
      </c>
      <c r="Y15" s="91">
        <v>1</v>
      </c>
      <c r="Z15" s="91">
        <v>1</v>
      </c>
      <c r="AA15" s="91">
        <v>1</v>
      </c>
      <c r="AB15" s="91">
        <v>1</v>
      </c>
      <c r="AC15" s="91">
        <v>1</v>
      </c>
      <c r="AD15" s="91"/>
      <c r="AE15" s="91"/>
      <c r="AF15" s="91"/>
      <c r="AG15" s="91"/>
      <c r="AH15" s="91"/>
    </row>
    <row r="16" spans="1:34" ht="13.2">
      <c r="A16" s="374"/>
      <c r="B16" s="473" t="s">
        <v>498</v>
      </c>
      <c r="C16" s="126"/>
      <c r="D16" s="91"/>
      <c r="E16" s="91"/>
      <c r="F16" s="138"/>
      <c r="G16" s="91"/>
      <c r="H16" s="91"/>
      <c r="I16" s="91"/>
      <c r="J16" s="91"/>
      <c r="K16" s="91"/>
      <c r="L16" s="91"/>
      <c r="M16" s="91"/>
      <c r="N16" s="91"/>
      <c r="O16" s="91"/>
      <c r="P16" s="470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>
        <v>1</v>
      </c>
      <c r="AD16" s="91"/>
      <c r="AE16" s="91"/>
      <c r="AF16" s="91"/>
      <c r="AG16" s="91"/>
      <c r="AH16" s="91"/>
    </row>
    <row r="17" spans="1:34" ht="13.2">
      <c r="A17" s="142"/>
      <c r="B17" s="142" t="s">
        <v>196</v>
      </c>
      <c r="C17" s="113"/>
      <c r="D17" s="142">
        <v>5</v>
      </c>
      <c r="E17" s="113">
        <v>7</v>
      </c>
      <c r="F17" s="113">
        <v>7</v>
      </c>
      <c r="G17" s="113">
        <v>6</v>
      </c>
      <c r="H17" s="113">
        <v>5</v>
      </c>
      <c r="I17" s="113">
        <v>7</v>
      </c>
      <c r="J17" s="113">
        <v>4</v>
      </c>
      <c r="K17" s="113">
        <v>5</v>
      </c>
      <c r="L17" s="113">
        <v>6</v>
      </c>
      <c r="M17" s="113">
        <v>5</v>
      </c>
      <c r="N17" s="113">
        <v>6</v>
      </c>
      <c r="O17" s="113">
        <v>6</v>
      </c>
      <c r="P17" s="470"/>
      <c r="Q17" s="113">
        <v>5</v>
      </c>
      <c r="R17" s="113">
        <v>6</v>
      </c>
      <c r="S17" s="113">
        <v>6</v>
      </c>
      <c r="T17" s="113">
        <v>5</v>
      </c>
      <c r="U17" s="113">
        <v>4</v>
      </c>
      <c r="V17" s="113">
        <v>6</v>
      </c>
      <c r="W17" s="474" t="s">
        <v>804</v>
      </c>
      <c r="X17" s="106">
        <v>5</v>
      </c>
      <c r="Y17" s="106">
        <v>6</v>
      </c>
      <c r="Z17" s="106">
        <v>5</v>
      </c>
      <c r="AA17" s="106">
        <v>4</v>
      </c>
      <c r="AB17" s="106">
        <v>3</v>
      </c>
      <c r="AC17" s="106">
        <v>4</v>
      </c>
      <c r="AD17" s="106"/>
      <c r="AE17" s="106"/>
      <c r="AF17" s="106"/>
      <c r="AG17" s="106"/>
      <c r="AH17" s="106"/>
    </row>
    <row r="18" spans="1:34" ht="13.2">
      <c r="I18" s="85">
        <f>SUM(F17:I17)</f>
        <v>25</v>
      </c>
      <c r="M18" s="85">
        <v>20</v>
      </c>
      <c r="R18" s="85">
        <v>23</v>
      </c>
      <c r="V18" s="85">
        <v>21</v>
      </c>
      <c r="Y18" s="85">
        <v>18</v>
      </c>
      <c r="AC18" s="85">
        <v>15</v>
      </c>
    </row>
    <row r="19" spans="1:34" ht="13.2">
      <c r="H19" s="114" t="s">
        <v>128</v>
      </c>
      <c r="I19" s="114" t="s">
        <v>805</v>
      </c>
      <c r="L19" s="95" t="s">
        <v>128</v>
      </c>
      <c r="M19" s="95" t="s">
        <v>806</v>
      </c>
      <c r="Q19" s="95" t="s">
        <v>128</v>
      </c>
      <c r="R19" s="114" t="s">
        <v>807</v>
      </c>
      <c r="U19" s="115" t="s">
        <v>128</v>
      </c>
      <c r="V19" s="115">
        <v>52500</v>
      </c>
      <c r="X19" s="95" t="s">
        <v>128</v>
      </c>
      <c r="Y19" s="95" t="s">
        <v>808</v>
      </c>
      <c r="AB19" s="95" t="s">
        <v>128</v>
      </c>
      <c r="AC19" s="95" t="s">
        <v>809</v>
      </c>
    </row>
    <row r="21" spans="1:34" ht="13.2">
      <c r="AB21" s="85">
        <v>0</v>
      </c>
    </row>
  </sheetData>
  <hyperlinks>
    <hyperlink ref="B5" r:id="rId1" xr:uid="{00000000-0004-0000-2100-000000000000}"/>
  </hyperlinks>
  <pageMargins left="0.7" right="0.7" top="0.75" bottom="0.75" header="0.3" footer="0.3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AE30"/>
  <sheetViews>
    <sheetView workbookViewId="0"/>
  </sheetViews>
  <sheetFormatPr defaultColWidth="12.6640625" defaultRowHeight="15.75" customHeight="1"/>
  <cols>
    <col min="1" max="1" width="4" customWidth="1"/>
    <col min="2" max="2" width="17.88671875" customWidth="1"/>
    <col min="3" max="27" width="12.6640625" hidden="1"/>
  </cols>
  <sheetData>
    <row r="1" spans="1:31" ht="15">
      <c r="O1" s="475"/>
      <c r="P1" s="475"/>
      <c r="Q1" s="475"/>
      <c r="R1" s="475"/>
      <c r="S1" s="475"/>
      <c r="T1" s="475" t="s">
        <v>67</v>
      </c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</row>
    <row r="2" spans="1:31" ht="34.799999999999997">
      <c r="B2" s="476" t="s">
        <v>810</v>
      </c>
    </row>
    <row r="3" spans="1:31" ht="14.4">
      <c r="B3" s="398" t="s">
        <v>811</v>
      </c>
    </row>
    <row r="4" spans="1:31" ht="14.4">
      <c r="B4" s="260" t="s">
        <v>812</v>
      </c>
    </row>
    <row r="5" spans="1:31" ht="13.2" hidden="1">
      <c r="B5" s="87">
        <v>4000</v>
      </c>
    </row>
    <row r="6" spans="1:31" ht="14.4">
      <c r="A6" s="193"/>
      <c r="B6" s="205"/>
    </row>
    <row r="7" spans="1:31" ht="14.4">
      <c r="A7" s="193"/>
      <c r="B7" s="260" t="s">
        <v>813</v>
      </c>
      <c r="C7" s="406"/>
      <c r="D7" s="406"/>
      <c r="E7" s="406"/>
      <c r="F7" s="406"/>
      <c r="G7" s="406"/>
      <c r="H7" s="406"/>
      <c r="I7" s="406"/>
      <c r="J7" s="406"/>
      <c r="K7" s="406"/>
      <c r="L7" s="406"/>
      <c r="M7" s="406"/>
      <c r="N7" s="406"/>
      <c r="O7" s="406"/>
      <c r="P7" s="406" t="s">
        <v>537</v>
      </c>
      <c r="Q7" s="406" t="s">
        <v>537</v>
      </c>
      <c r="R7" s="406" t="s">
        <v>537</v>
      </c>
      <c r="S7" s="406" t="s">
        <v>538</v>
      </c>
      <c r="T7" s="406"/>
      <c r="U7" s="406"/>
      <c r="V7" s="406"/>
      <c r="W7" s="406"/>
      <c r="X7" s="406"/>
      <c r="Y7" s="406"/>
      <c r="Z7" s="406"/>
      <c r="AA7" s="406"/>
      <c r="AB7" s="406"/>
      <c r="AC7" s="406"/>
      <c r="AD7" s="406"/>
      <c r="AE7" s="406"/>
    </row>
    <row r="8" spans="1:31" ht="14.4">
      <c r="A8" s="311" t="s">
        <v>212</v>
      </c>
      <c r="B8" s="407" t="s">
        <v>232</v>
      </c>
      <c r="C8" s="477">
        <v>45933</v>
      </c>
      <c r="D8" s="477">
        <v>45940</v>
      </c>
      <c r="E8" s="124">
        <v>45947</v>
      </c>
      <c r="F8" s="124">
        <v>45954</v>
      </c>
      <c r="G8" s="124">
        <v>45961</v>
      </c>
      <c r="H8" s="124">
        <v>45968</v>
      </c>
      <c r="I8" s="124">
        <v>45975</v>
      </c>
      <c r="J8" s="124">
        <v>45982</v>
      </c>
      <c r="K8" s="124">
        <v>45989</v>
      </c>
      <c r="L8" s="124">
        <v>45996</v>
      </c>
      <c r="M8" s="124">
        <v>46003</v>
      </c>
      <c r="N8" s="124">
        <v>46010</v>
      </c>
      <c r="O8" s="124">
        <v>46017</v>
      </c>
      <c r="P8" s="124">
        <v>46031</v>
      </c>
      <c r="Q8" s="124">
        <v>46038</v>
      </c>
      <c r="R8" s="124">
        <v>46045</v>
      </c>
      <c r="S8" s="124">
        <v>46052</v>
      </c>
      <c r="T8" s="106">
        <v>6</v>
      </c>
      <c r="U8" s="106">
        <v>13</v>
      </c>
      <c r="V8" s="106">
        <v>20</v>
      </c>
      <c r="W8" s="106">
        <v>27</v>
      </c>
      <c r="X8" s="105">
        <v>46087</v>
      </c>
      <c r="Y8" s="105">
        <v>46094</v>
      </c>
      <c r="Z8" s="105">
        <v>46101</v>
      </c>
      <c r="AA8" s="105">
        <v>46108</v>
      </c>
      <c r="AB8" s="105"/>
      <c r="AC8" s="105"/>
      <c r="AD8" s="105"/>
      <c r="AE8" s="105"/>
    </row>
    <row r="9" spans="1:31" ht="14.4">
      <c r="A9" s="411">
        <v>1</v>
      </c>
      <c r="B9" s="298" t="s">
        <v>814</v>
      </c>
      <c r="C9" s="416">
        <v>1</v>
      </c>
      <c r="D9" s="416">
        <v>1</v>
      </c>
      <c r="E9" s="416">
        <v>1</v>
      </c>
      <c r="F9" s="416">
        <v>1</v>
      </c>
      <c r="G9" s="416"/>
      <c r="H9" s="416">
        <v>1</v>
      </c>
      <c r="I9" s="416">
        <v>1</v>
      </c>
      <c r="J9" s="416">
        <v>1</v>
      </c>
      <c r="K9" s="416"/>
      <c r="L9" s="416">
        <v>1</v>
      </c>
      <c r="M9" s="416">
        <v>1</v>
      </c>
      <c r="N9" s="416">
        <v>1</v>
      </c>
      <c r="O9" s="416">
        <v>1</v>
      </c>
      <c r="P9" s="416">
        <v>1</v>
      </c>
      <c r="Q9" s="416">
        <v>1</v>
      </c>
      <c r="R9" s="416">
        <v>1</v>
      </c>
      <c r="S9" s="416">
        <v>1</v>
      </c>
      <c r="T9" s="416">
        <v>1</v>
      </c>
      <c r="U9" s="416">
        <v>1</v>
      </c>
      <c r="V9" s="416">
        <v>1</v>
      </c>
      <c r="W9" s="416"/>
      <c r="X9" s="416">
        <v>1</v>
      </c>
      <c r="Y9" s="416">
        <v>1</v>
      </c>
      <c r="Z9" s="416">
        <v>1</v>
      </c>
      <c r="AA9" s="416"/>
      <c r="AB9" s="416"/>
      <c r="AC9" s="416"/>
      <c r="AD9" s="416"/>
      <c r="AE9" s="416"/>
    </row>
    <row r="10" spans="1:31" ht="14.4">
      <c r="A10" s="415">
        <v>2</v>
      </c>
      <c r="B10" s="298" t="s">
        <v>815</v>
      </c>
      <c r="C10" s="416">
        <v>1</v>
      </c>
      <c r="D10" s="416">
        <v>1</v>
      </c>
      <c r="E10" s="416">
        <v>1</v>
      </c>
      <c r="F10" s="416">
        <v>1</v>
      </c>
      <c r="G10" s="416"/>
      <c r="H10" s="416">
        <v>1</v>
      </c>
      <c r="I10" s="416">
        <v>1</v>
      </c>
      <c r="J10" s="416">
        <v>1</v>
      </c>
      <c r="K10" s="416">
        <v>1</v>
      </c>
      <c r="L10" s="416">
        <v>1</v>
      </c>
      <c r="M10" s="416">
        <v>1</v>
      </c>
      <c r="N10" s="416"/>
      <c r="O10" s="416"/>
      <c r="P10" s="416">
        <v>1</v>
      </c>
      <c r="Q10" s="416">
        <v>1</v>
      </c>
      <c r="R10" s="416">
        <v>1</v>
      </c>
      <c r="S10" s="416">
        <v>1</v>
      </c>
      <c r="T10" s="416">
        <v>1</v>
      </c>
      <c r="U10" s="416">
        <v>1</v>
      </c>
      <c r="V10" s="416">
        <v>1</v>
      </c>
      <c r="W10" s="416"/>
      <c r="X10" s="416">
        <v>1</v>
      </c>
      <c r="Y10" s="416"/>
      <c r="Z10" s="416"/>
      <c r="AA10" s="416"/>
      <c r="AB10" s="416"/>
      <c r="AC10" s="416"/>
      <c r="AD10" s="416"/>
      <c r="AE10" s="416"/>
    </row>
    <row r="11" spans="1:31" ht="14.4">
      <c r="A11" s="415">
        <v>3</v>
      </c>
      <c r="B11" s="298" t="s">
        <v>816</v>
      </c>
      <c r="C11" s="416"/>
      <c r="D11" s="416"/>
      <c r="E11" s="416"/>
      <c r="F11" s="416"/>
      <c r="G11" s="416"/>
      <c r="H11" s="416"/>
      <c r="I11" s="416"/>
      <c r="J11" s="416"/>
      <c r="K11" s="416"/>
      <c r="L11" s="416"/>
      <c r="M11" s="416"/>
      <c r="N11" s="416"/>
      <c r="O11" s="416"/>
      <c r="P11" s="416"/>
      <c r="Q11" s="416">
        <v>1</v>
      </c>
      <c r="R11" s="416">
        <v>1</v>
      </c>
      <c r="S11" s="416">
        <v>1</v>
      </c>
      <c r="T11" s="416"/>
      <c r="U11" s="416">
        <v>1</v>
      </c>
      <c r="V11" s="416"/>
      <c r="W11" s="416">
        <v>1</v>
      </c>
      <c r="X11" s="416"/>
      <c r="Y11" s="416"/>
      <c r="Z11" s="416"/>
      <c r="AA11" s="416"/>
      <c r="AB11" s="416"/>
      <c r="AC11" s="416"/>
      <c r="AD11" s="416"/>
      <c r="AE11" s="416"/>
    </row>
    <row r="12" spans="1:31" ht="14.4">
      <c r="A12" s="415">
        <v>4</v>
      </c>
      <c r="B12" s="298" t="s">
        <v>817</v>
      </c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416"/>
      <c r="O12" s="416"/>
      <c r="P12" s="416"/>
      <c r="Q12" s="416"/>
      <c r="R12" s="416"/>
      <c r="S12" s="416"/>
      <c r="T12" s="416"/>
      <c r="U12" s="416"/>
      <c r="V12" s="416"/>
      <c r="W12" s="416"/>
      <c r="X12" s="416">
        <v>1</v>
      </c>
      <c r="Y12" s="416"/>
      <c r="Z12" s="416">
        <v>1</v>
      </c>
      <c r="AA12" s="416"/>
      <c r="AB12" s="416"/>
      <c r="AC12" s="416"/>
      <c r="AD12" s="416"/>
      <c r="AE12" s="416"/>
    </row>
    <row r="13" spans="1:31" ht="14.4">
      <c r="A13" s="415">
        <v>5</v>
      </c>
      <c r="B13" s="298" t="s">
        <v>818</v>
      </c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416"/>
      <c r="O13" s="416"/>
      <c r="P13" s="416"/>
      <c r="Q13" s="416"/>
      <c r="R13" s="416"/>
      <c r="S13" s="416"/>
      <c r="T13" s="416"/>
      <c r="U13" s="416"/>
      <c r="V13" s="416"/>
      <c r="W13" s="416"/>
      <c r="X13" s="416"/>
      <c r="Y13" s="416"/>
      <c r="Z13" s="416">
        <v>1</v>
      </c>
      <c r="AA13" s="416"/>
      <c r="AB13" s="416"/>
      <c r="AC13" s="416"/>
      <c r="AD13" s="416"/>
      <c r="AE13" s="416"/>
    </row>
    <row r="14" spans="1:31" ht="14.4">
      <c r="A14" s="417"/>
      <c r="B14" s="323" t="s">
        <v>147</v>
      </c>
      <c r="C14" s="418">
        <v>2</v>
      </c>
      <c r="D14" s="418">
        <v>2</v>
      </c>
      <c r="E14" s="418">
        <v>2</v>
      </c>
      <c r="F14" s="418">
        <v>2</v>
      </c>
      <c r="G14" s="418"/>
      <c r="H14" s="418">
        <v>2</v>
      </c>
      <c r="I14" s="418">
        <v>2</v>
      </c>
      <c r="J14" s="418">
        <v>2</v>
      </c>
      <c r="K14" s="418">
        <v>1</v>
      </c>
      <c r="L14" s="418">
        <v>2</v>
      </c>
      <c r="M14" s="418">
        <v>2</v>
      </c>
      <c r="N14" s="418">
        <v>1</v>
      </c>
      <c r="O14" s="418">
        <v>1</v>
      </c>
      <c r="P14" s="418">
        <v>2</v>
      </c>
      <c r="Q14" s="418">
        <v>3</v>
      </c>
      <c r="R14" s="418">
        <v>3</v>
      </c>
      <c r="S14" s="418">
        <v>3</v>
      </c>
      <c r="T14" s="418">
        <v>2</v>
      </c>
      <c r="U14" s="418">
        <v>3</v>
      </c>
      <c r="V14" s="418">
        <v>2</v>
      </c>
      <c r="W14" s="418">
        <v>1</v>
      </c>
      <c r="X14" s="418">
        <v>3</v>
      </c>
      <c r="Y14" s="418">
        <v>1</v>
      </c>
      <c r="Z14" s="418">
        <v>3</v>
      </c>
      <c r="AA14" s="418"/>
      <c r="AB14" s="418"/>
      <c r="AC14" s="418"/>
      <c r="AD14" s="418"/>
      <c r="AE14" s="418"/>
    </row>
    <row r="15" spans="1:31" ht="14.4">
      <c r="A15" s="193"/>
      <c r="B15" s="193" t="s">
        <v>819</v>
      </c>
      <c r="C15" s="421"/>
      <c r="D15" s="421"/>
      <c r="E15" s="421"/>
      <c r="F15" s="421"/>
      <c r="G15" s="421">
        <v>8</v>
      </c>
      <c r="H15" s="421"/>
      <c r="I15" s="421"/>
      <c r="J15" s="421"/>
      <c r="K15" s="421"/>
      <c r="L15" s="431"/>
      <c r="M15" s="431"/>
      <c r="N15" s="431"/>
      <c r="O15" s="431"/>
      <c r="P15" s="431"/>
      <c r="Q15" s="431"/>
      <c r="R15" s="431"/>
      <c r="S15" s="431"/>
      <c r="T15" s="421"/>
      <c r="U15" s="421"/>
      <c r="V15" s="421"/>
      <c r="W15" s="421"/>
      <c r="X15" s="421"/>
      <c r="Y15" s="421"/>
      <c r="Z15" s="421">
        <v>0</v>
      </c>
      <c r="AA15" s="421">
        <v>7</v>
      </c>
      <c r="AB15" s="421"/>
      <c r="AC15" s="421"/>
      <c r="AD15" s="421"/>
      <c r="AE15" s="421"/>
    </row>
    <row r="16" spans="1:31" ht="14.4">
      <c r="A16" s="102" t="s">
        <v>212</v>
      </c>
      <c r="B16" s="407" t="s">
        <v>232</v>
      </c>
      <c r="C16" s="477">
        <v>45933</v>
      </c>
      <c r="D16" s="477">
        <v>45940</v>
      </c>
      <c r="E16" s="124">
        <v>45947</v>
      </c>
      <c r="F16" s="124">
        <v>45954</v>
      </c>
      <c r="G16" s="124">
        <v>45961</v>
      </c>
      <c r="H16" s="124">
        <v>45968</v>
      </c>
      <c r="I16" s="124">
        <v>45975</v>
      </c>
      <c r="J16" s="124">
        <v>45982</v>
      </c>
      <c r="K16" s="124">
        <v>45989</v>
      </c>
      <c r="L16" s="124"/>
      <c r="M16" s="124"/>
      <c r="N16" s="124"/>
      <c r="O16" s="124"/>
      <c r="P16" s="124">
        <v>46031</v>
      </c>
      <c r="Q16" s="124">
        <v>46038</v>
      </c>
      <c r="R16" s="124">
        <v>46045</v>
      </c>
      <c r="S16" s="124">
        <v>46052</v>
      </c>
      <c r="T16" s="124"/>
      <c r="U16" s="124"/>
      <c r="V16" s="124"/>
      <c r="W16" s="124"/>
      <c r="X16" s="105">
        <v>46087</v>
      </c>
      <c r="Y16" s="105">
        <v>46094</v>
      </c>
      <c r="Z16" s="105">
        <v>46101</v>
      </c>
      <c r="AA16" s="105">
        <v>46108</v>
      </c>
      <c r="AB16" s="105"/>
      <c r="AC16" s="478"/>
      <c r="AD16" s="478"/>
      <c r="AE16" s="478"/>
    </row>
    <row r="17" spans="1:31" ht="14.4">
      <c r="A17" s="415">
        <v>1</v>
      </c>
      <c r="B17" s="297" t="s">
        <v>110</v>
      </c>
      <c r="C17" s="416">
        <v>1</v>
      </c>
      <c r="D17" s="416">
        <v>1</v>
      </c>
      <c r="E17" s="416">
        <v>1</v>
      </c>
      <c r="F17" s="416">
        <v>1</v>
      </c>
      <c r="G17" s="416"/>
      <c r="H17" s="416">
        <v>1</v>
      </c>
      <c r="I17" s="416">
        <v>1</v>
      </c>
      <c r="J17" s="416">
        <v>1</v>
      </c>
      <c r="K17" s="416">
        <v>1</v>
      </c>
      <c r="L17" s="416"/>
      <c r="M17" s="416">
        <v>1</v>
      </c>
      <c r="N17" s="416">
        <v>1</v>
      </c>
      <c r="O17" s="416">
        <v>1</v>
      </c>
      <c r="P17" s="416">
        <v>1</v>
      </c>
      <c r="Q17" s="416">
        <v>1</v>
      </c>
      <c r="R17" s="416">
        <v>1</v>
      </c>
      <c r="S17" s="416">
        <v>1</v>
      </c>
      <c r="T17" s="416">
        <v>1</v>
      </c>
      <c r="U17" s="416">
        <v>1</v>
      </c>
      <c r="V17" s="416">
        <v>1</v>
      </c>
      <c r="W17" s="416">
        <v>1</v>
      </c>
      <c r="X17" s="416"/>
      <c r="Y17" s="416">
        <v>1</v>
      </c>
      <c r="Z17" s="416"/>
      <c r="AA17" s="416"/>
      <c r="AB17" s="416"/>
      <c r="AC17" s="406"/>
      <c r="AD17" s="406"/>
      <c r="AE17" s="406"/>
    </row>
    <row r="18" spans="1:31" ht="14.4">
      <c r="A18" s="415">
        <v>2</v>
      </c>
      <c r="B18" s="295" t="s">
        <v>820</v>
      </c>
      <c r="C18" s="416">
        <v>1</v>
      </c>
      <c r="D18" s="416">
        <v>1</v>
      </c>
      <c r="E18" s="416">
        <v>1</v>
      </c>
      <c r="F18" s="416">
        <v>1</v>
      </c>
      <c r="G18" s="416">
        <v>1</v>
      </c>
      <c r="H18" s="416">
        <v>1</v>
      </c>
      <c r="I18" s="416">
        <v>1</v>
      </c>
      <c r="J18" s="416">
        <v>1</v>
      </c>
      <c r="K18" s="416">
        <v>1</v>
      </c>
      <c r="L18" s="416">
        <v>1</v>
      </c>
      <c r="M18" s="416">
        <v>1</v>
      </c>
      <c r="N18" s="416">
        <v>1</v>
      </c>
      <c r="O18" s="416">
        <v>1</v>
      </c>
      <c r="P18" s="416"/>
      <c r="Q18" s="416"/>
      <c r="R18" s="416">
        <v>1</v>
      </c>
      <c r="S18" s="416">
        <v>1</v>
      </c>
      <c r="T18" s="416">
        <v>1</v>
      </c>
      <c r="U18" s="416"/>
      <c r="V18" s="416">
        <v>1</v>
      </c>
      <c r="W18" s="416">
        <v>1</v>
      </c>
      <c r="X18" s="416">
        <v>1</v>
      </c>
      <c r="Y18" s="416">
        <v>1</v>
      </c>
      <c r="Z18" s="416"/>
      <c r="AA18" s="416"/>
      <c r="AB18" s="416"/>
      <c r="AC18" s="406"/>
      <c r="AD18" s="406"/>
      <c r="AE18" s="406"/>
    </row>
    <row r="19" spans="1:31" ht="14.4">
      <c r="A19" s="415">
        <v>3</v>
      </c>
      <c r="B19" s="295" t="s">
        <v>585</v>
      </c>
      <c r="C19" s="416">
        <v>1</v>
      </c>
      <c r="D19" s="416"/>
      <c r="E19" s="416"/>
      <c r="F19" s="430"/>
      <c r="G19" s="430">
        <v>1</v>
      </c>
      <c r="H19" s="430">
        <v>1</v>
      </c>
      <c r="I19" s="430">
        <v>1</v>
      </c>
      <c r="J19" s="430">
        <v>1</v>
      </c>
      <c r="K19" s="430">
        <v>1</v>
      </c>
      <c r="L19" s="430">
        <v>1</v>
      </c>
      <c r="M19" s="430">
        <v>1</v>
      </c>
      <c r="N19" s="430">
        <v>1</v>
      </c>
      <c r="O19" s="430">
        <v>1</v>
      </c>
      <c r="P19" s="430">
        <v>1</v>
      </c>
      <c r="Q19" s="430">
        <v>1</v>
      </c>
      <c r="R19" s="430">
        <v>1</v>
      </c>
      <c r="S19" s="430">
        <v>1</v>
      </c>
      <c r="T19" s="430">
        <v>1</v>
      </c>
      <c r="U19" s="430">
        <v>1</v>
      </c>
      <c r="V19" s="430">
        <v>1</v>
      </c>
      <c r="W19" s="430">
        <v>1</v>
      </c>
      <c r="X19" s="416">
        <v>1</v>
      </c>
      <c r="Y19" s="430">
        <v>1</v>
      </c>
      <c r="Z19" s="430"/>
      <c r="AA19" s="430">
        <v>1</v>
      </c>
      <c r="AB19" s="430"/>
      <c r="AC19" s="136"/>
      <c r="AD19" s="136"/>
      <c r="AE19" s="136"/>
    </row>
    <row r="20" spans="1:31" ht="14.4">
      <c r="A20" s="415">
        <v>4</v>
      </c>
      <c r="B20" s="295" t="s">
        <v>629</v>
      </c>
      <c r="C20" s="416">
        <v>1</v>
      </c>
      <c r="D20" s="416">
        <v>1</v>
      </c>
      <c r="E20" s="416">
        <v>1</v>
      </c>
      <c r="F20" s="416">
        <v>1</v>
      </c>
      <c r="G20" s="416"/>
      <c r="H20" s="416">
        <v>1</v>
      </c>
      <c r="I20" s="416">
        <v>1</v>
      </c>
      <c r="J20" s="416">
        <v>1</v>
      </c>
      <c r="K20" s="416">
        <v>1</v>
      </c>
      <c r="L20" s="416">
        <v>1</v>
      </c>
      <c r="M20" s="416">
        <v>1</v>
      </c>
      <c r="N20" s="416">
        <v>1</v>
      </c>
      <c r="O20" s="416">
        <v>1</v>
      </c>
      <c r="P20" s="416">
        <v>1</v>
      </c>
      <c r="Q20" s="416">
        <v>1</v>
      </c>
      <c r="R20" s="416">
        <v>1</v>
      </c>
      <c r="S20" s="416">
        <v>1</v>
      </c>
      <c r="T20" s="416">
        <v>1</v>
      </c>
      <c r="U20" s="416"/>
      <c r="V20" s="416"/>
      <c r="W20" s="416">
        <v>1</v>
      </c>
      <c r="X20" s="416"/>
      <c r="Y20" s="416">
        <v>1</v>
      </c>
      <c r="Z20" s="416"/>
      <c r="AA20" s="416"/>
      <c r="AB20" s="416"/>
      <c r="AC20" s="406"/>
      <c r="AD20" s="406"/>
      <c r="AE20" s="406"/>
    </row>
    <row r="21" spans="1:31" ht="14.4">
      <c r="A21" s="415">
        <v>5</v>
      </c>
      <c r="B21" s="297" t="s">
        <v>460</v>
      </c>
      <c r="C21" s="416">
        <v>1</v>
      </c>
      <c r="D21" s="416">
        <v>1</v>
      </c>
      <c r="E21" s="416">
        <v>1</v>
      </c>
      <c r="F21" s="416"/>
      <c r="G21" s="416">
        <v>1</v>
      </c>
      <c r="H21" s="416">
        <v>1</v>
      </c>
      <c r="I21" s="416">
        <v>1</v>
      </c>
      <c r="J21" s="416">
        <v>1</v>
      </c>
      <c r="K21" s="416">
        <v>1</v>
      </c>
      <c r="L21" s="416">
        <v>1</v>
      </c>
      <c r="M21" s="416">
        <v>1</v>
      </c>
      <c r="N21" s="416">
        <v>1</v>
      </c>
      <c r="O21" s="416">
        <v>1</v>
      </c>
      <c r="P21" s="416"/>
      <c r="Q21" s="416">
        <v>1</v>
      </c>
      <c r="R21" s="416">
        <v>1</v>
      </c>
      <c r="S21" s="416">
        <v>1</v>
      </c>
      <c r="T21" s="416"/>
      <c r="U21" s="416">
        <v>1</v>
      </c>
      <c r="V21" s="416">
        <v>1</v>
      </c>
      <c r="W21" s="416">
        <v>1</v>
      </c>
      <c r="X21" s="416">
        <v>1</v>
      </c>
      <c r="Y21" s="416">
        <v>1</v>
      </c>
      <c r="Z21" s="416"/>
      <c r="AA21" s="416">
        <v>1</v>
      </c>
      <c r="AB21" s="416"/>
      <c r="AC21" s="406"/>
      <c r="AD21" s="406"/>
      <c r="AE21" s="406"/>
    </row>
    <row r="22" spans="1:31" ht="14.4">
      <c r="A22" s="415">
        <v>6</v>
      </c>
      <c r="B22" s="295" t="s">
        <v>481</v>
      </c>
      <c r="C22" s="416">
        <v>1</v>
      </c>
      <c r="D22" s="416">
        <v>1</v>
      </c>
      <c r="E22" s="416">
        <v>1</v>
      </c>
      <c r="F22" s="416">
        <v>1</v>
      </c>
      <c r="G22" s="416"/>
      <c r="H22" s="416"/>
      <c r="I22" s="416"/>
      <c r="J22" s="416">
        <v>1</v>
      </c>
      <c r="K22" s="416"/>
      <c r="L22" s="416">
        <v>1</v>
      </c>
      <c r="M22" s="416"/>
      <c r="N22" s="416">
        <v>1</v>
      </c>
      <c r="O22" s="416"/>
      <c r="P22" s="416"/>
      <c r="Q22" s="416">
        <v>1</v>
      </c>
      <c r="R22" s="416"/>
      <c r="S22" s="416">
        <v>1</v>
      </c>
      <c r="T22" s="416"/>
      <c r="U22" s="416"/>
      <c r="V22" s="416">
        <v>1</v>
      </c>
      <c r="W22" s="416">
        <v>1</v>
      </c>
      <c r="X22" s="416"/>
      <c r="Y22" s="416"/>
      <c r="Z22" s="416"/>
      <c r="AA22" s="416"/>
      <c r="AB22" s="416"/>
      <c r="AC22" s="406"/>
      <c r="AD22" s="406"/>
      <c r="AE22" s="406"/>
    </row>
    <row r="23" spans="1:31" ht="14.4">
      <c r="A23" s="415">
        <v>7</v>
      </c>
      <c r="B23" s="295" t="s">
        <v>821</v>
      </c>
      <c r="C23" s="416"/>
      <c r="D23" s="416"/>
      <c r="E23" s="416"/>
      <c r="F23" s="416"/>
      <c r="G23" s="416"/>
      <c r="H23" s="416"/>
      <c r="I23" s="416"/>
      <c r="J23" s="416"/>
      <c r="K23" s="416"/>
      <c r="L23" s="416"/>
      <c r="M23" s="416"/>
      <c r="N23" s="416"/>
      <c r="O23" s="416"/>
      <c r="P23" s="416"/>
      <c r="Q23" s="416"/>
      <c r="R23" s="416"/>
      <c r="S23" s="416"/>
      <c r="T23" s="416"/>
      <c r="U23" s="416"/>
      <c r="V23" s="416"/>
      <c r="W23" s="416"/>
      <c r="X23" s="416"/>
      <c r="Y23" s="416"/>
      <c r="Z23" s="416"/>
      <c r="AA23" s="416">
        <v>1</v>
      </c>
      <c r="AB23" s="416"/>
      <c r="AC23" s="406"/>
      <c r="AD23" s="406"/>
      <c r="AE23" s="406"/>
    </row>
    <row r="24" spans="1:31" ht="14.4" hidden="1">
      <c r="A24" s="415">
        <v>7</v>
      </c>
      <c r="B24" s="295" t="s">
        <v>821</v>
      </c>
      <c r="C24" s="416"/>
      <c r="D24" s="416"/>
      <c r="E24" s="416"/>
      <c r="F24" s="416"/>
      <c r="G24" s="416">
        <v>1</v>
      </c>
      <c r="H24" s="416"/>
      <c r="I24" s="416"/>
      <c r="J24" s="416"/>
      <c r="K24" s="416"/>
      <c r="L24" s="416"/>
      <c r="M24" s="416"/>
      <c r="N24" s="416"/>
      <c r="O24" s="416"/>
      <c r="P24" s="416"/>
      <c r="Q24" s="416"/>
      <c r="R24" s="416"/>
      <c r="S24" s="416"/>
      <c r="T24" s="416"/>
      <c r="U24" s="416"/>
      <c r="V24" s="416"/>
      <c r="W24" s="416"/>
      <c r="X24" s="406"/>
      <c r="Y24" s="406"/>
      <c r="Z24" s="406"/>
      <c r="AA24" s="406"/>
      <c r="AB24" s="416"/>
      <c r="AC24" s="406"/>
      <c r="AD24" s="406"/>
      <c r="AE24" s="406"/>
    </row>
    <row r="25" spans="1:31" ht="14.4" hidden="1">
      <c r="A25" s="415">
        <v>8</v>
      </c>
      <c r="B25" s="295" t="s">
        <v>822</v>
      </c>
      <c r="C25" s="416"/>
      <c r="D25" s="416"/>
      <c r="E25" s="416"/>
      <c r="F25" s="416"/>
      <c r="G25" s="416">
        <v>1</v>
      </c>
      <c r="H25" s="416"/>
      <c r="I25" s="416"/>
      <c r="J25" s="416">
        <v>1</v>
      </c>
      <c r="K25" s="416">
        <v>1</v>
      </c>
      <c r="L25" s="416"/>
      <c r="M25" s="416"/>
      <c r="N25" s="416"/>
      <c r="O25" s="416"/>
      <c r="P25" s="416"/>
      <c r="Q25" s="416"/>
      <c r="R25" s="416"/>
      <c r="S25" s="416"/>
      <c r="T25" s="416"/>
      <c r="U25" s="416"/>
      <c r="V25" s="416"/>
      <c r="W25" s="416"/>
      <c r="X25" s="406"/>
      <c r="Y25" s="406"/>
      <c r="Z25" s="406"/>
      <c r="AA25" s="406"/>
      <c r="AB25" s="416"/>
      <c r="AC25" s="406"/>
      <c r="AD25" s="406"/>
      <c r="AE25" s="406"/>
    </row>
    <row r="26" spans="1:31" ht="14.4" hidden="1">
      <c r="A26" s="415">
        <v>9</v>
      </c>
      <c r="B26" s="295" t="s">
        <v>302</v>
      </c>
      <c r="C26" s="416">
        <v>1</v>
      </c>
      <c r="D26" s="416"/>
      <c r="E26" s="416"/>
      <c r="F26" s="416"/>
      <c r="G26" s="416"/>
      <c r="H26" s="416"/>
      <c r="I26" s="416"/>
      <c r="J26" s="416"/>
      <c r="K26" s="416"/>
      <c r="L26" s="416"/>
      <c r="M26" s="416"/>
      <c r="N26" s="416"/>
      <c r="O26" s="416"/>
      <c r="P26" s="416"/>
      <c r="Q26" s="416"/>
      <c r="R26" s="416"/>
      <c r="S26" s="416"/>
      <c r="T26" s="416"/>
      <c r="U26" s="416"/>
      <c r="V26" s="416"/>
      <c r="W26" s="416"/>
      <c r="X26" s="406"/>
      <c r="Y26" s="406"/>
      <c r="Z26" s="406"/>
      <c r="AA26" s="406"/>
      <c r="AB26" s="416"/>
      <c r="AC26" s="406"/>
      <c r="AD26" s="406"/>
      <c r="AE26" s="406"/>
    </row>
    <row r="27" spans="1:31" ht="14.4">
      <c r="A27" s="101"/>
      <c r="B27" s="102" t="s">
        <v>147</v>
      </c>
      <c r="C27" s="418">
        <v>7</v>
      </c>
      <c r="D27" s="418">
        <v>5</v>
      </c>
      <c r="E27" s="418">
        <v>5</v>
      </c>
      <c r="F27" s="418">
        <v>4</v>
      </c>
      <c r="G27" s="418">
        <v>5</v>
      </c>
      <c r="H27" s="418">
        <v>5</v>
      </c>
      <c r="I27" s="418">
        <v>5</v>
      </c>
      <c r="J27" s="418">
        <v>7</v>
      </c>
      <c r="K27" s="418">
        <v>6</v>
      </c>
      <c r="L27" s="418">
        <v>5</v>
      </c>
      <c r="M27" s="418">
        <v>5</v>
      </c>
      <c r="N27" s="418">
        <v>6</v>
      </c>
      <c r="O27" s="418">
        <v>5</v>
      </c>
      <c r="P27" s="418">
        <v>3</v>
      </c>
      <c r="Q27" s="418">
        <v>5</v>
      </c>
      <c r="R27" s="418">
        <v>5</v>
      </c>
      <c r="S27" s="418">
        <v>6</v>
      </c>
      <c r="T27" s="418">
        <v>4</v>
      </c>
      <c r="U27" s="418">
        <v>3</v>
      </c>
      <c r="V27" s="418">
        <v>5</v>
      </c>
      <c r="W27" s="418">
        <v>6</v>
      </c>
      <c r="X27" s="418">
        <v>3</v>
      </c>
      <c r="Y27" s="418">
        <v>5</v>
      </c>
      <c r="Z27" s="418"/>
      <c r="AA27" s="418">
        <v>3</v>
      </c>
      <c r="AB27" s="418"/>
      <c r="AC27" s="479"/>
      <c r="AD27" s="479"/>
      <c r="AE27" s="418"/>
    </row>
    <row r="28" spans="1:31" ht="13.2">
      <c r="G28" s="85">
        <v>26</v>
      </c>
      <c r="H28" s="85"/>
      <c r="I28" s="85"/>
      <c r="J28" s="85"/>
      <c r="K28" s="85">
        <v>30</v>
      </c>
      <c r="L28" s="85"/>
      <c r="M28" s="85"/>
      <c r="N28" s="85"/>
      <c r="O28" s="85">
        <v>27</v>
      </c>
      <c r="P28" s="85"/>
      <c r="Q28" s="85"/>
      <c r="R28" s="85"/>
      <c r="S28" s="85">
        <v>30</v>
      </c>
      <c r="T28" s="85"/>
      <c r="U28" s="85"/>
      <c r="V28" s="85"/>
      <c r="W28" s="85">
        <v>26</v>
      </c>
      <c r="X28" s="85"/>
      <c r="Y28" s="85"/>
      <c r="Z28" s="85"/>
      <c r="AA28" s="85">
        <v>18</v>
      </c>
      <c r="AB28" s="85"/>
      <c r="AC28" s="85"/>
      <c r="AD28" s="85"/>
      <c r="AE28" s="85"/>
    </row>
    <row r="29" spans="1:31" ht="13.2">
      <c r="G29" s="95">
        <v>34</v>
      </c>
      <c r="H29" s="117"/>
      <c r="I29" s="117"/>
      <c r="J29" s="95" t="s">
        <v>128</v>
      </c>
      <c r="K29" s="95" t="s">
        <v>185</v>
      </c>
      <c r="L29" s="117"/>
      <c r="M29" s="117"/>
      <c r="N29" s="95" t="s">
        <v>128</v>
      </c>
      <c r="O29" s="114" t="s">
        <v>823</v>
      </c>
      <c r="P29" s="213"/>
      <c r="Q29" s="213"/>
      <c r="R29" s="114" t="s">
        <v>128</v>
      </c>
      <c r="S29" s="114" t="s">
        <v>824</v>
      </c>
      <c r="T29" s="213"/>
      <c r="U29" s="213"/>
      <c r="V29" s="114" t="s">
        <v>128</v>
      </c>
      <c r="W29" s="114">
        <f>W28*B5</f>
        <v>104000</v>
      </c>
      <c r="X29" s="114"/>
      <c r="Y29" s="114"/>
      <c r="Z29" s="114" t="s">
        <v>128</v>
      </c>
      <c r="AA29" s="114">
        <f>AA28*B5</f>
        <v>72000</v>
      </c>
      <c r="AB29" s="114"/>
      <c r="AC29" s="114"/>
      <c r="AD29" s="114"/>
      <c r="AE29" s="114"/>
    </row>
    <row r="30" spans="1:31" ht="13.2">
      <c r="F30" s="114" t="s">
        <v>128</v>
      </c>
      <c r="G30" s="114" t="s">
        <v>825</v>
      </c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</row>
  </sheetData>
  <hyperlinks>
    <hyperlink ref="B3" r:id="rId1" xr:uid="{00000000-0004-0000-2200-000000000000}"/>
  </hyperlinks>
  <pageMargins left="0.7" right="0.7" top="0.75" bottom="0.75" header="0.3" footer="0.3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17"/>
  <sheetViews>
    <sheetView workbookViewId="0"/>
  </sheetViews>
  <sheetFormatPr defaultColWidth="12.6640625" defaultRowHeight="15.75" customHeight="1"/>
  <cols>
    <col min="1" max="1" width="3.44140625" customWidth="1"/>
    <col min="3" max="9" width="12.6640625" hidden="1"/>
  </cols>
  <sheetData>
    <row r="1" spans="1:13" ht="18.600000000000001">
      <c r="B1" s="480"/>
      <c r="C1" s="480"/>
    </row>
    <row r="2" spans="1:13" ht="24">
      <c r="B2" s="351" t="s">
        <v>826</v>
      </c>
      <c r="C2" s="481"/>
      <c r="D2" s="98"/>
      <c r="E2" s="98"/>
      <c r="F2" s="98"/>
      <c r="G2" s="98"/>
    </row>
    <row r="3" spans="1:13" ht="13.2">
      <c r="B3" s="482" t="s">
        <v>827</v>
      </c>
      <c r="C3" s="482"/>
      <c r="D3" s="482"/>
      <c r="E3" s="482"/>
      <c r="F3" s="482"/>
      <c r="G3" s="482"/>
      <c r="H3" s="483"/>
      <c r="I3" s="483"/>
    </row>
    <row r="4" spans="1:13" ht="13.2">
      <c r="B4" s="482" t="s">
        <v>828</v>
      </c>
      <c r="C4" s="482"/>
      <c r="D4" s="482"/>
      <c r="E4" s="482"/>
      <c r="F4" s="482"/>
      <c r="G4" s="482"/>
      <c r="H4" s="483"/>
      <c r="I4" s="483"/>
    </row>
    <row r="5" spans="1:13" ht="13.2" hidden="1">
      <c r="B5" s="484">
        <v>4000</v>
      </c>
      <c r="C5" s="485"/>
      <c r="D5" s="483"/>
      <c r="E5" s="483"/>
      <c r="F5" s="483"/>
      <c r="G5" s="483"/>
      <c r="H5" s="483"/>
      <c r="I5" s="483"/>
    </row>
    <row r="6" spans="1:13" ht="13.2">
      <c r="B6" s="483"/>
      <c r="C6" s="483"/>
      <c r="D6" s="483"/>
      <c r="E6" s="483"/>
      <c r="F6" s="483"/>
      <c r="G6" s="483"/>
      <c r="H6" s="483"/>
      <c r="I6" s="483"/>
    </row>
    <row r="7" spans="1:13" ht="13.2">
      <c r="B7" s="483" t="s">
        <v>668</v>
      </c>
      <c r="C7" s="483" t="s">
        <v>261</v>
      </c>
      <c r="D7" s="483"/>
      <c r="E7" s="483" t="s">
        <v>261</v>
      </c>
      <c r="F7" s="483"/>
      <c r="G7" s="483" t="s">
        <v>455</v>
      </c>
      <c r="H7" s="483" t="s">
        <v>455</v>
      </c>
      <c r="I7" s="483" t="s">
        <v>455</v>
      </c>
    </row>
    <row r="8" spans="1:13" ht="39.6">
      <c r="A8" s="106"/>
      <c r="B8" s="486" t="s">
        <v>107</v>
      </c>
      <c r="C8" s="487">
        <v>45945</v>
      </c>
      <c r="D8" s="487">
        <v>45950</v>
      </c>
      <c r="E8" s="487">
        <v>45957</v>
      </c>
      <c r="F8" s="487">
        <v>45964</v>
      </c>
      <c r="G8" s="487">
        <v>45971</v>
      </c>
      <c r="H8" s="487">
        <v>45978</v>
      </c>
      <c r="I8" s="487">
        <v>45985</v>
      </c>
      <c r="J8" s="487">
        <v>45992</v>
      </c>
      <c r="K8" s="487">
        <v>45999</v>
      </c>
      <c r="L8" s="488" t="s">
        <v>829</v>
      </c>
      <c r="M8" s="487">
        <v>46013</v>
      </c>
    </row>
    <row r="9" spans="1:13" ht="13.2">
      <c r="A9" s="106">
        <v>1</v>
      </c>
      <c r="B9" s="282" t="s">
        <v>830</v>
      </c>
      <c r="C9" s="489" t="s">
        <v>195</v>
      </c>
      <c r="D9" s="282">
        <v>1</v>
      </c>
      <c r="E9" s="282">
        <v>1</v>
      </c>
      <c r="F9" s="282"/>
      <c r="G9" s="282">
        <v>1</v>
      </c>
      <c r="H9" s="282">
        <v>1</v>
      </c>
      <c r="I9" s="282">
        <v>1</v>
      </c>
      <c r="J9" s="282">
        <v>1</v>
      </c>
      <c r="K9" s="282">
        <v>1</v>
      </c>
      <c r="L9" s="490">
        <v>1</v>
      </c>
      <c r="M9" s="282">
        <v>1</v>
      </c>
    </row>
    <row r="10" spans="1:13" ht="13.2">
      <c r="A10" s="106">
        <v>2</v>
      </c>
      <c r="B10" s="282" t="s">
        <v>109</v>
      </c>
      <c r="C10" s="489" t="s">
        <v>195</v>
      </c>
      <c r="D10" s="282">
        <v>1</v>
      </c>
      <c r="E10" s="282">
        <v>1</v>
      </c>
      <c r="F10" s="282"/>
      <c r="G10" s="282"/>
      <c r="H10" s="282">
        <v>1</v>
      </c>
      <c r="I10" s="282">
        <v>1</v>
      </c>
      <c r="J10" s="282">
        <v>1</v>
      </c>
      <c r="K10" s="282">
        <v>1</v>
      </c>
      <c r="L10" s="490">
        <v>1</v>
      </c>
      <c r="M10" s="282">
        <v>1</v>
      </c>
    </row>
    <row r="11" spans="1:13" ht="13.2">
      <c r="A11" s="106">
        <v>3</v>
      </c>
      <c r="B11" s="282" t="s">
        <v>460</v>
      </c>
      <c r="C11" s="489" t="s">
        <v>195</v>
      </c>
      <c r="D11" s="282">
        <v>1</v>
      </c>
      <c r="E11" s="282"/>
      <c r="F11" s="282"/>
      <c r="G11" s="282">
        <v>1</v>
      </c>
      <c r="H11" s="282">
        <v>1</v>
      </c>
      <c r="I11" s="282">
        <v>1</v>
      </c>
      <c r="J11" s="282">
        <v>1</v>
      </c>
      <c r="K11" s="282">
        <v>1</v>
      </c>
      <c r="L11" s="490">
        <v>1</v>
      </c>
      <c r="M11" s="282">
        <v>1</v>
      </c>
    </row>
    <row r="12" spans="1:13" ht="13.2">
      <c r="A12" s="106">
        <v>4</v>
      </c>
      <c r="B12" s="282" t="s">
        <v>82</v>
      </c>
      <c r="C12" s="489" t="s">
        <v>195</v>
      </c>
      <c r="D12" s="282">
        <v>1</v>
      </c>
      <c r="E12" s="282">
        <v>1</v>
      </c>
      <c r="F12" s="282"/>
      <c r="G12" s="282">
        <v>1</v>
      </c>
      <c r="H12" s="282">
        <v>1</v>
      </c>
      <c r="I12" s="282"/>
      <c r="J12" s="282"/>
      <c r="K12" s="282">
        <v>1</v>
      </c>
      <c r="L12" s="490">
        <v>1</v>
      </c>
      <c r="M12" s="282">
        <v>1</v>
      </c>
    </row>
    <row r="13" spans="1:13" ht="13.2">
      <c r="A13" s="106">
        <v>5</v>
      </c>
      <c r="B13" s="91" t="s">
        <v>302</v>
      </c>
      <c r="C13" s="91"/>
      <c r="D13" s="91"/>
      <c r="E13" s="91">
        <v>1</v>
      </c>
      <c r="F13" s="91"/>
      <c r="G13" s="91"/>
      <c r="H13" s="91"/>
      <c r="I13" s="91"/>
      <c r="J13" s="91"/>
      <c r="K13" s="91"/>
      <c r="L13" s="135"/>
      <c r="M13" s="91"/>
    </row>
    <row r="14" spans="1:13" ht="13.2">
      <c r="A14" s="106">
        <v>6</v>
      </c>
      <c r="B14" s="91" t="s">
        <v>577</v>
      </c>
      <c r="C14" s="91"/>
      <c r="D14" s="91"/>
      <c r="E14" s="91"/>
      <c r="F14" s="91"/>
      <c r="G14" s="91"/>
      <c r="H14" s="91"/>
      <c r="I14" s="91"/>
      <c r="J14" s="91">
        <v>1</v>
      </c>
      <c r="K14" s="91">
        <v>1</v>
      </c>
      <c r="L14" s="135"/>
      <c r="M14" s="91"/>
    </row>
    <row r="15" spans="1:13" ht="13.2">
      <c r="A15" s="106"/>
      <c r="B15" s="491" t="s">
        <v>448</v>
      </c>
      <c r="C15" s="492">
        <v>4</v>
      </c>
      <c r="D15" s="492">
        <v>4</v>
      </c>
      <c r="E15" s="492">
        <v>4</v>
      </c>
      <c r="F15" s="493"/>
      <c r="G15" s="493">
        <v>3</v>
      </c>
      <c r="H15" s="493">
        <v>4</v>
      </c>
      <c r="I15" s="493">
        <v>3</v>
      </c>
      <c r="J15" s="493">
        <v>4</v>
      </c>
      <c r="K15" s="493">
        <v>5</v>
      </c>
      <c r="L15" s="490">
        <v>4</v>
      </c>
      <c r="M15" s="493">
        <v>4</v>
      </c>
    </row>
    <row r="16" spans="1:13" ht="13.2">
      <c r="D16" s="114" t="s">
        <v>831</v>
      </c>
      <c r="E16" s="114" t="s">
        <v>832</v>
      </c>
      <c r="I16" s="85">
        <v>10</v>
      </c>
      <c r="M16" s="85">
        <v>17</v>
      </c>
    </row>
    <row r="17" spans="8:13" ht="13.2">
      <c r="H17" s="95" t="s">
        <v>128</v>
      </c>
      <c r="I17" s="114" t="s">
        <v>833</v>
      </c>
      <c r="L17" s="95" t="s">
        <v>128</v>
      </c>
      <c r="M17" s="114" t="s">
        <v>834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2:J15"/>
  <sheetViews>
    <sheetView workbookViewId="0"/>
  </sheetViews>
  <sheetFormatPr defaultColWidth="12.6640625" defaultRowHeight="15.75" customHeight="1"/>
  <cols>
    <col min="1" max="1" width="3.109375" customWidth="1"/>
  </cols>
  <sheetData>
    <row r="2" spans="1:10" ht="22.8">
      <c r="B2" s="97" t="s">
        <v>835</v>
      </c>
      <c r="C2" s="98"/>
      <c r="D2" s="98"/>
      <c r="E2" s="98"/>
      <c r="F2" s="98"/>
    </row>
    <row r="3" spans="1:10" ht="13.2">
      <c r="B3" s="98" t="s">
        <v>836</v>
      </c>
      <c r="C3" s="98"/>
      <c r="D3" s="98"/>
      <c r="E3" s="98"/>
      <c r="F3" s="98"/>
    </row>
    <row r="4" spans="1:10" ht="13.2">
      <c r="B4" s="98" t="s">
        <v>837</v>
      </c>
      <c r="C4" s="98"/>
      <c r="D4" s="98"/>
      <c r="E4" s="98"/>
      <c r="F4" s="98"/>
    </row>
    <row r="5" spans="1:10" ht="13.2" hidden="1">
      <c r="B5" s="87">
        <v>3750</v>
      </c>
    </row>
    <row r="7" spans="1:10" ht="13.2">
      <c r="B7" s="85" t="s">
        <v>838</v>
      </c>
    </row>
    <row r="8" spans="1:10" ht="13.8">
      <c r="A8" s="142" t="s">
        <v>212</v>
      </c>
      <c r="B8" s="137" t="s">
        <v>107</v>
      </c>
      <c r="C8" s="107">
        <v>45941</v>
      </c>
      <c r="D8" s="107">
        <v>45948</v>
      </c>
      <c r="E8" s="104">
        <v>45955</v>
      </c>
      <c r="F8" s="107">
        <v>45962</v>
      </c>
      <c r="G8" s="107">
        <v>45969</v>
      </c>
      <c r="H8" s="104">
        <v>45976</v>
      </c>
      <c r="I8" s="107">
        <v>45983</v>
      </c>
      <c r="J8" s="104">
        <v>45990</v>
      </c>
    </row>
    <row r="9" spans="1:10" ht="13.2">
      <c r="A9" s="113">
        <v>1</v>
      </c>
      <c r="B9" s="91" t="s">
        <v>839</v>
      </c>
      <c r="C9" s="91"/>
      <c r="D9" s="91"/>
      <c r="E9" s="91">
        <v>1</v>
      </c>
      <c r="F9" s="91"/>
      <c r="G9" s="91"/>
      <c r="H9" s="91"/>
      <c r="I9" s="91"/>
      <c r="J9" s="91"/>
    </row>
    <row r="10" spans="1:10" ht="13.2">
      <c r="A10" s="113">
        <v>2</v>
      </c>
      <c r="B10" s="91" t="s">
        <v>678</v>
      </c>
      <c r="C10" s="91">
        <v>1</v>
      </c>
      <c r="D10" s="91"/>
      <c r="E10" s="91"/>
      <c r="F10" s="91"/>
      <c r="G10" s="91"/>
      <c r="H10" s="91"/>
      <c r="I10" s="91"/>
      <c r="J10" s="91"/>
    </row>
    <row r="11" spans="1:10" ht="13.2">
      <c r="A11" s="113">
        <v>3</v>
      </c>
      <c r="B11" s="91" t="s">
        <v>840</v>
      </c>
      <c r="C11" s="91">
        <v>1</v>
      </c>
      <c r="D11" s="91"/>
      <c r="E11" s="91"/>
      <c r="F11" s="91"/>
      <c r="G11" s="91"/>
      <c r="H11" s="91"/>
      <c r="I11" s="91"/>
      <c r="J11" s="91"/>
    </row>
    <row r="12" spans="1:10" ht="13.2">
      <c r="A12" s="113">
        <v>4</v>
      </c>
      <c r="B12" s="91" t="s">
        <v>841</v>
      </c>
      <c r="C12" s="91">
        <v>1</v>
      </c>
      <c r="D12" s="91">
        <v>1</v>
      </c>
      <c r="E12" s="91"/>
      <c r="F12" s="91">
        <v>1</v>
      </c>
      <c r="G12" s="91"/>
      <c r="H12" s="91"/>
      <c r="I12" s="91"/>
      <c r="J12" s="91"/>
    </row>
    <row r="13" spans="1:10" ht="13.2">
      <c r="A13" s="113"/>
      <c r="B13" s="149" t="s">
        <v>128</v>
      </c>
      <c r="C13" s="106">
        <v>3</v>
      </c>
      <c r="D13" s="106">
        <v>1</v>
      </c>
      <c r="E13" s="106">
        <v>1</v>
      </c>
      <c r="F13" s="106">
        <v>1</v>
      </c>
      <c r="G13" s="106"/>
      <c r="H13" s="106"/>
      <c r="I13" s="106"/>
      <c r="J13" s="106"/>
    </row>
    <row r="14" spans="1:10" ht="13.2">
      <c r="E14" s="85">
        <v>5</v>
      </c>
      <c r="F14" s="85"/>
    </row>
    <row r="15" spans="1:10" ht="13.2">
      <c r="D15" s="114" t="s">
        <v>128</v>
      </c>
      <c r="E15" s="114" t="s">
        <v>842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Расписание</vt:lpstr>
      <vt:lpstr>Happy Kais </vt:lpstr>
      <vt:lpstr>Конжыктар</vt:lpstr>
      <vt:lpstr>Indigo preschool 1</vt:lpstr>
      <vt:lpstr>Indigo preschool 2</vt:lpstr>
      <vt:lpstr>Bilimalmaty</vt:lpstr>
      <vt:lpstr>Tamos</vt:lpstr>
      <vt:lpstr>Город друзей</vt:lpstr>
      <vt:lpstr>71 лицей</vt:lpstr>
      <vt:lpstr>116 школа</vt:lpstr>
      <vt:lpstr>Almaty Towers(старый)</vt:lpstr>
      <vt:lpstr>Балбобек(старый)</vt:lpstr>
      <vt:lpstr>Падишах</vt:lpstr>
      <vt:lpstr>Капитошка</vt:lpstr>
      <vt:lpstr>Гармония</vt:lpstr>
      <vt:lpstr>Куншуак</vt:lpstr>
      <vt:lpstr>kids discovery</vt:lpstr>
      <vt:lpstr>Academ kids</vt:lpstr>
      <vt:lpstr>kids discovery Таугуль</vt:lpstr>
      <vt:lpstr>Кунай</vt:lpstr>
      <vt:lpstr>Асека education</vt:lpstr>
      <vt:lpstr>Асека +</vt:lpstr>
      <vt:lpstr>Лукоморья</vt:lpstr>
      <vt:lpstr>Зияткер</vt:lpstr>
      <vt:lpstr>Радость Майлина</vt:lpstr>
      <vt:lpstr>Радость Розыбакиева</vt:lpstr>
      <vt:lpstr>28 февраля Happy Time - Еркебул</vt:lpstr>
      <vt:lpstr>Космо</vt:lpstr>
      <vt:lpstr>Interschool</vt:lpstr>
      <vt:lpstr>Батыр</vt:lpstr>
      <vt:lpstr>Klass</vt:lpstr>
      <vt:lpstr>Жажда познания</vt:lpstr>
      <vt:lpstr>ProЗнания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Olzhas Maisuly</cp:lastModifiedBy>
  <dcterms:modified xsi:type="dcterms:W3CDTF">2026-04-30T00:07:47Z</dcterms:modified>
</cp:coreProperties>
</file>